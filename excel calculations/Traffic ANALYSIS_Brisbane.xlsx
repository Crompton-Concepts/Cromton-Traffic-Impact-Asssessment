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omptonconcepts.sharepoint.com/Shared Documents/Clients/Planning Templates/Traffic Counts/"/>
    </mc:Choice>
  </mc:AlternateContent>
  <xr:revisionPtr revIDLastSave="72" documentId="13_ncr:1_{5ECAE2F4-07C4-44E7-8A64-33203BDF25E3}" xr6:coauthVersionLast="47" xr6:coauthVersionMax="47" xr10:uidLastSave="{BE2E86A8-D968-4F82-BD14-C2FB9065C08E}"/>
  <bookViews>
    <workbookView xWindow="-120" yWindow="-120" windowWidth="38640" windowHeight="21120" activeTab="1" xr2:uid="{CC815828-7FFA-46DE-A91B-159AEF304CF1}"/>
  </bookViews>
  <sheets>
    <sheet name="Traffic Count" sheetId="2" r:id="rId1"/>
    <sheet name="Bowen Tce" sheetId="1" r:id="rId2"/>
  </sheets>
  <definedNames>
    <definedName name="Car_AM">'Bowen Tce'!$B$37</definedName>
    <definedName name="Car_EV">'Bowen Tce'!$E$37</definedName>
    <definedName name="Car_OP">'Bowen Tce'!$C$37</definedName>
    <definedName name="Car_PM">'Bowen Tce'!$D$37</definedName>
    <definedName name="D1_Row">'Bowen Tce'!$B$34</definedName>
    <definedName name="D2_Row">'Bowen Tce'!$C$34</definedName>
    <definedName name="Direction">'Bowen Tce'!$B$44</definedName>
    <definedName name="ExternalData_1" localSheetId="0" hidden="1">'Traffic Count'!$A$1:$AE$523</definedName>
    <definedName name="HCV_AM">'Bowen Tce'!$B$39</definedName>
    <definedName name="HCV_EV">'Bowen Tce'!$E$39</definedName>
    <definedName name="HCV_OP">'Bowen Tce'!$C$39</definedName>
    <definedName name="HCV_PM">'Bowen Tce'!$D$39</definedName>
    <definedName name="Latitude">'Bowen Tce'!$B$45</definedName>
    <definedName name="Location">'Bowen Tce'!$B$43</definedName>
    <definedName name="Longitude">'Bowen Tce'!$B$46</definedName>
    <definedName name="MCV_AM">'Bowen Tce'!$B$38</definedName>
    <definedName name="MCV_EV">'Bowen Tce'!$E$38</definedName>
    <definedName name="MCV_OP">'Bowen Tce'!$C$38</definedName>
    <definedName name="MCV_PM">'Bowen Tce'!$D$38</definedName>
    <definedName name="Road_Name">'Bowen Tce'!$B$42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2" i="1" l="1"/>
  <c r="AB51" i="1"/>
  <c r="AD48" i="1"/>
  <c r="AC48" i="1"/>
  <c r="N47" i="1"/>
  <c r="AB47" i="1"/>
  <c r="N62" i="1"/>
  <c r="M65" i="1"/>
  <c r="M50" i="1"/>
  <c r="AB16" i="1" l="1"/>
  <c r="I12" i="1"/>
  <c r="B34" i="1"/>
  <c r="M51" i="1" l="1"/>
  <c r="M66" i="1"/>
  <c r="B46" i="1"/>
  <c r="B45" i="1"/>
  <c r="B44" i="1"/>
  <c r="B43" i="1"/>
  <c r="B42" i="1"/>
  <c r="E37" i="1"/>
  <c r="O6" i="1" a="1"/>
  <c r="T12" i="1" a="1"/>
  <c r="B101" i="1" a="1"/>
  <c r="B101" i="1" l="1"/>
  <c r="AB20" i="1" s="1" a="1"/>
  <c r="O6" i="1"/>
  <c r="T12" i="1"/>
  <c r="C37" i="1"/>
  <c r="E39" i="1"/>
  <c r="E38" i="1"/>
  <c r="D39" i="1"/>
  <c r="D38" i="1"/>
  <c r="D37" i="1"/>
  <c r="C39" i="1"/>
  <c r="C38" i="1"/>
  <c r="B39" i="1"/>
  <c r="B38" i="1"/>
  <c r="B37" i="1"/>
  <c r="AI87" i="2"/>
  <c r="C34" i="1"/>
  <c r="T18" i="1" a="1"/>
  <c r="O33" i="1" a="1"/>
  <c r="X18" i="1" a="1"/>
  <c r="Q18" i="1" a="1"/>
  <c r="Y33" i="1" a="1"/>
  <c r="W33" i="1" a="1"/>
  <c r="H35" i="1" a="1"/>
  <c r="P33" i="1" a="1"/>
  <c r="V33" i="1" a="1"/>
  <c r="V18" i="1" a="1"/>
  <c r="N18" i="1" a="1"/>
  <c r="S18" i="1" a="1"/>
  <c r="O45" i="1" a="1"/>
  <c r="Y18" i="1" a="1"/>
  <c r="U33" i="1" a="1"/>
  <c r="Q33" i="1" a="1"/>
  <c r="R33" i="1" a="1"/>
  <c r="P18" i="1" a="1"/>
  <c r="B102" i="1" a="1"/>
  <c r="R18" i="1" a="1"/>
  <c r="T33" i="1" a="1"/>
  <c r="O7" i="1" a="1"/>
  <c r="W18" i="1" a="1"/>
  <c r="N33" i="1" a="1"/>
  <c r="U18" i="1" a="1"/>
  <c r="X33" i="1" a="1"/>
  <c r="S33" i="1" a="1"/>
  <c r="O18" i="1" a="1"/>
  <c r="AB9" i="1" l="1" a="1"/>
  <c r="AB9" i="1" s="1"/>
  <c r="N15" i="1" a="1"/>
  <c r="N15" i="1" s="1"/>
  <c r="AB20" i="1"/>
  <c r="AC17" i="1" s="1"/>
  <c r="B102" i="1"/>
  <c r="AB21" i="1" s="1" a="1"/>
  <c r="O7" i="1"/>
  <c r="O45" i="1"/>
  <c r="H35" i="1"/>
  <c r="X33" i="1"/>
  <c r="X65" i="1" s="1"/>
  <c r="W33" i="1"/>
  <c r="W65" i="1" s="1"/>
  <c r="T33" i="1"/>
  <c r="T65" i="1" s="1"/>
  <c r="R33" i="1"/>
  <c r="R65" i="1" s="1"/>
  <c r="Y33" i="1"/>
  <c r="Y65" i="1" s="1"/>
  <c r="P33" i="1"/>
  <c r="P65" i="1" s="1"/>
  <c r="S33" i="1"/>
  <c r="S65" i="1" s="1"/>
  <c r="U33" i="1"/>
  <c r="U65" i="1" s="1"/>
  <c r="V33" i="1"/>
  <c r="V65" i="1" s="1"/>
  <c r="Q33" i="1"/>
  <c r="Q65" i="1" s="1"/>
  <c r="O33" i="1"/>
  <c r="O65" i="1" s="1"/>
  <c r="N33" i="1"/>
  <c r="Y18" i="1"/>
  <c r="Y50" i="1" s="1"/>
  <c r="X18" i="1"/>
  <c r="X50" i="1" s="1"/>
  <c r="W18" i="1"/>
  <c r="W50" i="1" s="1"/>
  <c r="V18" i="1"/>
  <c r="V50" i="1" s="1"/>
  <c r="U18" i="1"/>
  <c r="U50" i="1" s="1"/>
  <c r="T18" i="1"/>
  <c r="T50" i="1" s="1"/>
  <c r="S18" i="1"/>
  <c r="S50" i="1" s="1"/>
  <c r="R18" i="1"/>
  <c r="R50" i="1" s="1"/>
  <c r="Q18" i="1"/>
  <c r="Q50" i="1" s="1"/>
  <c r="P18" i="1"/>
  <c r="P50" i="1" s="1"/>
  <c r="O18" i="1"/>
  <c r="O50" i="1" s="1"/>
  <c r="N18" i="1"/>
  <c r="M34" i="1"/>
  <c r="M33" i="1"/>
  <c r="M19" i="1"/>
  <c r="M18" i="1"/>
  <c r="G13" i="1"/>
  <c r="J9" i="1"/>
  <c r="J8" i="1"/>
  <c r="J7" i="1"/>
  <c r="J6" i="1"/>
  <c r="N30" i="1" a="1"/>
  <c r="N30" i="1" l="1"/>
  <c r="AB21" i="1"/>
  <c r="AD17" i="1" s="1"/>
  <c r="N65" i="1"/>
  <c r="Z65" i="1" s="1"/>
  <c r="Z66" i="1" s="1"/>
  <c r="AD49" i="1" s="1"/>
  <c r="N50" i="1"/>
  <c r="Z50" i="1" s="1"/>
  <c r="Z51" i="1" s="1"/>
  <c r="AC49" i="1" s="1"/>
  <c r="R66" i="1"/>
  <c r="R67" i="1" s="1"/>
  <c r="R69" i="1" s="1"/>
  <c r="Y66" i="1"/>
  <c r="Y67" i="1" s="1"/>
  <c r="Y69" i="1" s="1"/>
  <c r="T66" i="1"/>
  <c r="T67" i="1" s="1"/>
  <c r="T69" i="1" s="1"/>
  <c r="S51" i="1"/>
  <c r="S52" i="1" s="1"/>
  <c r="S54" i="1" s="1"/>
  <c r="P51" i="1"/>
  <c r="P52" i="1" s="1"/>
  <c r="P54" i="1" s="1"/>
  <c r="Q51" i="1"/>
  <c r="Q52" i="1" s="1"/>
  <c r="Q54" i="1" s="1"/>
  <c r="S66" i="1"/>
  <c r="S67" i="1" s="1"/>
  <c r="S69" i="1" s="1"/>
  <c r="U51" i="1"/>
  <c r="U52" i="1" s="1"/>
  <c r="U54" i="1" s="1"/>
  <c r="X66" i="1"/>
  <c r="X67" i="1" s="1"/>
  <c r="X69" i="1" s="1"/>
  <c r="X51" i="1"/>
  <c r="X52" i="1" s="1"/>
  <c r="X54" i="1" s="1"/>
  <c r="P66" i="1"/>
  <c r="P67" i="1" s="1"/>
  <c r="P69" i="1" s="1"/>
  <c r="Q66" i="1"/>
  <c r="Q67" i="1" s="1"/>
  <c r="Q69" i="1" s="1"/>
  <c r="R51" i="1"/>
  <c r="R52" i="1" s="1"/>
  <c r="R54" i="1" s="1"/>
  <c r="T51" i="1"/>
  <c r="T52" i="1" s="1"/>
  <c r="T54" i="1" s="1"/>
  <c r="V66" i="1"/>
  <c r="V67" i="1" s="1"/>
  <c r="V69" i="1" s="1"/>
  <c r="O66" i="1"/>
  <c r="O67" i="1" s="1"/>
  <c r="O69" i="1" s="1"/>
  <c r="W51" i="1"/>
  <c r="W52" i="1" s="1"/>
  <c r="W54" i="1" s="1"/>
  <c r="W66" i="1"/>
  <c r="W67" i="1" s="1"/>
  <c r="W69" i="1" s="1"/>
  <c r="Y51" i="1"/>
  <c r="Y52" i="1" s="1"/>
  <c r="Y54" i="1" s="1"/>
  <c r="V51" i="1"/>
  <c r="V52" i="1" s="1"/>
  <c r="V54" i="1" s="1"/>
  <c r="O51" i="1"/>
  <c r="O52" i="1" s="1"/>
  <c r="O54" i="1" s="1"/>
  <c r="U66" i="1"/>
  <c r="U67" i="1" s="1"/>
  <c r="U69" i="1" s="1"/>
  <c r="N19" i="1"/>
  <c r="N20" i="1" s="1"/>
  <c r="N22" i="1" s="1"/>
  <c r="Z18" i="1"/>
  <c r="Z33" i="1"/>
  <c r="Z34" i="1" s="1"/>
  <c r="AD18" i="1" s="1"/>
  <c r="W34" i="1"/>
  <c r="W35" i="1" s="1"/>
  <c r="W37" i="1" s="1"/>
  <c r="V19" i="1"/>
  <c r="V20" i="1" s="1"/>
  <c r="V22" i="1" s="1"/>
  <c r="R19" i="1"/>
  <c r="R20" i="1" s="1"/>
  <c r="R22" i="1" s="1"/>
  <c r="Q34" i="1"/>
  <c r="Q35" i="1" s="1"/>
  <c r="Q37" i="1" s="1"/>
  <c r="Y19" i="1"/>
  <c r="Y20" i="1" s="1"/>
  <c r="Y22" i="1" s="1"/>
  <c r="R34" i="1"/>
  <c r="R35" i="1" s="1"/>
  <c r="R37" i="1" s="1"/>
  <c r="T19" i="1"/>
  <c r="T20" i="1" s="1"/>
  <c r="T22" i="1" s="1"/>
  <c r="Y34" i="1"/>
  <c r="Y35" i="1" s="1"/>
  <c r="Y37" i="1" s="1"/>
  <c r="U19" i="1"/>
  <c r="U20" i="1" s="1"/>
  <c r="U22" i="1" s="1"/>
  <c r="W19" i="1"/>
  <c r="W20" i="1" s="1"/>
  <c r="W22" i="1" s="1"/>
  <c r="X19" i="1"/>
  <c r="X20" i="1" s="1"/>
  <c r="X22" i="1" s="1"/>
  <c r="S34" i="1"/>
  <c r="S35" i="1" s="1"/>
  <c r="S37" i="1" s="1"/>
  <c r="O19" i="1"/>
  <c r="O20" i="1" s="1"/>
  <c r="O22" i="1" s="1"/>
  <c r="T34" i="1"/>
  <c r="T35" i="1" s="1"/>
  <c r="T37" i="1" s="1"/>
  <c r="X34" i="1"/>
  <c r="X35" i="1" s="1"/>
  <c r="X37" i="1" s="1"/>
  <c r="N34" i="1"/>
  <c r="N35" i="1" s="1"/>
  <c r="N37" i="1" s="1"/>
  <c r="O34" i="1"/>
  <c r="O35" i="1" s="1"/>
  <c r="O37" i="1" s="1"/>
  <c r="P34" i="1"/>
  <c r="P35" i="1" s="1"/>
  <c r="P37" i="1" s="1"/>
  <c r="P19" i="1"/>
  <c r="P20" i="1" s="1"/>
  <c r="P22" i="1" s="1"/>
  <c r="U34" i="1"/>
  <c r="U35" i="1" s="1"/>
  <c r="U37" i="1" s="1"/>
  <c r="S19" i="1"/>
  <c r="S20" i="1" s="1"/>
  <c r="S22" i="1" s="1"/>
  <c r="Q19" i="1"/>
  <c r="Q20" i="1" s="1"/>
  <c r="Q22" i="1" s="1"/>
  <c r="V34" i="1"/>
  <c r="V35" i="1" s="1"/>
  <c r="V37" i="1" s="1"/>
  <c r="Z19" i="1" l="1"/>
  <c r="N66" i="1"/>
  <c r="N67" i="1" s="1"/>
  <c r="N51" i="1"/>
  <c r="N52" i="1" s="1"/>
  <c r="AC51" i="1" s="1"/>
  <c r="W55" i="1"/>
  <c r="W56" i="1"/>
  <c r="W57" i="1"/>
  <c r="T55" i="1"/>
  <c r="T56" i="1"/>
  <c r="T57" i="1"/>
  <c r="Q72" i="1"/>
  <c r="Q71" i="1"/>
  <c r="Q70" i="1"/>
  <c r="Q56" i="1"/>
  <c r="Q55" i="1"/>
  <c r="Q57" i="1"/>
  <c r="AF52" i="1"/>
  <c r="AE52" i="1"/>
  <c r="AD52" i="1"/>
  <c r="W71" i="1"/>
  <c r="W70" i="1"/>
  <c r="W72" i="1"/>
  <c r="T71" i="1"/>
  <c r="T70" i="1"/>
  <c r="T72" i="1"/>
  <c r="AE49" i="1"/>
  <c r="AF51" i="1"/>
  <c r="AE51" i="1"/>
  <c r="AD51" i="1"/>
  <c r="AF21" i="1"/>
  <c r="AD21" i="1"/>
  <c r="AC21" i="1"/>
  <c r="AE21" i="1"/>
  <c r="AC18" i="1" l="1"/>
  <c r="AC20" i="1" s="1"/>
  <c r="N69" i="1"/>
  <c r="N70" i="1" s="1"/>
  <c r="Z70" i="1" s="1"/>
  <c r="AC52" i="1"/>
  <c r="N54" i="1"/>
  <c r="AD53" i="1"/>
  <c r="AC53" i="1"/>
  <c r="AF53" i="1"/>
  <c r="AE53" i="1"/>
  <c r="W25" i="1"/>
  <c r="N23" i="1"/>
  <c r="W24" i="1"/>
  <c r="N24" i="1"/>
  <c r="Q24" i="1"/>
  <c r="N25" i="1"/>
  <c r="Q25" i="1"/>
  <c r="N40" i="1"/>
  <c r="N39" i="1"/>
  <c r="N38" i="1"/>
  <c r="Q39" i="1"/>
  <c r="Q38" i="1"/>
  <c r="Q40" i="1"/>
  <c r="T39" i="1"/>
  <c r="T38" i="1"/>
  <c r="T40" i="1"/>
  <c r="W39" i="1"/>
  <c r="W38" i="1"/>
  <c r="W40" i="1"/>
  <c r="T24" i="1"/>
  <c r="T25" i="1"/>
  <c r="AD20" i="1"/>
  <c r="AE18" i="1"/>
  <c r="AF22" i="1" s="1"/>
  <c r="AF20" i="1"/>
  <c r="AE20" i="1"/>
  <c r="Q23" i="1"/>
  <c r="T23" i="1"/>
  <c r="W23" i="1"/>
  <c r="N71" i="1" l="1"/>
  <c r="Z71" i="1" s="1"/>
  <c r="N72" i="1"/>
  <c r="Z72" i="1" s="1"/>
  <c r="N55" i="1"/>
  <c r="Z55" i="1" s="1"/>
  <c r="N57" i="1"/>
  <c r="Z57" i="1" s="1"/>
  <c r="N56" i="1"/>
  <c r="Z56" i="1" s="1"/>
  <c r="Z40" i="1"/>
  <c r="Z38" i="1"/>
  <c r="Z39" i="1"/>
  <c r="AE22" i="1"/>
  <c r="AC22" i="1"/>
  <c r="AD22" i="1"/>
  <c r="Z24" i="1"/>
  <c r="Z25" i="1"/>
  <c r="Z23" i="1"/>
  <c r="AI83" i="2" l="1"/>
  <c r="AJ8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0B242E-0323-421E-B395-3361CCA718A8}" keepAlive="1" name="Query - 05651c5a-c82e-48f6-9e7c-8df516722191" description="Connection to the '05651c5a-c82e-48f6-9e7c-8df516722191' query in the workbook." type="5" refreshedVersion="7" background="1" saveData="1">
    <dbPr connection="Provider=Microsoft.Mashup.OleDb.1;Data Source=$Workbook$;Location=05651c5a-c82e-48f6-9e7c-8df516722191;Extended Properties=&quot;&quot;" command="SELECT * FROM [05651c5a-c82e-48f6-9e7c-8df51672219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<sst xmlns="http://schemas.openxmlformats.org/spreadsheetml/2006/main" count="15898" uniqueCount="5203">
  <si>
    <t>_id</t>
  </si>
  <si>
    <t>SL</t>
  </si>
  <si>
    <t>point</t>
  </si>
  <si>
    <t>Description</t>
  </si>
  <si>
    <t>STUDY 
AREA</t>
  </si>
  <si>
    <t>Dir</t>
  </si>
  <si>
    <t>name</t>
  </si>
  <si>
    <t>Location</t>
  </si>
  <si>
    <t>Direct.</t>
  </si>
  <si>
    <t>X</t>
  </si>
  <si>
    <t>Y</t>
  </si>
  <si>
    <t>2012 Obs. AM Car</t>
  </si>
  <si>
    <t>2012 Obs. AM MCV</t>
  </si>
  <si>
    <t>2012 Obs. AM HCV</t>
  </si>
  <si>
    <t>2012 Obs. AM Total</t>
  </si>
  <si>
    <t>2012 Obs. OP Car</t>
  </si>
  <si>
    <t>2012 Obs. OP MCV</t>
  </si>
  <si>
    <t>2012 Obs. OP HCV</t>
  </si>
  <si>
    <t>2012 Obs. OP Total</t>
  </si>
  <si>
    <t>2012 Obs. PM Car</t>
  </si>
  <si>
    <t>2012 Obs. PM MCV</t>
  </si>
  <si>
    <t>2012 Obs. PM HCV</t>
  </si>
  <si>
    <t>2012 Obs. PM Total</t>
  </si>
  <si>
    <t>2012 Obs. EV Car</t>
  </si>
  <si>
    <t>2012 Obs. EV MCV</t>
  </si>
  <si>
    <t>2012 Obs. EV HCV</t>
  </si>
  <si>
    <t>2012 Obs. EV Total</t>
  </si>
  <si>
    <t>2012 Obs. WD Car</t>
  </si>
  <si>
    <t>2012 Obs. WD MCV</t>
  </si>
  <si>
    <t>2012 Obs. WD HCV</t>
  </si>
  <si>
    <t>2012 Obs. WD Total</t>
  </si>
  <si>
    <t>2013 Obs. WD Total</t>
  </si>
  <si>
    <t>9</t>
  </si>
  <si>
    <t>9.01</t>
  </si>
  <si>
    <t xml:space="preserve"> North of Caboolture</t>
  </si>
  <si>
    <t>BSTM</t>
  </si>
  <si>
    <t>Dir1</t>
  </si>
  <si>
    <t>Bruce Hwy</t>
  </si>
  <si>
    <t>400m North of Steve Irwin Way</t>
  </si>
  <si>
    <t>Southbound</t>
  </si>
  <si>
    <t>-26.980859</t>
  </si>
  <si>
    <t>152.981164</t>
  </si>
  <si>
    <t>3169</t>
  </si>
  <si>
    <t>257</t>
  </si>
  <si>
    <t>152</t>
  </si>
  <si>
    <t>3580</t>
  </si>
  <si>
    <t>8563</t>
  </si>
  <si>
    <t>903</t>
  </si>
  <si>
    <t>512</t>
  </si>
  <si>
    <t>9979</t>
  </si>
  <si>
    <t>2597</t>
  </si>
  <si>
    <t>173</t>
  </si>
  <si>
    <t>144</t>
  </si>
  <si>
    <t>2914</t>
  </si>
  <si>
    <t>5506</t>
  </si>
  <si>
    <t>508</t>
  </si>
  <si>
    <t>482</t>
  </si>
  <si>
    <t>6497</t>
  </si>
  <si>
    <t>19835</t>
  </si>
  <si>
    <t>1841</t>
  </si>
  <si>
    <t>1290</t>
  </si>
  <si>
    <t>22970</t>
  </si>
  <si>
    <t>9.02</t>
  </si>
  <si>
    <t>Steve Irwin Highway</t>
  </si>
  <si>
    <t>600m South of  Beerburrum Road</t>
  </si>
  <si>
    <t>-26.961857</t>
  </si>
  <si>
    <t>152.960255</t>
  </si>
  <si>
    <t>528</t>
  </si>
  <si>
    <t>40</t>
  </si>
  <si>
    <t>17</t>
  </si>
  <si>
    <t>585</t>
  </si>
  <si>
    <t>1226</t>
  </si>
  <si>
    <t>123</t>
  </si>
  <si>
    <t>60</t>
  </si>
  <si>
    <t>1409</t>
  </si>
  <si>
    <t>406</t>
  </si>
  <si>
    <t>30</t>
  </si>
  <si>
    <t>8</t>
  </si>
  <si>
    <t>444</t>
  </si>
  <si>
    <t>869</t>
  </si>
  <si>
    <t>88</t>
  </si>
  <si>
    <t>46</t>
  </si>
  <si>
    <t>1003</t>
  </si>
  <si>
    <t>3029</t>
  </si>
  <si>
    <t>281</t>
  </si>
  <si>
    <t>131</t>
  </si>
  <si>
    <t>3441</t>
  </si>
  <si>
    <t>9.03</t>
  </si>
  <si>
    <t>Beerburrum Road</t>
  </si>
  <si>
    <t>500m South of Beerburrum - Woodford Road</t>
  </si>
  <si>
    <t>-26.963747</t>
  </si>
  <si>
    <t>152.953076</t>
  </si>
  <si>
    <t>250</t>
  </si>
  <si>
    <t>13</t>
  </si>
  <si>
    <t>1</t>
  </si>
  <si>
    <t>264</t>
  </si>
  <si>
    <t>565</t>
  </si>
  <si>
    <t>47</t>
  </si>
  <si>
    <t>4</t>
  </si>
  <si>
    <t>616</t>
  </si>
  <si>
    <t>182</t>
  </si>
  <si>
    <t>192</t>
  </si>
  <si>
    <t>255</t>
  </si>
  <si>
    <t>19</t>
  </si>
  <si>
    <t>2</t>
  </si>
  <si>
    <t>276</t>
  </si>
  <si>
    <t>1252</t>
  </si>
  <si>
    <t>1348</t>
  </si>
  <si>
    <t>9.04</t>
  </si>
  <si>
    <t>Old Gympie Rd</t>
  </si>
  <si>
    <t>250m North of Beerburrum Woodford Rd</t>
  </si>
  <si>
    <t>-26.947288</t>
  </si>
  <si>
    <t>152.918129</t>
  </si>
  <si>
    <t>63</t>
  </si>
  <si>
    <t>0</t>
  </si>
  <si>
    <t>65</t>
  </si>
  <si>
    <t>109</t>
  </si>
  <si>
    <t>115</t>
  </si>
  <si>
    <t>32</t>
  </si>
  <si>
    <t>33</t>
  </si>
  <si>
    <t>66</t>
  </si>
  <si>
    <t>270</t>
  </si>
  <si>
    <t>7</t>
  </si>
  <si>
    <t>279</t>
  </si>
  <si>
    <t>9.05</t>
  </si>
  <si>
    <t>D'Aguilar Hwy</t>
  </si>
  <si>
    <t>500m North of Mount Mee Road</t>
  </si>
  <si>
    <t>-26.984503</t>
  </si>
  <si>
    <t>152.7957</t>
  </si>
  <si>
    <t>689</t>
  </si>
  <si>
    <t>18</t>
  </si>
  <si>
    <t>739</t>
  </si>
  <si>
    <t>2000</t>
  </si>
  <si>
    <t>93</t>
  </si>
  <si>
    <t>2245</t>
  </si>
  <si>
    <t>622</t>
  </si>
  <si>
    <t>668</t>
  </si>
  <si>
    <t>1001</t>
  </si>
  <si>
    <t>35</t>
  </si>
  <si>
    <t>1076</t>
  </si>
  <si>
    <t>4312</t>
  </si>
  <si>
    <t>254</t>
  </si>
  <si>
    <t>162</t>
  </si>
  <si>
    <t>4728</t>
  </si>
  <si>
    <t>9.06</t>
  </si>
  <si>
    <t>Mt Mee - Woodford Rd</t>
  </si>
  <si>
    <t>250m North of Robinsons Road</t>
  </si>
  <si>
    <t>-27.048216</t>
  </si>
  <si>
    <t>152.771577</t>
  </si>
  <si>
    <t>26</t>
  </si>
  <si>
    <t>3</t>
  </si>
  <si>
    <t>29</t>
  </si>
  <si>
    <t>138</t>
  </si>
  <si>
    <t>16</t>
  </si>
  <si>
    <t>156</t>
  </si>
  <si>
    <t>49</t>
  </si>
  <si>
    <t>53</t>
  </si>
  <si>
    <t>64</t>
  </si>
  <si>
    <t>6</t>
  </si>
  <si>
    <t>71</t>
  </si>
  <si>
    <t>277</t>
  </si>
  <si>
    <t>309</t>
  </si>
  <si>
    <t>Dir2</t>
  </si>
  <si>
    <t>Northbound</t>
  </si>
  <si>
    <t>2564</t>
  </si>
  <si>
    <t>271</t>
  </si>
  <si>
    <t>136</t>
  </si>
  <si>
    <t>2971</t>
  </si>
  <si>
    <t>9159</t>
  </si>
  <si>
    <t>927</t>
  </si>
  <si>
    <t>604</t>
  </si>
  <si>
    <t>10697</t>
  </si>
  <si>
    <t>3432</t>
  </si>
  <si>
    <t>203</t>
  </si>
  <si>
    <t>120</t>
  </si>
  <si>
    <t>3755</t>
  </si>
  <si>
    <t>4660</t>
  </si>
  <si>
    <t>439</t>
  </si>
  <si>
    <t>580</t>
  </si>
  <si>
    <t>5680</t>
  </si>
  <si>
    <t>19815</t>
  </si>
  <si>
    <t>1840</t>
  </si>
  <si>
    <t>1440</t>
  </si>
  <si>
    <t>23103</t>
  </si>
  <si>
    <t>328</t>
  </si>
  <si>
    <t>37</t>
  </si>
  <si>
    <t>384</t>
  </si>
  <si>
    <t>1441</t>
  </si>
  <si>
    <t>118</t>
  </si>
  <si>
    <t>62</t>
  </si>
  <si>
    <t>1621</t>
  </si>
  <si>
    <t>631</t>
  </si>
  <si>
    <t>27</t>
  </si>
  <si>
    <t>11</t>
  </si>
  <si>
    <t>669</t>
  </si>
  <si>
    <t>715</t>
  </si>
  <si>
    <t>39</t>
  </si>
  <si>
    <t>34</t>
  </si>
  <si>
    <t>788</t>
  </si>
  <si>
    <t>3115</t>
  </si>
  <si>
    <t>221</t>
  </si>
  <si>
    <t>126</t>
  </si>
  <si>
    <t>3462</t>
  </si>
  <si>
    <t>634</t>
  </si>
  <si>
    <t>677</t>
  </si>
  <si>
    <t>247</t>
  </si>
  <si>
    <t>249</t>
  </si>
  <si>
    <t>1268</t>
  </si>
  <si>
    <t>81</t>
  </si>
  <si>
    <t>1357</t>
  </si>
  <si>
    <t>119</t>
  </si>
  <si>
    <t>48</t>
  </si>
  <si>
    <t>222</t>
  </si>
  <si>
    <t>10</t>
  </si>
  <si>
    <t>233</t>
  </si>
  <si>
    <t>621</t>
  </si>
  <si>
    <t>73</t>
  </si>
  <si>
    <t>21</t>
  </si>
  <si>
    <t>1852</t>
  </si>
  <si>
    <t>202</t>
  </si>
  <si>
    <t>85</t>
  </si>
  <si>
    <t>2139</t>
  </si>
  <si>
    <t>723</t>
  </si>
  <si>
    <t>51</t>
  </si>
  <si>
    <t>790</t>
  </si>
  <si>
    <t>916</t>
  </si>
  <si>
    <t>50</t>
  </si>
  <si>
    <t>1051</t>
  </si>
  <si>
    <t>4112</t>
  </si>
  <si>
    <t>411</t>
  </si>
  <si>
    <t>172</t>
  </si>
  <si>
    <t>4695</t>
  </si>
  <si>
    <t>154</t>
  </si>
  <si>
    <t>55</t>
  </si>
  <si>
    <t>274</t>
  </si>
  <si>
    <t>294</t>
  </si>
  <si>
    <t>10.01</t>
  </si>
  <si>
    <t xml:space="preserve"> Bruce Highway (Caboolture)</t>
  </si>
  <si>
    <t>Beerburrum - Donnybrook Road</t>
  </si>
  <si>
    <t>East of Bruce Highway</t>
  </si>
  <si>
    <t>Westbound</t>
  </si>
  <si>
    <t>-26.985318</t>
  </si>
  <si>
    <t>152.984775</t>
  </si>
  <si>
    <t>15</t>
  </si>
  <si>
    <t>5</t>
  </si>
  <si>
    <t>61</t>
  </si>
  <si>
    <t>14</t>
  </si>
  <si>
    <t>24</t>
  </si>
  <si>
    <t>95</t>
  </si>
  <si>
    <t>10.02</t>
  </si>
  <si>
    <t>Pumicestone Road</t>
  </si>
  <si>
    <t>-27.040014</t>
  </si>
  <si>
    <t>152.98481</t>
  </si>
  <si>
    <t>31</t>
  </si>
  <si>
    <t>314</t>
  </si>
  <si>
    <t>571</t>
  </si>
  <si>
    <t>70</t>
  </si>
  <si>
    <t>12</t>
  </si>
  <si>
    <t>653</t>
  </si>
  <si>
    <t>135</t>
  </si>
  <si>
    <t>157</t>
  </si>
  <si>
    <t>341</t>
  </si>
  <si>
    <t>382</t>
  </si>
  <si>
    <t>1326</t>
  </si>
  <si>
    <t>151</t>
  </si>
  <si>
    <t>1506</t>
  </si>
  <si>
    <t>10.03</t>
  </si>
  <si>
    <t>Caboolture - Bribie Island Rd</t>
  </si>
  <si>
    <t>East of Old Toorbul Point Road</t>
  </si>
  <si>
    <t>-27.073651</t>
  </si>
  <si>
    <t>153.021573</t>
  </si>
  <si>
    <t>2043</t>
  </si>
  <si>
    <t>2150</t>
  </si>
  <si>
    <t>4353</t>
  </si>
  <si>
    <t>300</t>
  </si>
  <si>
    <t>79</t>
  </si>
  <si>
    <t>4732</t>
  </si>
  <si>
    <t>974</t>
  </si>
  <si>
    <t>43</t>
  </si>
  <si>
    <t>1032</t>
  </si>
  <si>
    <t>2821</t>
  </si>
  <si>
    <t>124</t>
  </si>
  <si>
    <t>23</t>
  </si>
  <si>
    <t>2968</t>
  </si>
  <si>
    <t>10191</t>
  </si>
  <si>
    <t>555</t>
  </si>
  <si>
    <t>10882</t>
  </si>
  <si>
    <t>10.04</t>
  </si>
  <si>
    <t>Caboolture - Beachmere Road</t>
  </si>
  <si>
    <t>South of Hickey Road</t>
  </si>
  <si>
    <t>-27.09224</t>
  </si>
  <si>
    <t>152.994813</t>
  </si>
  <si>
    <t>476</t>
  </si>
  <si>
    <t>502</t>
  </si>
  <si>
    <t>1129</t>
  </si>
  <si>
    <t>68</t>
  </si>
  <si>
    <t>1207</t>
  </si>
  <si>
    <t>36</t>
  </si>
  <si>
    <t>2485</t>
  </si>
  <si>
    <t>2635</t>
  </si>
  <si>
    <t>Eastbound</t>
  </si>
  <si>
    <t>97</t>
  </si>
  <si>
    <t>112</t>
  </si>
  <si>
    <t>91</t>
  </si>
  <si>
    <t>116</t>
  </si>
  <si>
    <t>658</t>
  </si>
  <si>
    <t>734</t>
  </si>
  <si>
    <t>283</t>
  </si>
  <si>
    <t>303</t>
  </si>
  <si>
    <t>308</t>
  </si>
  <si>
    <t>331</t>
  </si>
  <si>
    <t>1340</t>
  </si>
  <si>
    <t>113</t>
  </si>
  <si>
    <t>1484</t>
  </si>
  <si>
    <t>1013</t>
  </si>
  <si>
    <t>44</t>
  </si>
  <si>
    <t>1066</t>
  </si>
  <si>
    <t>4655</t>
  </si>
  <si>
    <t>321</t>
  </si>
  <si>
    <t>84</t>
  </si>
  <si>
    <t>5060</t>
  </si>
  <si>
    <t>2217</t>
  </si>
  <si>
    <t>98</t>
  </si>
  <si>
    <t>2349</t>
  </si>
  <si>
    <t>2224</t>
  </si>
  <si>
    <t>2340</t>
  </si>
  <si>
    <t>10128</t>
  </si>
  <si>
    <t>552</t>
  </si>
  <si>
    <t>10815</t>
  </si>
  <si>
    <t>219</t>
  </si>
  <si>
    <t>235</t>
  </si>
  <si>
    <t>1208</t>
  </si>
  <si>
    <t>1282</t>
  </si>
  <si>
    <t>478</t>
  </si>
  <si>
    <t>495</t>
  </si>
  <si>
    <t>545</t>
  </si>
  <si>
    <t>25</t>
  </si>
  <si>
    <t>572</t>
  </si>
  <si>
    <t>2450</t>
  </si>
  <si>
    <t>2584</t>
  </si>
  <si>
    <t>13.01</t>
  </si>
  <si>
    <t xml:space="preserve"> Pine/Caboolture Border</t>
  </si>
  <si>
    <t>Brighton-Redcliffe Rd</t>
  </si>
  <si>
    <t>At South Pine River</t>
  </si>
  <si>
    <t>-27.283735</t>
  </si>
  <si>
    <t>153.063723</t>
  </si>
  <si>
    <t>4387</t>
  </si>
  <si>
    <t>22</t>
  </si>
  <si>
    <t>4582</t>
  </si>
  <si>
    <t>6952</t>
  </si>
  <si>
    <t>546</t>
  </si>
  <si>
    <t>7562</t>
  </si>
  <si>
    <t>2145</t>
  </si>
  <si>
    <t>2240</t>
  </si>
  <si>
    <t>6746</t>
  </si>
  <si>
    <t>7086</t>
  </si>
  <si>
    <t>20230</t>
  </si>
  <si>
    <t>1115</t>
  </si>
  <si>
    <t>125</t>
  </si>
  <si>
    <t>21470</t>
  </si>
  <si>
    <t>11.01</t>
  </si>
  <si>
    <t>Anzac Av</t>
  </si>
  <si>
    <t>Hays Creek</t>
  </si>
  <si>
    <t>-27.223838</t>
  </si>
  <si>
    <t>153.037673</t>
  </si>
  <si>
    <t>1866</t>
  </si>
  <si>
    <t>137</t>
  </si>
  <si>
    <t>2012</t>
  </si>
  <si>
    <t>6124</t>
  </si>
  <si>
    <t>548</t>
  </si>
  <si>
    <t>6708</t>
  </si>
  <si>
    <t>2149</t>
  </si>
  <si>
    <t>2281</t>
  </si>
  <si>
    <t>3345</t>
  </si>
  <si>
    <t>278</t>
  </si>
  <si>
    <t>3638</t>
  </si>
  <si>
    <t>13484</t>
  </si>
  <si>
    <t>1086</t>
  </si>
  <si>
    <t>14639</t>
  </si>
  <si>
    <t>11.02</t>
  </si>
  <si>
    <t>North South Arterial Rd</t>
  </si>
  <si>
    <t>South of Boundary Rd (east of Bruce Hwy)</t>
  </si>
  <si>
    <t>-27.213037</t>
  </si>
  <si>
    <t>152.999318</t>
  </si>
  <si>
    <t>388</t>
  </si>
  <si>
    <t>431</t>
  </si>
  <si>
    <t>1099</t>
  </si>
  <si>
    <t>1206</t>
  </si>
  <si>
    <t>700</t>
  </si>
  <si>
    <t>720</t>
  </si>
  <si>
    <t>981</t>
  </si>
  <si>
    <t>3114</t>
  </si>
  <si>
    <t>199</t>
  </si>
  <si>
    <t>3338</t>
  </si>
  <si>
    <t>11.03</t>
  </si>
  <si>
    <t>Bruce Highway</t>
  </si>
  <si>
    <t>South of Pine Rivers Border</t>
  </si>
  <si>
    <t>-27.216644</t>
  </si>
  <si>
    <t>152.995198</t>
  </si>
  <si>
    <t>5912</t>
  </si>
  <si>
    <t>319</t>
  </si>
  <si>
    <t>6481</t>
  </si>
  <si>
    <t>16875</t>
  </si>
  <si>
    <t>1233</t>
  </si>
  <si>
    <t>944</t>
  </si>
  <si>
    <t>19052</t>
  </si>
  <si>
    <t>5295</t>
  </si>
  <si>
    <t>158</t>
  </si>
  <si>
    <t>153</t>
  </si>
  <si>
    <t>5606</t>
  </si>
  <si>
    <t>13779</t>
  </si>
  <si>
    <t>601</t>
  </si>
  <si>
    <t>826</t>
  </si>
  <si>
    <t>15206</t>
  </si>
  <si>
    <t>41861</t>
  </si>
  <si>
    <t>2311</t>
  </si>
  <si>
    <t>2173</t>
  </si>
  <si>
    <t>46345</t>
  </si>
  <si>
    <t>11.04</t>
  </si>
  <si>
    <t>Pine Rivers Border - 400m sth of Boundary Rd</t>
  </si>
  <si>
    <t>-27.214755</t>
  </si>
  <si>
    <t>152.988009</t>
  </si>
  <si>
    <t>1200</t>
  </si>
  <si>
    <t>1287</t>
  </si>
  <si>
    <t>2507</t>
  </si>
  <si>
    <t>188</t>
  </si>
  <si>
    <t>45</t>
  </si>
  <si>
    <t>2741</t>
  </si>
  <si>
    <t>976</t>
  </si>
  <si>
    <t>997</t>
  </si>
  <si>
    <t>1554</t>
  </si>
  <si>
    <t>1637</t>
  </si>
  <si>
    <t>6237</t>
  </si>
  <si>
    <t>343</t>
  </si>
  <si>
    <t>6662</t>
  </si>
  <si>
    <t>11.05</t>
  </si>
  <si>
    <t>Thompson Rd</t>
  </si>
  <si>
    <t>South of Boundary Rd</t>
  </si>
  <si>
    <t>-27.218418</t>
  </si>
  <si>
    <t>152.969642</t>
  </si>
  <si>
    <t>11.06</t>
  </si>
  <si>
    <t>Narangba Rd</t>
  </si>
  <si>
    <t>152.968869</t>
  </si>
  <si>
    <t>1467</t>
  </si>
  <si>
    <t>76</t>
  </si>
  <si>
    <t>1562</t>
  </si>
  <si>
    <t>1580</t>
  </si>
  <si>
    <t>1736</t>
  </si>
  <si>
    <t>645</t>
  </si>
  <si>
    <t>670</t>
  </si>
  <si>
    <t>1936</t>
  </si>
  <si>
    <t>110</t>
  </si>
  <si>
    <t>2075</t>
  </si>
  <si>
    <t>5628</t>
  </si>
  <si>
    <t>335</t>
  </si>
  <si>
    <t>80</t>
  </si>
  <si>
    <t>6043</t>
  </si>
  <si>
    <t>11.07</t>
  </si>
  <si>
    <t>Browns Rd</t>
  </si>
  <si>
    <t>Pine Rivers Border</t>
  </si>
  <si>
    <t>-27.212083</t>
  </si>
  <si>
    <t>152.951875</t>
  </si>
  <si>
    <t>325</t>
  </si>
  <si>
    <t>376</t>
  </si>
  <si>
    <t>465</t>
  </si>
  <si>
    <t>163</t>
  </si>
  <si>
    <t>191</t>
  </si>
  <si>
    <t>340</t>
  </si>
  <si>
    <t>87</t>
  </si>
  <si>
    <t>433</t>
  </si>
  <si>
    <t>1150</t>
  </si>
  <si>
    <t>1414</t>
  </si>
  <si>
    <t>11.08</t>
  </si>
  <si>
    <t>Smith Rd</t>
  </si>
  <si>
    <t>North of Thedore Rd</t>
  </si>
  <si>
    <t>-27.199793</t>
  </si>
  <si>
    <t>152.90823</t>
  </si>
  <si>
    <t>78</t>
  </si>
  <si>
    <t>214</t>
  </si>
  <si>
    <t>20</t>
  </si>
  <si>
    <t>236</t>
  </si>
  <si>
    <t>11.09</t>
  </si>
  <si>
    <t>Brisbane-Woodford Rd</t>
  </si>
  <si>
    <t>North of Dayboro Road</t>
  </si>
  <si>
    <t>-27.194068</t>
  </si>
  <si>
    <t>152.826347</t>
  </si>
  <si>
    <t>391</t>
  </si>
  <si>
    <t>58</t>
  </si>
  <si>
    <t>454</t>
  </si>
  <si>
    <t>132</t>
  </si>
  <si>
    <t>186</t>
  </si>
  <si>
    <t>861</t>
  </si>
  <si>
    <t>96</t>
  </si>
  <si>
    <t>963</t>
  </si>
  <si>
    <t>2068</t>
  </si>
  <si>
    <t>181</t>
  </si>
  <si>
    <t>2269</t>
  </si>
  <si>
    <t>7803</t>
  </si>
  <si>
    <t>706</t>
  </si>
  <si>
    <t>8577</t>
  </si>
  <si>
    <t>4594</t>
  </si>
  <si>
    <t>201</t>
  </si>
  <si>
    <t>4808</t>
  </si>
  <si>
    <t>4962</t>
  </si>
  <si>
    <t>5208</t>
  </si>
  <si>
    <t>19427</t>
  </si>
  <si>
    <t>1307</t>
  </si>
  <si>
    <t>128</t>
  </si>
  <si>
    <t>20862</t>
  </si>
  <si>
    <t>2234</t>
  </si>
  <si>
    <t>2325</t>
  </si>
  <si>
    <t>6229</t>
  </si>
  <si>
    <t>280</t>
  </si>
  <si>
    <t>6536</t>
  </si>
  <si>
    <t>2199</t>
  </si>
  <si>
    <t>2255</t>
  </si>
  <si>
    <t>3225</t>
  </si>
  <si>
    <t>99</t>
  </si>
  <si>
    <t>3336</t>
  </si>
  <si>
    <t>13887</t>
  </si>
  <si>
    <t>513</t>
  </si>
  <si>
    <t>14452</t>
  </si>
  <si>
    <t>542</t>
  </si>
  <si>
    <t>594</t>
  </si>
  <si>
    <t>1168</t>
  </si>
  <si>
    <t>139</t>
  </si>
  <si>
    <t>1319</t>
  </si>
  <si>
    <t>492</t>
  </si>
  <si>
    <t>517</t>
  </si>
  <si>
    <t>828</t>
  </si>
  <si>
    <t>871</t>
  </si>
  <si>
    <t>3030</t>
  </si>
  <si>
    <t>251</t>
  </si>
  <si>
    <t>3301</t>
  </si>
  <si>
    <t>5040</t>
  </si>
  <si>
    <t>256</t>
  </si>
  <si>
    <t>5684</t>
  </si>
  <si>
    <t>19952</t>
  </si>
  <si>
    <t>1514</t>
  </si>
  <si>
    <t>1056</t>
  </si>
  <si>
    <t>22522</t>
  </si>
  <si>
    <t>9876</t>
  </si>
  <si>
    <t>267</t>
  </si>
  <si>
    <t>10346</t>
  </si>
  <si>
    <t>11875</t>
  </si>
  <si>
    <t>435</t>
  </si>
  <si>
    <t>745</t>
  </si>
  <si>
    <t>13055</t>
  </si>
  <si>
    <t>46743</t>
  </si>
  <si>
    <t>2604</t>
  </si>
  <si>
    <t>2260</t>
  </si>
  <si>
    <t>51607</t>
  </si>
  <si>
    <t>945</t>
  </si>
  <si>
    <t>1038</t>
  </si>
  <si>
    <t>2481</t>
  </si>
  <si>
    <t>291</t>
  </si>
  <si>
    <t>52</t>
  </si>
  <si>
    <t>2824</t>
  </si>
  <si>
    <t>1067</t>
  </si>
  <si>
    <t>59</t>
  </si>
  <si>
    <t>1135</t>
  </si>
  <si>
    <t>1277</t>
  </si>
  <si>
    <t>86</t>
  </si>
  <si>
    <t>1369</t>
  </si>
  <si>
    <t>5770</t>
  </si>
  <si>
    <t>515</t>
  </si>
  <si>
    <t>6366</t>
  </si>
  <si>
    <t>593</t>
  </si>
  <si>
    <t>1750</t>
  </si>
  <si>
    <t>130</t>
  </si>
  <si>
    <t>42</t>
  </si>
  <si>
    <t>1922</t>
  </si>
  <si>
    <t>1113</t>
  </si>
  <si>
    <t>1156</t>
  </si>
  <si>
    <t>41</t>
  </si>
  <si>
    <t>1214</t>
  </si>
  <si>
    <t>4573</t>
  </si>
  <si>
    <t>248</t>
  </si>
  <si>
    <t>4885</t>
  </si>
  <si>
    <t>176</t>
  </si>
  <si>
    <t>190</t>
  </si>
  <si>
    <t>485</t>
  </si>
  <si>
    <t>530</t>
  </si>
  <si>
    <t>364</t>
  </si>
  <si>
    <t>380</t>
  </si>
  <si>
    <t>290</t>
  </si>
  <si>
    <t>313</t>
  </si>
  <si>
    <t>1315</t>
  </si>
  <si>
    <t>89</t>
  </si>
  <si>
    <t>1413</t>
  </si>
  <si>
    <t>82</t>
  </si>
  <si>
    <t>94</t>
  </si>
  <si>
    <t>206</t>
  </si>
  <si>
    <t>230</t>
  </si>
  <si>
    <t>108</t>
  </si>
  <si>
    <t>375</t>
  </si>
  <si>
    <t>470</t>
  </si>
  <si>
    <t>175</t>
  </si>
  <si>
    <t>204</t>
  </si>
  <si>
    <t>195</t>
  </si>
  <si>
    <t>803</t>
  </si>
  <si>
    <t>160</t>
  </si>
  <si>
    <t>977</t>
  </si>
  <si>
    <t xml:space="preserve"> South Pine River</t>
  </si>
  <si>
    <t>13.02</t>
  </si>
  <si>
    <t>-27.30084</t>
  </si>
  <si>
    <t>153.016312</t>
  </si>
  <si>
    <t>11223</t>
  </si>
  <si>
    <t>273</t>
  </si>
  <si>
    <t>12055</t>
  </si>
  <si>
    <t>23228</t>
  </si>
  <si>
    <t>2026</t>
  </si>
  <si>
    <t>1050</t>
  </si>
  <si>
    <t>26312</t>
  </si>
  <si>
    <t>7121</t>
  </si>
  <si>
    <t>363</t>
  </si>
  <si>
    <t>7646</t>
  </si>
  <si>
    <t>22344</t>
  </si>
  <si>
    <t>1412</t>
  </si>
  <si>
    <t>814</t>
  </si>
  <si>
    <t>24581</t>
  </si>
  <si>
    <t>63916</t>
  </si>
  <si>
    <t>4356</t>
  </si>
  <si>
    <t>2299</t>
  </si>
  <si>
    <t>70594</t>
  </si>
  <si>
    <t>13.02a</t>
  </si>
  <si>
    <t>Gympie Arterial Rd</t>
  </si>
  <si>
    <t>300m south of Gateway merge</t>
  </si>
  <si>
    <t>6914</t>
  </si>
  <si>
    <t>287</t>
  </si>
  <si>
    <t>7255</t>
  </si>
  <si>
    <t>12935</t>
  </si>
  <si>
    <t>863</t>
  </si>
  <si>
    <t>167</t>
  </si>
  <si>
    <t>13966</t>
  </si>
  <si>
    <t>4029</t>
  </si>
  <si>
    <t>4184</t>
  </si>
  <si>
    <t>12057</t>
  </si>
  <si>
    <t>637</t>
  </si>
  <si>
    <t>147</t>
  </si>
  <si>
    <t>12844</t>
  </si>
  <si>
    <t>35935</t>
  </si>
  <si>
    <t>386</t>
  </si>
  <si>
    <t>38249</t>
  </si>
  <si>
    <t>13.02b</t>
  </si>
  <si>
    <t>Gateway Mwy</t>
  </si>
  <si>
    <t>Northbound On ramp to Gympie Arterial Rd</t>
  </si>
  <si>
    <t>-27.302947</t>
  </si>
  <si>
    <t>153.018018</t>
  </si>
  <si>
    <t>4309</t>
  </si>
  <si>
    <t>269</t>
  </si>
  <si>
    <t>220</t>
  </si>
  <si>
    <t>4799</t>
  </si>
  <si>
    <t>10295</t>
  </si>
  <si>
    <t>1160</t>
  </si>
  <si>
    <t>885</t>
  </si>
  <si>
    <t>12343</t>
  </si>
  <si>
    <t>3093</t>
  </si>
  <si>
    <t>227</t>
  </si>
  <si>
    <t>140</t>
  </si>
  <si>
    <t>3460</t>
  </si>
  <si>
    <t>10283</t>
  </si>
  <si>
    <t>772</t>
  </si>
  <si>
    <t>666</t>
  </si>
  <si>
    <t>11729</t>
  </si>
  <si>
    <t>27980</t>
  </si>
  <si>
    <t>2428</t>
  </si>
  <si>
    <t>1911</t>
  </si>
  <si>
    <t>32331</t>
  </si>
  <si>
    <t>13.03</t>
  </si>
  <si>
    <t>Gympie Road</t>
  </si>
  <si>
    <t>-27.316415</t>
  </si>
  <si>
    <t>153.002543</t>
  </si>
  <si>
    <t>2369</t>
  </si>
  <si>
    <t>2563</t>
  </si>
  <si>
    <t>7750</t>
  </si>
  <si>
    <t>178</t>
  </si>
  <si>
    <t>8598</t>
  </si>
  <si>
    <t>2938</t>
  </si>
  <si>
    <t>3053</t>
  </si>
  <si>
    <t>4497</t>
  </si>
  <si>
    <t>244</t>
  </si>
  <si>
    <t>4809</t>
  </si>
  <si>
    <t>17554</t>
  </si>
  <si>
    <t>1157</t>
  </si>
  <si>
    <t>19023</t>
  </si>
  <si>
    <t>13.04</t>
  </si>
  <si>
    <t>Linkfield Road</t>
  </si>
  <si>
    <t>-27.329647</t>
  </si>
  <si>
    <t>152.994854</t>
  </si>
  <si>
    <t>1820</t>
  </si>
  <si>
    <t>750</t>
  </si>
  <si>
    <t>2656</t>
  </si>
  <si>
    <t>3701</t>
  </si>
  <si>
    <t>2394</t>
  </si>
  <si>
    <t>304</t>
  </si>
  <si>
    <t>6399</t>
  </si>
  <si>
    <t>1680</t>
  </si>
  <si>
    <t>789</t>
  </si>
  <si>
    <t>2518</t>
  </si>
  <si>
    <t>1272</t>
  </si>
  <si>
    <t>3507</t>
  </si>
  <si>
    <t>9340</t>
  </si>
  <si>
    <t>5205</t>
  </si>
  <si>
    <t>532</t>
  </si>
  <si>
    <t>15080</t>
  </si>
  <si>
    <t>13.05</t>
  </si>
  <si>
    <t>South Pine Road</t>
  </si>
  <si>
    <t>-27.341599</t>
  </si>
  <si>
    <t>152.961144</t>
  </si>
  <si>
    <t>4628</t>
  </si>
  <si>
    <t>4868</t>
  </si>
  <si>
    <t>7832</t>
  </si>
  <si>
    <t>521</t>
  </si>
  <si>
    <t>69</t>
  </si>
  <si>
    <t>8423</t>
  </si>
  <si>
    <t>2823</t>
  </si>
  <si>
    <t>2931</t>
  </si>
  <si>
    <t>6363</t>
  </si>
  <si>
    <t>324</t>
  </si>
  <si>
    <t>6773</t>
  </si>
  <si>
    <t>21646</t>
  </si>
  <si>
    <t>1124</t>
  </si>
  <si>
    <t>146</t>
  </si>
  <si>
    <t>22995</t>
  </si>
  <si>
    <t>13.07</t>
  </si>
  <si>
    <t>Strathpine-Samford Road</t>
  </si>
  <si>
    <t>-27.355512</t>
  </si>
  <si>
    <t>152.882481</t>
  </si>
  <si>
    <t>1155</t>
  </si>
  <si>
    <t>1289</t>
  </si>
  <si>
    <t>1713</t>
  </si>
  <si>
    <t>262</t>
  </si>
  <si>
    <t>1998</t>
  </si>
  <si>
    <t>557</t>
  </si>
  <si>
    <t>619</t>
  </si>
  <si>
    <t>1057</t>
  </si>
  <si>
    <t>1199</t>
  </si>
  <si>
    <t>4482</t>
  </si>
  <si>
    <t>579</t>
  </si>
  <si>
    <t>5105</t>
  </si>
  <si>
    <t>-27.298819</t>
  </si>
  <si>
    <t>153.017192</t>
  </si>
  <si>
    <t>6153</t>
  </si>
  <si>
    <t>6971</t>
  </si>
  <si>
    <t>26934</t>
  </si>
  <si>
    <t>2380</t>
  </si>
  <si>
    <t>1126</t>
  </si>
  <si>
    <t>30449</t>
  </si>
  <si>
    <t>14010</t>
  </si>
  <si>
    <t>592</t>
  </si>
  <si>
    <t>14835</t>
  </si>
  <si>
    <t>17831</t>
  </si>
  <si>
    <t>1016</t>
  </si>
  <si>
    <t>19653</t>
  </si>
  <si>
    <t>64928</t>
  </si>
  <si>
    <t>4533</t>
  </si>
  <si>
    <t>2432</t>
  </si>
  <si>
    <t>71908</t>
  </si>
  <si>
    <t>3117</t>
  </si>
  <si>
    <t>210</t>
  </si>
  <si>
    <t>3368</t>
  </si>
  <si>
    <t>14032</t>
  </si>
  <si>
    <t>1083</t>
  </si>
  <si>
    <t>223</t>
  </si>
  <si>
    <t>15341</t>
  </si>
  <si>
    <t>7818</t>
  </si>
  <si>
    <t>292</t>
  </si>
  <si>
    <t>56</t>
  </si>
  <si>
    <t>8166</t>
  </si>
  <si>
    <t>8897</t>
  </si>
  <si>
    <t>370</t>
  </si>
  <si>
    <t>102</t>
  </si>
  <si>
    <t>9369</t>
  </si>
  <si>
    <t>33864</t>
  </si>
  <si>
    <t>1955</t>
  </si>
  <si>
    <t>422</t>
  </si>
  <si>
    <t>36244</t>
  </si>
  <si>
    <t>Southbound Off ramp to Gateway Mwy</t>
  </si>
  <si>
    <t>-27.302308</t>
  </si>
  <si>
    <t>153.018544</t>
  </si>
  <si>
    <t>3037</t>
  </si>
  <si>
    <t>336</t>
  </si>
  <si>
    <t>231</t>
  </si>
  <si>
    <t>3604</t>
  </si>
  <si>
    <t>12897</t>
  </si>
  <si>
    <t>1300</t>
  </si>
  <si>
    <t>899</t>
  </si>
  <si>
    <t>15102</t>
  </si>
  <si>
    <t>6192</t>
  </si>
  <si>
    <t>299</t>
  </si>
  <si>
    <t>6665</t>
  </si>
  <si>
    <t>8940</t>
  </si>
  <si>
    <t>638</t>
  </si>
  <si>
    <t>696</t>
  </si>
  <si>
    <t>10276</t>
  </si>
  <si>
    <t>31066</t>
  </si>
  <si>
    <t>2573</t>
  </si>
  <si>
    <t>1999</t>
  </si>
  <si>
    <t>35647</t>
  </si>
  <si>
    <t>2893</t>
  </si>
  <si>
    <t>259</t>
  </si>
  <si>
    <t>3205</t>
  </si>
  <si>
    <t>7758</t>
  </si>
  <si>
    <t>994</t>
  </si>
  <si>
    <t>174</t>
  </si>
  <si>
    <t>8932</t>
  </si>
  <si>
    <t>2406</t>
  </si>
  <si>
    <t>3964</t>
  </si>
  <si>
    <t>360</t>
  </si>
  <si>
    <t>4398</t>
  </si>
  <si>
    <t>17021</t>
  </si>
  <si>
    <t>1773</t>
  </si>
  <si>
    <t>19119</t>
  </si>
  <si>
    <t>1664</t>
  </si>
  <si>
    <t>297</t>
  </si>
  <si>
    <t>2035</t>
  </si>
  <si>
    <t>4860</t>
  </si>
  <si>
    <t>263</t>
  </si>
  <si>
    <t>6322</t>
  </si>
  <si>
    <t>2323</t>
  </si>
  <si>
    <t>2634</t>
  </si>
  <si>
    <t>3078</t>
  </si>
  <si>
    <t>402</t>
  </si>
  <si>
    <t>3517</t>
  </si>
  <si>
    <t>11925</t>
  </si>
  <si>
    <t>2165</t>
  </si>
  <si>
    <t>416</t>
  </si>
  <si>
    <t>14508</t>
  </si>
  <si>
    <t>2447</t>
  </si>
  <si>
    <t>473</t>
  </si>
  <si>
    <t>8975</t>
  </si>
  <si>
    <t>4826</t>
  </si>
  <si>
    <t>4943</t>
  </si>
  <si>
    <t>5619</t>
  </si>
  <si>
    <t>5801</t>
  </si>
  <si>
    <t>21208</t>
  </si>
  <si>
    <t>821</t>
  </si>
  <si>
    <t>122</t>
  </si>
  <si>
    <t>22166</t>
  </si>
  <si>
    <t>550</t>
  </si>
  <si>
    <t>289</t>
  </si>
  <si>
    <t>1133</t>
  </si>
  <si>
    <t>1093</t>
  </si>
  <si>
    <t>1190</t>
  </si>
  <si>
    <t>4519</t>
  </si>
  <si>
    <t>547</t>
  </si>
  <si>
    <t>5113</t>
  </si>
  <si>
    <t>14.01</t>
  </si>
  <si>
    <t xml:space="preserve"> Cabbage Tree Creek</t>
  </si>
  <si>
    <t>Sandgate Road</t>
  </si>
  <si>
    <t>At / near Cabbage Tree Creek</t>
  </si>
  <si>
    <t>-27.336736</t>
  </si>
  <si>
    <t>153.05943</t>
  </si>
  <si>
    <t>4218</t>
  </si>
  <si>
    <t>4391</t>
  </si>
  <si>
    <t>5785</t>
  </si>
  <si>
    <t>353</t>
  </si>
  <si>
    <t>6162</t>
  </si>
  <si>
    <t>1551</t>
  </si>
  <si>
    <t>1607</t>
  </si>
  <si>
    <t>6463</t>
  </si>
  <si>
    <t>372</t>
  </si>
  <si>
    <t>6896</t>
  </si>
  <si>
    <t>18017</t>
  </si>
  <si>
    <t>931</t>
  </si>
  <si>
    <t>19056</t>
  </si>
  <si>
    <t>14.02</t>
  </si>
  <si>
    <t>Gateway Arterial</t>
  </si>
  <si>
    <t>-27.337307</t>
  </si>
  <si>
    <t>153.065779</t>
  </si>
  <si>
    <t>6039</t>
  </si>
  <si>
    <t>481</t>
  </si>
  <si>
    <t>6821</t>
  </si>
  <si>
    <t>13433</t>
  </si>
  <si>
    <t>1834</t>
  </si>
  <si>
    <t>1143</t>
  </si>
  <si>
    <t>16412</t>
  </si>
  <si>
    <t>3753</t>
  </si>
  <si>
    <t>169</t>
  </si>
  <si>
    <t>4279</t>
  </si>
  <si>
    <t>12023</t>
  </si>
  <si>
    <t>1080</t>
  </si>
  <si>
    <t>726</t>
  </si>
  <si>
    <t>13822</t>
  </si>
  <si>
    <t>35248</t>
  </si>
  <si>
    <t>2330</t>
  </si>
  <si>
    <t>41334</t>
  </si>
  <si>
    <t>14.03</t>
  </si>
  <si>
    <t>Lemke Road</t>
  </si>
  <si>
    <t>-27.332899</t>
  </si>
  <si>
    <t>153.04509</t>
  </si>
  <si>
    <t>2517</t>
  </si>
  <si>
    <t>2616</t>
  </si>
  <si>
    <t>3480</t>
  </si>
  <si>
    <t>168</t>
  </si>
  <si>
    <t>3658</t>
  </si>
  <si>
    <t>1104</t>
  </si>
  <si>
    <t>1144</t>
  </si>
  <si>
    <t>2689</t>
  </si>
  <si>
    <t>2854</t>
  </si>
  <si>
    <t>9790</t>
  </si>
  <si>
    <t>10272</t>
  </si>
  <si>
    <t>14.04</t>
  </si>
  <si>
    <t>Roghan Road</t>
  </si>
  <si>
    <t>-27.341547</t>
  </si>
  <si>
    <t>153.044445</t>
  </si>
  <si>
    <t>1140</t>
  </si>
  <si>
    <t>1189</t>
  </si>
  <si>
    <t>1751</t>
  </si>
  <si>
    <t>1816</t>
  </si>
  <si>
    <t>574</t>
  </si>
  <si>
    <t>590</t>
  </si>
  <si>
    <t>1295</t>
  </si>
  <si>
    <t>67</t>
  </si>
  <si>
    <t>1360</t>
  </si>
  <si>
    <t>4760</t>
  </si>
  <si>
    <t>197</t>
  </si>
  <si>
    <t>4955</t>
  </si>
  <si>
    <t>14.05</t>
  </si>
  <si>
    <t>Beams Road</t>
  </si>
  <si>
    <t>-27.3496</t>
  </si>
  <si>
    <t>153.03511</t>
  </si>
  <si>
    <t>1661</t>
  </si>
  <si>
    <t>1760</t>
  </si>
  <si>
    <t>3898</t>
  </si>
  <si>
    <t>1119</t>
  </si>
  <si>
    <t>1165</t>
  </si>
  <si>
    <t>3034</t>
  </si>
  <si>
    <t>133</t>
  </si>
  <si>
    <t>3174</t>
  </si>
  <si>
    <t>9712</t>
  </si>
  <si>
    <t>100</t>
  </si>
  <si>
    <t>10317</t>
  </si>
  <si>
    <t>14.06</t>
  </si>
  <si>
    <t>Dorville Road</t>
  </si>
  <si>
    <t>-27.352119</t>
  </si>
  <si>
    <t>153.021254</t>
  </si>
  <si>
    <t>1147</t>
  </si>
  <si>
    <t>1191</t>
  </si>
  <si>
    <t>1494</t>
  </si>
  <si>
    <t>1581</t>
  </si>
  <si>
    <t>1029</t>
  </si>
  <si>
    <t>1074</t>
  </si>
  <si>
    <t>4135</t>
  </si>
  <si>
    <t>4327</t>
  </si>
  <si>
    <t>14.07</t>
  </si>
  <si>
    <t>-27.351615</t>
  </si>
  <si>
    <t>153.014461</t>
  </si>
  <si>
    <t>5954</t>
  </si>
  <si>
    <t>275</t>
  </si>
  <si>
    <t>6271</t>
  </si>
  <si>
    <t>13131</t>
  </si>
  <si>
    <t>101</t>
  </si>
  <si>
    <t>14331</t>
  </si>
  <si>
    <t>3502</t>
  </si>
  <si>
    <t>3647</t>
  </si>
  <si>
    <t>10659</t>
  </si>
  <si>
    <t>643</t>
  </si>
  <si>
    <t>11417</t>
  </si>
  <si>
    <t>33246</t>
  </si>
  <si>
    <t>35666</t>
  </si>
  <si>
    <t>14.08</t>
  </si>
  <si>
    <t>Albany Creek Sub-Arterial Rd</t>
  </si>
  <si>
    <t>-27.358301</t>
  </si>
  <si>
    <t>153.000344</t>
  </si>
  <si>
    <t>2414</t>
  </si>
  <si>
    <t>2470</t>
  </si>
  <si>
    <t>3865</t>
  </si>
  <si>
    <t>4023</t>
  </si>
  <si>
    <t>1166</t>
  </si>
  <si>
    <t>2590</t>
  </si>
  <si>
    <t>83</t>
  </si>
  <si>
    <t>2679</t>
  </si>
  <si>
    <t>10004</t>
  </si>
  <si>
    <t>318</t>
  </si>
  <si>
    <t>10338</t>
  </si>
  <si>
    <t>14.09</t>
  </si>
  <si>
    <t>Beckett Road</t>
  </si>
  <si>
    <t>-27.373388</t>
  </si>
  <si>
    <t>152.99008</t>
  </si>
  <si>
    <t>92</t>
  </si>
  <si>
    <t>2364</t>
  </si>
  <si>
    <t>4301</t>
  </si>
  <si>
    <t>4640</t>
  </si>
  <si>
    <t>1663</t>
  </si>
  <si>
    <t>1728</t>
  </si>
  <si>
    <t>3457</t>
  </si>
  <si>
    <t>3645</t>
  </si>
  <si>
    <t>11676</t>
  </si>
  <si>
    <t>589</t>
  </si>
  <si>
    <t>107</t>
  </si>
  <si>
    <t>12377</t>
  </si>
  <si>
    <t>14.1</t>
  </si>
  <si>
    <t>Hamilton Road</t>
  </si>
  <si>
    <t>-27.37887</t>
  </si>
  <si>
    <t>152.984928</t>
  </si>
  <si>
    <t>806</t>
  </si>
  <si>
    <t>837</t>
  </si>
  <si>
    <t>1531</t>
  </si>
  <si>
    <t>1642</t>
  </si>
  <si>
    <t>620</t>
  </si>
  <si>
    <t>646</t>
  </si>
  <si>
    <t>1097</t>
  </si>
  <si>
    <t>4008</t>
  </si>
  <si>
    <t>4222</t>
  </si>
  <si>
    <t>14.11</t>
  </si>
  <si>
    <t>Old Northern Road</t>
  </si>
  <si>
    <t>-27.381553</t>
  </si>
  <si>
    <t>152.982585</t>
  </si>
  <si>
    <t>4282</t>
  </si>
  <si>
    <t>4465</t>
  </si>
  <si>
    <t>5798</t>
  </si>
  <si>
    <t>463</t>
  </si>
  <si>
    <t>77</t>
  </si>
  <si>
    <t>6332</t>
  </si>
  <si>
    <t>1801</t>
  </si>
  <si>
    <t>1904</t>
  </si>
  <si>
    <t>6002</t>
  </si>
  <si>
    <t>329</t>
  </si>
  <si>
    <t>6380</t>
  </si>
  <si>
    <t>17883</t>
  </si>
  <si>
    <t>1042</t>
  </si>
  <si>
    <t>19081</t>
  </si>
  <si>
    <t>57</t>
  </si>
  <si>
    <t>4754</t>
  </si>
  <si>
    <t>228</t>
  </si>
  <si>
    <t>4989</t>
  </si>
  <si>
    <t>2799</t>
  </si>
  <si>
    <t>2868</t>
  </si>
  <si>
    <t>2678</t>
  </si>
  <si>
    <t>11014</t>
  </si>
  <si>
    <t>28</t>
  </si>
  <si>
    <t>11466</t>
  </si>
  <si>
    <t>3494</t>
  </si>
  <si>
    <t>475</t>
  </si>
  <si>
    <t>4250</t>
  </si>
  <si>
    <t>14495</t>
  </si>
  <si>
    <t>1716</t>
  </si>
  <si>
    <t>1058</t>
  </si>
  <si>
    <t>17271</t>
  </si>
  <si>
    <t>5498</t>
  </si>
  <si>
    <t>5995</t>
  </si>
  <si>
    <t>10027</t>
  </si>
  <si>
    <t>815</t>
  </si>
  <si>
    <t>11591</t>
  </si>
  <si>
    <t>33514</t>
  </si>
  <si>
    <t>3327</t>
  </si>
  <si>
    <t>39107</t>
  </si>
  <si>
    <t>949</t>
  </si>
  <si>
    <t>999</t>
  </si>
  <si>
    <t>3950</t>
  </si>
  <si>
    <t>194</t>
  </si>
  <si>
    <t>4172</t>
  </si>
  <si>
    <t>2527</t>
  </si>
  <si>
    <t>2598</t>
  </si>
  <si>
    <t>2261</t>
  </si>
  <si>
    <t>2361</t>
  </si>
  <si>
    <t>9687</t>
  </si>
  <si>
    <t>401</t>
  </si>
  <si>
    <t>10130</t>
  </si>
  <si>
    <t>421</t>
  </si>
  <si>
    <t>440</t>
  </si>
  <si>
    <t>1889</t>
  </si>
  <si>
    <t>1974</t>
  </si>
  <si>
    <t>1110</t>
  </si>
  <si>
    <t>1061</t>
  </si>
  <si>
    <t>4449</t>
  </si>
  <si>
    <t>4619</t>
  </si>
  <si>
    <t>72</t>
  </si>
  <si>
    <t>1010</t>
  </si>
  <si>
    <t>3988</t>
  </si>
  <si>
    <t>312</t>
  </si>
  <si>
    <t>4334</t>
  </si>
  <si>
    <t>1709</t>
  </si>
  <si>
    <t>2212</t>
  </si>
  <si>
    <t>2313</t>
  </si>
  <si>
    <t>8840</t>
  </si>
  <si>
    <t>9417</t>
  </si>
  <si>
    <t>381</t>
  </si>
  <si>
    <t>396</t>
  </si>
  <si>
    <t>1917</t>
  </si>
  <si>
    <t>106</t>
  </si>
  <si>
    <t>2027</t>
  </si>
  <si>
    <t>1377</t>
  </si>
  <si>
    <t>1443</t>
  </si>
  <si>
    <t>1089</t>
  </si>
  <si>
    <t>1142</t>
  </si>
  <si>
    <t>4764</t>
  </si>
  <si>
    <t>241</t>
  </si>
  <si>
    <t>5008</t>
  </si>
  <si>
    <t>3007</t>
  </si>
  <si>
    <t>260</t>
  </si>
  <si>
    <t>3308</t>
  </si>
  <si>
    <t>14312</t>
  </si>
  <si>
    <t>1475</t>
  </si>
  <si>
    <t>177</t>
  </si>
  <si>
    <t>15971</t>
  </si>
  <si>
    <t>6087</t>
  </si>
  <si>
    <t>8582</t>
  </si>
  <si>
    <t>389</t>
  </si>
  <si>
    <t>9059</t>
  </si>
  <si>
    <t>31988</t>
  </si>
  <si>
    <t>2398</t>
  </si>
  <si>
    <t>330</t>
  </si>
  <si>
    <t>34737</t>
  </si>
  <si>
    <t>796</t>
  </si>
  <si>
    <t>843</t>
  </si>
  <si>
    <t>4148</t>
  </si>
  <si>
    <t>4320</t>
  </si>
  <si>
    <t>2348</t>
  </si>
  <si>
    <t>2429</t>
  </si>
  <si>
    <t>2495</t>
  </si>
  <si>
    <t>9684</t>
  </si>
  <si>
    <t>302</t>
  </si>
  <si>
    <t>10006</t>
  </si>
  <si>
    <t>1489</t>
  </si>
  <si>
    <t>1566</t>
  </si>
  <si>
    <t>4468</t>
  </si>
  <si>
    <t>327</t>
  </si>
  <si>
    <t>4863</t>
  </si>
  <si>
    <t>2483</t>
  </si>
  <si>
    <t>2866</t>
  </si>
  <si>
    <t>2983</t>
  </si>
  <si>
    <t>11306</t>
  </si>
  <si>
    <t>111</t>
  </si>
  <si>
    <t>12002</t>
  </si>
  <si>
    <t>484</t>
  </si>
  <si>
    <t>507</t>
  </si>
  <si>
    <t>1579</t>
  </si>
  <si>
    <t>1679</t>
  </si>
  <si>
    <t>1045</t>
  </si>
  <si>
    <t>1081</t>
  </si>
  <si>
    <t>1114</t>
  </si>
  <si>
    <t>200</t>
  </si>
  <si>
    <t>4422</t>
  </si>
  <si>
    <t>1493</t>
  </si>
  <si>
    <t>1640</t>
  </si>
  <si>
    <t>6655</t>
  </si>
  <si>
    <t>623</t>
  </si>
  <si>
    <t>7370</t>
  </si>
  <si>
    <t>4514</t>
  </si>
  <si>
    <t>183</t>
  </si>
  <si>
    <t>4934</t>
  </si>
  <si>
    <t>226</t>
  </si>
  <si>
    <t>5195</t>
  </si>
  <si>
    <t>17596</t>
  </si>
  <si>
    <t>18933</t>
  </si>
  <si>
    <t>15.01</t>
  </si>
  <si>
    <t xml:space="preserve"> Kedron Brook</t>
  </si>
  <si>
    <t xml:space="preserve">Gateway Arterial </t>
  </si>
  <si>
    <t>Kedron Brook Floodway</t>
  </si>
  <si>
    <t>-27.394688</t>
  </si>
  <si>
    <t>153.093302</t>
  </si>
  <si>
    <t>3240</t>
  </si>
  <si>
    <t>352</t>
  </si>
  <si>
    <t>3871</t>
  </si>
  <si>
    <t>9655</t>
  </si>
  <si>
    <t>1222</t>
  </si>
  <si>
    <t>872</t>
  </si>
  <si>
    <t>11750</t>
  </si>
  <si>
    <t>2777</t>
  </si>
  <si>
    <t>170</t>
  </si>
  <si>
    <t>3234</t>
  </si>
  <si>
    <t>7529</t>
  </si>
  <si>
    <t>731</t>
  </si>
  <si>
    <t>596</t>
  </si>
  <si>
    <t>8857</t>
  </si>
  <si>
    <t>23201</t>
  </si>
  <si>
    <t>2592</t>
  </si>
  <si>
    <t>27712</t>
  </si>
  <si>
    <t>15.02</t>
  </si>
  <si>
    <t>Southern Cross Motorway</t>
  </si>
  <si>
    <t>Kedron Brook at Shulz Canal</t>
  </si>
  <si>
    <t>-27.40343</t>
  </si>
  <si>
    <t>153.075074</t>
  </si>
  <si>
    <t>4506</t>
  </si>
  <si>
    <t>399</t>
  </si>
  <si>
    <t>5109</t>
  </si>
  <si>
    <t>7538</t>
  </si>
  <si>
    <t>1321</t>
  </si>
  <si>
    <t>736</t>
  </si>
  <si>
    <t>9597</t>
  </si>
  <si>
    <t>2541</t>
  </si>
  <si>
    <t>2815</t>
  </si>
  <si>
    <t>603</t>
  </si>
  <si>
    <t>320</t>
  </si>
  <si>
    <t>8060</t>
  </si>
  <si>
    <t>21706</t>
  </si>
  <si>
    <t>2523</t>
  </si>
  <si>
    <t>1328</t>
  </si>
  <si>
    <t>25581</t>
  </si>
  <si>
    <t>15.03</t>
  </si>
  <si>
    <t>Nudgee Road</t>
  </si>
  <si>
    <t>-27.406876</t>
  </si>
  <si>
    <t>153.074151</t>
  </si>
  <si>
    <t>972</t>
  </si>
  <si>
    <t>1062</t>
  </si>
  <si>
    <t>2237</t>
  </si>
  <si>
    <t>754</t>
  </si>
  <si>
    <t>786</t>
  </si>
  <si>
    <t>127</t>
  </si>
  <si>
    <t>1491</t>
  </si>
  <si>
    <t>5303</t>
  </si>
  <si>
    <t>500</t>
  </si>
  <si>
    <t>5955</t>
  </si>
  <si>
    <t>15.04</t>
  </si>
  <si>
    <t>Widdop Road</t>
  </si>
  <si>
    <t>-27.409833</t>
  </si>
  <si>
    <t>153.063755</t>
  </si>
  <si>
    <t>1456</t>
  </si>
  <si>
    <t>2536</t>
  </si>
  <si>
    <t>2617</t>
  </si>
  <si>
    <t>969</t>
  </si>
  <si>
    <t>985</t>
  </si>
  <si>
    <t>1520</t>
  </si>
  <si>
    <t>1556</t>
  </si>
  <si>
    <t>6647</t>
  </si>
  <si>
    <t>NB</t>
  </si>
  <si>
    <t>15.05</t>
  </si>
  <si>
    <t>Sandgate Sub-Arterial</t>
  </si>
  <si>
    <t>Kedron Brook</t>
  </si>
  <si>
    <t>-27.410476</t>
  </si>
  <si>
    <t>153.05927</t>
  </si>
  <si>
    <t>4638</t>
  </si>
  <si>
    <t>4886</t>
  </si>
  <si>
    <t>9807</t>
  </si>
  <si>
    <t>716</t>
  </si>
  <si>
    <t>10572</t>
  </si>
  <si>
    <t>2739</t>
  </si>
  <si>
    <t>2850</t>
  </si>
  <si>
    <t>8291</t>
  </si>
  <si>
    <t>8669</t>
  </si>
  <si>
    <t>25475</t>
  </si>
  <si>
    <t>1418</t>
  </si>
  <si>
    <t>26977</t>
  </si>
  <si>
    <t>15.06</t>
  </si>
  <si>
    <t>Shaw Road</t>
  </si>
  <si>
    <t>-27.403623</t>
  </si>
  <si>
    <t>153.047705</t>
  </si>
  <si>
    <t>2763</t>
  </si>
  <si>
    <t>2802</t>
  </si>
  <si>
    <t>2830</t>
  </si>
  <si>
    <t>2919</t>
  </si>
  <si>
    <t>1084</t>
  </si>
  <si>
    <t>2334</t>
  </si>
  <si>
    <t>2381</t>
  </si>
  <si>
    <t>9003</t>
  </si>
  <si>
    <t>9186</t>
  </si>
  <si>
    <t>15.07</t>
  </si>
  <si>
    <t>Gympie Rd prior Airport Link</t>
  </si>
  <si>
    <t xml:space="preserve">Kedron Brook - Bridge Outbound </t>
  </si>
  <si>
    <t>-27.4143</t>
  </si>
  <si>
    <t>153.035071</t>
  </si>
  <si>
    <t>4618</t>
  </si>
  <si>
    <t>229</t>
  </si>
  <si>
    <t>4880</t>
  </si>
  <si>
    <t>11069</t>
  </si>
  <si>
    <t>817</t>
  </si>
  <si>
    <t>12010</t>
  </si>
  <si>
    <t>3280</t>
  </si>
  <si>
    <t>3448</t>
  </si>
  <si>
    <t>9639</t>
  </si>
  <si>
    <t>489</t>
  </si>
  <si>
    <t>10208</t>
  </si>
  <si>
    <t>28606</t>
  </si>
  <si>
    <t>1688</t>
  </si>
  <si>
    <t>252</t>
  </si>
  <si>
    <t>30546</t>
  </si>
  <si>
    <t>15.07a</t>
  </si>
  <si>
    <t>Gympie Rd at grade</t>
  </si>
  <si>
    <t xml:space="preserve">Kedron Brook - Bridge Inbound </t>
  </si>
  <si>
    <t>-</t>
  </si>
  <si>
    <t>15.07b</t>
  </si>
  <si>
    <t>Gympie Rd - Motorway</t>
  </si>
  <si>
    <t>15.08</t>
  </si>
  <si>
    <t>Bradshaw Street</t>
  </si>
  <si>
    <t>-27.420156</t>
  </si>
  <si>
    <t>153.032889</t>
  </si>
  <si>
    <t>1019</t>
  </si>
  <si>
    <t>1047</t>
  </si>
  <si>
    <t>1127</t>
  </si>
  <si>
    <t>362</t>
  </si>
  <si>
    <t>374</t>
  </si>
  <si>
    <t>940</t>
  </si>
  <si>
    <t>3350</t>
  </si>
  <si>
    <t>3488</t>
  </si>
  <si>
    <t>15.09</t>
  </si>
  <si>
    <t>Gilbert Road</t>
  </si>
  <si>
    <t>-27.421719</t>
  </si>
  <si>
    <t>153.024187</t>
  </si>
  <si>
    <t>1257</t>
  </si>
  <si>
    <t>1274</t>
  </si>
  <si>
    <t>724</t>
  </si>
  <si>
    <t>741</t>
  </si>
  <si>
    <t>322</t>
  </si>
  <si>
    <t>486</t>
  </si>
  <si>
    <t>490</t>
  </si>
  <si>
    <t>2785</t>
  </si>
  <si>
    <t>2827</t>
  </si>
  <si>
    <t>15.1</t>
  </si>
  <si>
    <t>Webster Road</t>
  </si>
  <si>
    <t>-27.419567</t>
  </si>
  <si>
    <t>153.01511</t>
  </si>
  <si>
    <t>2851</t>
  </si>
  <si>
    <t>104</t>
  </si>
  <si>
    <t>2984</t>
  </si>
  <si>
    <t>5340</t>
  </si>
  <si>
    <t>5676</t>
  </si>
  <si>
    <t>1905</t>
  </si>
  <si>
    <t>1962</t>
  </si>
  <si>
    <t>3759</t>
  </si>
  <si>
    <t>165</t>
  </si>
  <si>
    <t>3948</t>
  </si>
  <si>
    <t>13855</t>
  </si>
  <si>
    <t>648</t>
  </si>
  <si>
    <t>38</t>
  </si>
  <si>
    <t>14570</t>
  </si>
  <si>
    <t>15.11</t>
  </si>
  <si>
    <t>Shand Street</t>
  </si>
  <si>
    <t>-27.415662</t>
  </si>
  <si>
    <t>153.001099</t>
  </si>
  <si>
    <t>2117</t>
  </si>
  <si>
    <t>2289</t>
  </si>
  <si>
    <t>5084</t>
  </si>
  <si>
    <t>403</t>
  </si>
  <si>
    <t>5525</t>
  </si>
  <si>
    <t>1667</t>
  </si>
  <si>
    <t>1759</t>
  </si>
  <si>
    <t>4100</t>
  </si>
  <si>
    <t>4343</t>
  </si>
  <si>
    <t>12968</t>
  </si>
  <si>
    <t>857</t>
  </si>
  <si>
    <t>13916</t>
  </si>
  <si>
    <t>15.12</t>
  </si>
  <si>
    <t>-27.412291</t>
  </si>
  <si>
    <t>152.99228</t>
  </si>
  <si>
    <t>2328</t>
  </si>
  <si>
    <t>2499</t>
  </si>
  <si>
    <t>6580</t>
  </si>
  <si>
    <t>576</t>
  </si>
  <si>
    <t>7230</t>
  </si>
  <si>
    <t>1988</t>
  </si>
  <si>
    <t>2127</t>
  </si>
  <si>
    <t>5844</t>
  </si>
  <si>
    <t>436</t>
  </si>
  <si>
    <t>6369</t>
  </si>
  <si>
    <t>16740</t>
  </si>
  <si>
    <t>1263</t>
  </si>
  <si>
    <t>18225</t>
  </si>
  <si>
    <t>15.13</t>
  </si>
  <si>
    <t>Burwood Road</t>
  </si>
  <si>
    <t>-27.4084</t>
  </si>
  <si>
    <t>152.982699</t>
  </si>
  <si>
    <t>523</t>
  </si>
  <si>
    <t>2525</t>
  </si>
  <si>
    <t>2626</t>
  </si>
  <si>
    <t>691</t>
  </si>
  <si>
    <t>708</t>
  </si>
  <si>
    <t>738</t>
  </si>
  <si>
    <t>756</t>
  </si>
  <si>
    <t>4477</t>
  </si>
  <si>
    <t>159</t>
  </si>
  <si>
    <t>15.14</t>
  </si>
  <si>
    <t>Osborne Road</t>
  </si>
  <si>
    <t>-27.40309</t>
  </si>
  <si>
    <t>152.978997</t>
  </si>
  <si>
    <t>2484</t>
  </si>
  <si>
    <t>2532</t>
  </si>
  <si>
    <t>3659</t>
  </si>
  <si>
    <t>3760</t>
  </si>
  <si>
    <t>1130</t>
  </si>
  <si>
    <t>2183</t>
  </si>
  <si>
    <t>9456</t>
  </si>
  <si>
    <t>9666</t>
  </si>
  <si>
    <t>15.15</t>
  </si>
  <si>
    <t>Dawson Pde</t>
  </si>
  <si>
    <t>-27.399671</t>
  </si>
  <si>
    <t>152.961143</t>
  </si>
  <si>
    <t>2037</t>
  </si>
  <si>
    <t>2132</t>
  </si>
  <si>
    <t>4025</t>
  </si>
  <si>
    <t>4189</t>
  </si>
  <si>
    <t>1469</t>
  </si>
  <si>
    <t>1496</t>
  </si>
  <si>
    <t>2946</t>
  </si>
  <si>
    <t>3036</t>
  </si>
  <si>
    <t>10477</t>
  </si>
  <si>
    <t>286</t>
  </si>
  <si>
    <t>10853</t>
  </si>
  <si>
    <t>15.16</t>
  </si>
  <si>
    <t>Samford Sub-Arterial Road</t>
  </si>
  <si>
    <t>South-east of Tramway Street</t>
  </si>
  <si>
    <t>-27.408177</t>
  </si>
  <si>
    <t>152.941064</t>
  </si>
  <si>
    <t>3039</t>
  </si>
  <si>
    <t>3173</t>
  </si>
  <si>
    <t>4119</t>
  </si>
  <si>
    <t>4401</t>
  </si>
  <si>
    <t>1179</t>
  </si>
  <si>
    <t>54</t>
  </si>
  <si>
    <t>1237</t>
  </si>
  <si>
    <t>2949</t>
  </si>
  <si>
    <t>189</t>
  </si>
  <si>
    <t>3190</t>
  </si>
  <si>
    <t>11286</t>
  </si>
  <si>
    <t>12001</t>
  </si>
  <si>
    <t>15.17</t>
  </si>
  <si>
    <t>Upper Kedron Road</t>
  </si>
  <si>
    <t>West of Samford Road</t>
  </si>
  <si>
    <t>-27.412659</t>
  </si>
  <si>
    <t>152.940729</t>
  </si>
  <si>
    <t>840</t>
  </si>
  <si>
    <t>1121</t>
  </si>
  <si>
    <t>390</t>
  </si>
  <si>
    <t>780</t>
  </si>
  <si>
    <t>822</t>
  </si>
  <si>
    <t>3111</t>
  </si>
  <si>
    <t>179</t>
  </si>
  <si>
    <t>3329</t>
  </si>
  <si>
    <t>2845</t>
  </si>
  <si>
    <t>3416</t>
  </si>
  <si>
    <t>9290</t>
  </si>
  <si>
    <t>1180</t>
  </si>
  <si>
    <t>897</t>
  </si>
  <si>
    <t>11378</t>
  </si>
  <si>
    <t>217</t>
  </si>
  <si>
    <t>2858</t>
  </si>
  <si>
    <t>6227</t>
  </si>
  <si>
    <t>533</t>
  </si>
  <si>
    <t>7292</t>
  </si>
  <si>
    <t>20894</t>
  </si>
  <si>
    <t>2256</t>
  </si>
  <si>
    <t>1766</t>
  </si>
  <si>
    <t>24944</t>
  </si>
  <si>
    <t>2331</t>
  </si>
  <si>
    <t>442</t>
  </si>
  <si>
    <t>9112</t>
  </si>
  <si>
    <t>1702</t>
  </si>
  <si>
    <t>732</t>
  </si>
  <si>
    <t>11550</t>
  </si>
  <si>
    <t>4088</t>
  </si>
  <si>
    <t>4416</t>
  </si>
  <si>
    <t>5551</t>
  </si>
  <si>
    <t>567</t>
  </si>
  <si>
    <t>332</t>
  </si>
  <si>
    <t>6452</t>
  </si>
  <si>
    <t>21082</t>
  </si>
  <si>
    <t>2942</t>
  </si>
  <si>
    <t>1358</t>
  </si>
  <si>
    <t>25389</t>
  </si>
  <si>
    <t>636</t>
  </si>
  <si>
    <t>735</t>
  </si>
  <si>
    <t>395</t>
  </si>
  <si>
    <t>2877</t>
  </si>
  <si>
    <t>1589</t>
  </si>
  <si>
    <t>1137</t>
  </si>
  <si>
    <t>1219</t>
  </si>
  <si>
    <t>5743</t>
  </si>
  <si>
    <t>602</t>
  </si>
  <si>
    <t>150</t>
  </si>
  <si>
    <t>6495</t>
  </si>
  <si>
    <t>851</t>
  </si>
  <si>
    <t>3372</t>
  </si>
  <si>
    <t>121</t>
  </si>
  <si>
    <t>1854</t>
  </si>
  <si>
    <t>1898</t>
  </si>
  <si>
    <t>2072</t>
  </si>
  <si>
    <t>2143</t>
  </si>
  <si>
    <t>8115</t>
  </si>
  <si>
    <t>8386</t>
  </si>
  <si>
    <t>SB</t>
  </si>
  <si>
    <t>2416</t>
  </si>
  <si>
    <t>193</t>
  </si>
  <si>
    <t>2624</t>
  </si>
  <si>
    <t>10381</t>
  </si>
  <si>
    <t>770</t>
  </si>
  <si>
    <t>11209</t>
  </si>
  <si>
    <t>4526</t>
  </si>
  <si>
    <t>6954</t>
  </si>
  <si>
    <t>239</t>
  </si>
  <si>
    <t>7212</t>
  </si>
  <si>
    <t>24142</t>
  </si>
  <si>
    <t>1322</t>
  </si>
  <si>
    <t>25571</t>
  </si>
  <si>
    <t>952</t>
  </si>
  <si>
    <t>984</t>
  </si>
  <si>
    <t>3603</t>
  </si>
  <si>
    <t>3727</t>
  </si>
  <si>
    <t>2844</t>
  </si>
  <si>
    <t>2899</t>
  </si>
  <si>
    <t>2402</t>
  </si>
  <si>
    <t>2443</t>
  </si>
  <si>
    <t>9801</t>
  </si>
  <si>
    <t>10053</t>
  </si>
  <si>
    <t xml:space="preserve">Gympie Rd </t>
  </si>
  <si>
    <t>3100</t>
  </si>
  <si>
    <t>253</t>
  </si>
  <si>
    <t>3385</t>
  </si>
  <si>
    <t>13481</t>
  </si>
  <si>
    <t>141</t>
  </si>
  <si>
    <t>14625</t>
  </si>
  <si>
    <t>5414</t>
  </si>
  <si>
    <t>161</t>
  </si>
  <si>
    <t>5595</t>
  </si>
  <si>
    <t>9195</t>
  </si>
  <si>
    <t>462</t>
  </si>
  <si>
    <t>75</t>
  </si>
  <si>
    <t>9732</t>
  </si>
  <si>
    <t>31190</t>
  </si>
  <si>
    <t>1879</t>
  </si>
  <si>
    <t>268</t>
  </si>
  <si>
    <t>33337</t>
  </si>
  <si>
    <t>Gympie Rd -Airpot Links</t>
  </si>
  <si>
    <t>272</t>
  </si>
  <si>
    <t>1271</t>
  </si>
  <si>
    <t>929</t>
  </si>
  <si>
    <t>956</t>
  </si>
  <si>
    <t>1031</t>
  </si>
  <si>
    <t>1078</t>
  </si>
  <si>
    <t>3486</t>
  </si>
  <si>
    <t>3666</t>
  </si>
  <si>
    <t>187</t>
  </si>
  <si>
    <t>804</t>
  </si>
  <si>
    <t>825</t>
  </si>
  <si>
    <t>979</t>
  </si>
  <si>
    <t>991</t>
  </si>
  <si>
    <t>536</t>
  </si>
  <si>
    <t>544</t>
  </si>
  <si>
    <t>2502</t>
  </si>
  <si>
    <t>2547</t>
  </si>
  <si>
    <t>1563</t>
  </si>
  <si>
    <t>6494</t>
  </si>
  <si>
    <t>338</t>
  </si>
  <si>
    <t>6850</t>
  </si>
  <si>
    <t>3525</t>
  </si>
  <si>
    <t>3597</t>
  </si>
  <si>
    <t>3475</t>
  </si>
  <si>
    <t>3559</t>
  </si>
  <si>
    <t>15057</t>
  </si>
  <si>
    <t>562</t>
  </si>
  <si>
    <t>15643</t>
  </si>
  <si>
    <t>1382</t>
  </si>
  <si>
    <t>1455</t>
  </si>
  <si>
    <t>5925</t>
  </si>
  <si>
    <t>305</t>
  </si>
  <si>
    <t>6270</t>
  </si>
  <si>
    <t>2767</t>
  </si>
  <si>
    <t>2835</t>
  </si>
  <si>
    <t>3792</t>
  </si>
  <si>
    <t>13775</t>
  </si>
  <si>
    <t>509</t>
  </si>
  <si>
    <t>14352</t>
  </si>
  <si>
    <t>1668</t>
  </si>
  <si>
    <t>1776</t>
  </si>
  <si>
    <t>7218</t>
  </si>
  <si>
    <t>554</t>
  </si>
  <si>
    <t>7842</t>
  </si>
  <si>
    <t>3206</t>
  </si>
  <si>
    <t>3364</t>
  </si>
  <si>
    <t>4783</t>
  </si>
  <si>
    <t>5002</t>
  </si>
  <si>
    <t>958</t>
  </si>
  <si>
    <t>17984</t>
  </si>
  <si>
    <t>526</t>
  </si>
  <si>
    <t>584</t>
  </si>
  <si>
    <t>2140</t>
  </si>
  <si>
    <t>2244</t>
  </si>
  <si>
    <t>781</t>
  </si>
  <si>
    <t>3956</t>
  </si>
  <si>
    <t>4228</t>
  </si>
  <si>
    <t>839</t>
  </si>
  <si>
    <t>3936</t>
  </si>
  <si>
    <t>4081</t>
  </si>
  <si>
    <t>2457</t>
  </si>
  <si>
    <t>2533</t>
  </si>
  <si>
    <t>1835</t>
  </si>
  <si>
    <t>1863</t>
  </si>
  <si>
    <t>9031</t>
  </si>
  <si>
    <t>243</t>
  </si>
  <si>
    <t>9316</t>
  </si>
  <si>
    <t>1193</t>
  </si>
  <si>
    <t>4284</t>
  </si>
  <si>
    <t>4496</t>
  </si>
  <si>
    <t>2144</t>
  </si>
  <si>
    <t>2195</t>
  </si>
  <si>
    <t>2708</t>
  </si>
  <si>
    <t>74</t>
  </si>
  <si>
    <t>2791</t>
  </si>
  <si>
    <t>10279</t>
  </si>
  <si>
    <t>358</t>
  </si>
  <si>
    <t>10675</t>
  </si>
  <si>
    <t>934</t>
  </si>
  <si>
    <t>1006</t>
  </si>
  <si>
    <t>4439</t>
  </si>
  <si>
    <t>4748</t>
  </si>
  <si>
    <t>2878</t>
  </si>
  <si>
    <t>2975</t>
  </si>
  <si>
    <t>2987</t>
  </si>
  <si>
    <t>3136</t>
  </si>
  <si>
    <t>11238</t>
  </si>
  <si>
    <t>11865</t>
  </si>
  <si>
    <t>344</t>
  </si>
  <si>
    <t>1248</t>
  </si>
  <si>
    <t>721</t>
  </si>
  <si>
    <t>784</t>
  </si>
  <si>
    <t>800</t>
  </si>
  <si>
    <t>2972</t>
  </si>
  <si>
    <t>148</t>
  </si>
  <si>
    <t>3127</t>
  </si>
  <si>
    <t>AP</t>
  </si>
  <si>
    <t>AP.01</t>
  </si>
  <si>
    <t>Airport</t>
  </si>
  <si>
    <t>Gateway/ Moreron Dr ramps</t>
  </si>
  <si>
    <t>West of Moreton Dr</t>
  </si>
  <si>
    <t>-27.404543</t>
  </si>
  <si>
    <t>153.096761</t>
  </si>
  <si>
    <t>2080</t>
  </si>
  <si>
    <t>2176</t>
  </si>
  <si>
    <t>4837</t>
  </si>
  <si>
    <t>5110</t>
  </si>
  <si>
    <t>1170</t>
  </si>
  <si>
    <t>5596</t>
  </si>
  <si>
    <t>13653</t>
  </si>
  <si>
    <t>14226</t>
  </si>
  <si>
    <t>AP.02</t>
  </si>
  <si>
    <t>Airport Drive</t>
  </si>
  <si>
    <t>East of Gateway Mway</t>
  </si>
  <si>
    <t>-27.4111</t>
  </si>
  <si>
    <t>153.092632</t>
  </si>
  <si>
    <t>2175</t>
  </si>
  <si>
    <t>2259</t>
  </si>
  <si>
    <t>6306</t>
  </si>
  <si>
    <t>237</t>
  </si>
  <si>
    <t>6607</t>
  </si>
  <si>
    <t>1712</t>
  </si>
  <si>
    <t>1756</t>
  </si>
  <si>
    <t>6445</t>
  </si>
  <si>
    <t>6677</t>
  </si>
  <si>
    <t>16638</t>
  </si>
  <si>
    <t>527</t>
  </si>
  <si>
    <t>17299</t>
  </si>
  <si>
    <t>AP.03</t>
  </si>
  <si>
    <t>Lomandra Drv</t>
  </si>
  <si>
    <t>btw Qantas Drv and Lakeside Rd</t>
  </si>
  <si>
    <t>-27.41491</t>
  </si>
  <si>
    <t>153.089622</t>
  </si>
  <si>
    <t>2041</t>
  </si>
  <si>
    <t>2223</t>
  </si>
  <si>
    <t>2948</t>
  </si>
  <si>
    <t>491</t>
  </si>
  <si>
    <t>103</t>
  </si>
  <si>
    <t>3543</t>
  </si>
  <si>
    <t>2546</t>
  </si>
  <si>
    <t>2861</t>
  </si>
  <si>
    <t>7977</t>
  </si>
  <si>
    <t>9169</t>
  </si>
  <si>
    <t>AP.04</t>
  </si>
  <si>
    <t>Kingsford Smith Dr</t>
  </si>
  <si>
    <t>-27.428771</t>
  </si>
  <si>
    <t>153.100672</t>
  </si>
  <si>
    <t>2055</t>
  </si>
  <si>
    <t>2436</t>
  </si>
  <si>
    <t>2999</t>
  </si>
  <si>
    <t>992</t>
  </si>
  <si>
    <t>516</t>
  </si>
  <si>
    <t>4511</t>
  </si>
  <si>
    <t>539</t>
  </si>
  <si>
    <t>771</t>
  </si>
  <si>
    <t>2735</t>
  </si>
  <si>
    <t>408</t>
  </si>
  <si>
    <t>3378</t>
  </si>
  <si>
    <t>8328</t>
  </si>
  <si>
    <t>1824</t>
  </si>
  <si>
    <t>930</t>
  </si>
  <si>
    <t>11096</t>
  </si>
  <si>
    <t>AP.05</t>
  </si>
  <si>
    <t>Lavarak Ave</t>
  </si>
  <si>
    <t>-27.431607</t>
  </si>
  <si>
    <t>153.097747</t>
  </si>
  <si>
    <t>847</t>
  </si>
  <si>
    <t>989</t>
  </si>
  <si>
    <t>505</t>
  </si>
  <si>
    <t>1576</t>
  </si>
  <si>
    <t>964</t>
  </si>
  <si>
    <t>184</t>
  </si>
  <si>
    <t>1204</t>
  </si>
  <si>
    <t>2722</t>
  </si>
  <si>
    <t>893</t>
  </si>
  <si>
    <t>3797</t>
  </si>
  <si>
    <t>AP.06</t>
  </si>
  <si>
    <t>Curtin Ave</t>
  </si>
  <si>
    <t>-27.437438</t>
  </si>
  <si>
    <t>153.099</t>
  </si>
  <si>
    <t>1434</t>
  </si>
  <si>
    <t>213</t>
  </si>
  <si>
    <t>496</t>
  </si>
  <si>
    <t>1918</t>
  </si>
  <si>
    <t>224</t>
  </si>
  <si>
    <t>2645</t>
  </si>
  <si>
    <t>-27.403406</t>
  </si>
  <si>
    <t>153.098663</t>
  </si>
  <si>
    <t>921</t>
  </si>
  <si>
    <t>983</t>
  </si>
  <si>
    <t>4346</t>
  </si>
  <si>
    <t>196</t>
  </si>
  <si>
    <t>4651</t>
  </si>
  <si>
    <t>1250</t>
  </si>
  <si>
    <t>4374</t>
  </si>
  <si>
    <t>4562</t>
  </si>
  <si>
    <t>10891</t>
  </si>
  <si>
    <t>460</t>
  </si>
  <si>
    <t>166</t>
  </si>
  <si>
    <t>11517</t>
  </si>
  <si>
    <t>-27.410018</t>
  </si>
  <si>
    <t>153.09489</t>
  </si>
  <si>
    <t>2300</t>
  </si>
  <si>
    <t>129</t>
  </si>
  <si>
    <t>2451</t>
  </si>
  <si>
    <t>8010</t>
  </si>
  <si>
    <t>8592</t>
  </si>
  <si>
    <t>2185</t>
  </si>
  <si>
    <t>2301</t>
  </si>
  <si>
    <t>7041</t>
  </si>
  <si>
    <t>339</t>
  </si>
  <si>
    <t>7428</t>
  </si>
  <si>
    <t>19536</t>
  </si>
  <si>
    <t>20772</t>
  </si>
  <si>
    <t>149</t>
  </si>
  <si>
    <t>765</t>
  </si>
  <si>
    <t>4498</t>
  </si>
  <si>
    <t>5146</t>
  </si>
  <si>
    <t>2166</t>
  </si>
  <si>
    <t>2283</t>
  </si>
  <si>
    <t>8894</t>
  </si>
  <si>
    <t>10048</t>
  </si>
  <si>
    <t>1151</t>
  </si>
  <si>
    <t>4260</t>
  </si>
  <si>
    <t>1004</t>
  </si>
  <si>
    <t>5829</t>
  </si>
  <si>
    <t>2110</t>
  </si>
  <si>
    <t>2352</t>
  </si>
  <si>
    <t>1577</t>
  </si>
  <si>
    <t>216</t>
  </si>
  <si>
    <t>2053</t>
  </si>
  <si>
    <t>8697</t>
  </si>
  <si>
    <t>1048</t>
  </si>
  <si>
    <t>11385</t>
  </si>
  <si>
    <t>988</t>
  </si>
  <si>
    <t>1318</t>
  </si>
  <si>
    <t>520</t>
  </si>
  <si>
    <t>564</t>
  </si>
  <si>
    <t>1842</t>
  </si>
  <si>
    <t>2388</t>
  </si>
  <si>
    <t>1330</t>
  </si>
  <si>
    <t>1689</t>
  </si>
  <si>
    <t>599</t>
  </si>
  <si>
    <t>2435</t>
  </si>
  <si>
    <t>429</t>
  </si>
  <si>
    <t>3013</t>
  </si>
  <si>
    <t>CS</t>
  </si>
  <si>
    <t>CS.01</t>
  </si>
  <si>
    <t xml:space="preserve"> Caboolture River</t>
  </si>
  <si>
    <t>Caboolture River</t>
  </si>
  <si>
    <t>-27.090202</t>
  </si>
  <si>
    <t>152.975307</t>
  </si>
  <si>
    <t>5422</t>
  </si>
  <si>
    <t>347</t>
  </si>
  <si>
    <t>5968</t>
  </si>
  <si>
    <t>17318</t>
  </si>
  <si>
    <t>850</t>
  </si>
  <si>
    <t>19468</t>
  </si>
  <si>
    <t>7304</t>
  </si>
  <si>
    <t>7726</t>
  </si>
  <si>
    <t>9410</t>
  </si>
  <si>
    <t>511</t>
  </si>
  <si>
    <t>582</t>
  </si>
  <si>
    <t>10503</t>
  </si>
  <si>
    <t>39454</t>
  </si>
  <si>
    <t>2397</t>
  </si>
  <si>
    <t>1814</t>
  </si>
  <si>
    <t>43665</t>
  </si>
  <si>
    <t>CS.02</t>
  </si>
  <si>
    <t>Burpengary - Caboolture Road (Morayfield Rd)</t>
  </si>
  <si>
    <t>-27.089763</t>
  </si>
  <si>
    <t>152.950469</t>
  </si>
  <si>
    <t>2092</t>
  </si>
  <si>
    <t>2250</t>
  </si>
  <si>
    <t>8425</t>
  </si>
  <si>
    <t>581</t>
  </si>
  <si>
    <t>9052</t>
  </si>
  <si>
    <t>134</t>
  </si>
  <si>
    <t>2742</t>
  </si>
  <si>
    <t>3304</t>
  </si>
  <si>
    <t>3501</t>
  </si>
  <si>
    <t>16419</t>
  </si>
  <si>
    <t>1043</t>
  </si>
  <si>
    <t>17545</t>
  </si>
  <si>
    <t>CS.03</t>
  </si>
  <si>
    <t>Bellmere Road</t>
  </si>
  <si>
    <t>-27.082685</t>
  </si>
  <si>
    <t>152.932541</t>
  </si>
  <si>
    <t>2360</t>
  </si>
  <si>
    <t>820</t>
  </si>
  <si>
    <t>1246</t>
  </si>
  <si>
    <t>1297</t>
  </si>
  <si>
    <t>5298</t>
  </si>
  <si>
    <t>5544</t>
  </si>
  <si>
    <t>6007</t>
  </si>
  <si>
    <t>357</t>
  </si>
  <si>
    <t>6534</t>
  </si>
  <si>
    <t>16597</t>
  </si>
  <si>
    <t>1256</t>
  </si>
  <si>
    <t>704</t>
  </si>
  <si>
    <t>18557</t>
  </si>
  <si>
    <t>5579</t>
  </si>
  <si>
    <t>5909</t>
  </si>
  <si>
    <t>10656</t>
  </si>
  <si>
    <t>703</t>
  </si>
  <si>
    <t>11949</t>
  </si>
  <si>
    <t>38839</t>
  </si>
  <si>
    <t>2509</t>
  </si>
  <si>
    <t>1601</t>
  </si>
  <si>
    <t>42949</t>
  </si>
  <si>
    <t>2063</t>
  </si>
  <si>
    <t>9241</t>
  </si>
  <si>
    <t>9587</t>
  </si>
  <si>
    <t>2857</t>
  </si>
  <si>
    <t>2980</t>
  </si>
  <si>
    <t>3091</t>
  </si>
  <si>
    <t>17033</t>
  </si>
  <si>
    <t>17660</t>
  </si>
  <si>
    <t>672</t>
  </si>
  <si>
    <t>2405</t>
  </si>
  <si>
    <t>1024</t>
  </si>
  <si>
    <t>1052</t>
  </si>
  <si>
    <t>1146</t>
  </si>
  <si>
    <t>5247</t>
  </si>
  <si>
    <t>5434</t>
  </si>
  <si>
    <t>H</t>
  </si>
  <si>
    <t>H.01</t>
  </si>
  <si>
    <t xml:space="preserve"> Downfall Creek</t>
  </si>
  <si>
    <t>At Nundah Creek</t>
  </si>
  <si>
    <t>-27.356166</t>
  </si>
  <si>
    <t>153.08587</t>
  </si>
  <si>
    <t>561</t>
  </si>
  <si>
    <t>7295</t>
  </si>
  <si>
    <t>13258</t>
  </si>
  <si>
    <t>2081</t>
  </si>
  <si>
    <t>1269</t>
  </si>
  <si>
    <t>16611</t>
  </si>
  <si>
    <t>3710</t>
  </si>
  <si>
    <t>449</t>
  </si>
  <si>
    <t>4336</t>
  </si>
  <si>
    <t>12234</t>
  </si>
  <si>
    <t>1259</t>
  </si>
  <si>
    <t>766</t>
  </si>
  <si>
    <t>14260</t>
  </si>
  <si>
    <t>4350</t>
  </si>
  <si>
    <t>42502</t>
  </si>
  <si>
    <t>H.02</t>
  </si>
  <si>
    <t>South of Pritchard Rd</t>
  </si>
  <si>
    <t>-27.379904</t>
  </si>
  <si>
    <t>153.063111</t>
  </si>
  <si>
    <t>6299</t>
  </si>
  <si>
    <t>501</t>
  </si>
  <si>
    <t>6867</t>
  </si>
  <si>
    <t>11021</t>
  </si>
  <si>
    <t>1572</t>
  </si>
  <si>
    <t>12836</t>
  </si>
  <si>
    <t>3162</t>
  </si>
  <si>
    <t>3371</t>
  </si>
  <si>
    <t>8445</t>
  </si>
  <si>
    <t>9146</t>
  </si>
  <si>
    <t>28927</t>
  </si>
  <si>
    <t>2881</t>
  </si>
  <si>
    <t>377</t>
  </si>
  <si>
    <t>32220</t>
  </si>
  <si>
    <t>H.03</t>
  </si>
  <si>
    <t>Newman Road</t>
  </si>
  <si>
    <t>At Downfall Creek</t>
  </si>
  <si>
    <t>-27.379799</t>
  </si>
  <si>
    <t>153.045881</t>
  </si>
  <si>
    <t>1885</t>
  </si>
  <si>
    <t>1966</t>
  </si>
  <si>
    <t>2943</t>
  </si>
  <si>
    <t>3138</t>
  </si>
  <si>
    <t>1683</t>
  </si>
  <si>
    <t>1752</t>
  </si>
  <si>
    <t>7492</t>
  </si>
  <si>
    <t>7869</t>
  </si>
  <si>
    <t>H.04</t>
  </si>
  <si>
    <t>Murphy Road</t>
  </si>
  <si>
    <t>North of Kittyhawk Dr</t>
  </si>
  <si>
    <t>-27.377103</t>
  </si>
  <si>
    <t>153.033371</t>
  </si>
  <si>
    <t>1690</t>
  </si>
  <si>
    <t>1746</t>
  </si>
  <si>
    <t>3971</t>
  </si>
  <si>
    <t>155</t>
  </si>
  <si>
    <t>4131</t>
  </si>
  <si>
    <t>1090</t>
  </si>
  <si>
    <t>2107</t>
  </si>
  <si>
    <t>2178</t>
  </si>
  <si>
    <t>8830</t>
  </si>
  <si>
    <t>9145</t>
  </si>
  <si>
    <t>H.05</t>
  </si>
  <si>
    <t>North of Murphys Road</t>
  </si>
  <si>
    <t>-27.375159</t>
  </si>
  <si>
    <t>153.025925</t>
  </si>
  <si>
    <t>4883</t>
  </si>
  <si>
    <t>5106</t>
  </si>
  <si>
    <t>10532</t>
  </si>
  <si>
    <t>692</t>
  </si>
  <si>
    <t>11330</t>
  </si>
  <si>
    <t>2600</t>
  </si>
  <si>
    <t>2726</t>
  </si>
  <si>
    <t>7669</t>
  </si>
  <si>
    <t>466</t>
  </si>
  <si>
    <t>8231</t>
  </si>
  <si>
    <t>25684</t>
  </si>
  <si>
    <t>1462</t>
  </si>
  <si>
    <t>246</t>
  </si>
  <si>
    <t>27393</t>
  </si>
  <si>
    <t>3561</t>
  </si>
  <si>
    <t>4456</t>
  </si>
  <si>
    <t>15072</t>
  </si>
  <si>
    <t>1980</t>
  </si>
  <si>
    <t>1241</t>
  </si>
  <si>
    <t>18313</t>
  </si>
  <si>
    <t>5698</t>
  </si>
  <si>
    <t>6268</t>
  </si>
  <si>
    <t>9941</t>
  </si>
  <si>
    <t>965</t>
  </si>
  <si>
    <t>779</t>
  </si>
  <si>
    <t>11690</t>
  </si>
  <si>
    <t>34272</t>
  </si>
  <si>
    <t>3882</t>
  </si>
  <si>
    <t>40727</t>
  </si>
  <si>
    <t>361</t>
  </si>
  <si>
    <t>3508</t>
  </si>
  <si>
    <t>13005</t>
  </si>
  <si>
    <t>1813</t>
  </si>
  <si>
    <t>15090</t>
  </si>
  <si>
    <t>5811</t>
  </si>
  <si>
    <t>6149</t>
  </si>
  <si>
    <t>7373</t>
  </si>
  <si>
    <t>467</t>
  </si>
  <si>
    <t>7942</t>
  </si>
  <si>
    <t>29280</t>
  </si>
  <si>
    <t>2889</t>
  </si>
  <si>
    <t>443</t>
  </si>
  <si>
    <t>32689</t>
  </si>
  <si>
    <t>865</t>
  </si>
  <si>
    <t>909</t>
  </si>
  <si>
    <t>3248</t>
  </si>
  <si>
    <t>3478</t>
  </si>
  <si>
    <t>2649</t>
  </si>
  <si>
    <t>2729</t>
  </si>
  <si>
    <t>1785</t>
  </si>
  <si>
    <t>8471</t>
  </si>
  <si>
    <t>412</t>
  </si>
  <si>
    <t>8901</t>
  </si>
  <si>
    <t>598</t>
  </si>
  <si>
    <t>185</t>
  </si>
  <si>
    <t>4075</t>
  </si>
  <si>
    <t>1701</t>
  </si>
  <si>
    <t>1757</t>
  </si>
  <si>
    <t>2327</t>
  </si>
  <si>
    <t>2401</t>
  </si>
  <si>
    <t>8465</t>
  </si>
  <si>
    <t>349</t>
  </si>
  <si>
    <t>8831</t>
  </si>
  <si>
    <t>2042</t>
  </si>
  <si>
    <t>2209</t>
  </si>
  <si>
    <t>12061</t>
  </si>
  <si>
    <t>794</t>
  </si>
  <si>
    <t>12986</t>
  </si>
  <si>
    <t>5313</t>
  </si>
  <si>
    <t>5531</t>
  </si>
  <si>
    <t>7288</t>
  </si>
  <si>
    <t>7624</t>
  </si>
  <si>
    <t>26704</t>
  </si>
  <si>
    <t>28350</t>
  </si>
  <si>
    <t>16.08</t>
  </si>
  <si>
    <t xml:space="preserve"> Enoggera Creek - Breakfast Creek</t>
  </si>
  <si>
    <t>Enogerra Road/ Kelvin Grove Rd</t>
  </si>
  <si>
    <t>At Enoggerra Creek</t>
  </si>
  <si>
    <t>-27.44341</t>
  </si>
  <si>
    <t>153.00725</t>
  </si>
  <si>
    <t>6682</t>
  </si>
  <si>
    <t>6918</t>
  </si>
  <si>
    <t>10960</t>
  </si>
  <si>
    <t>688</t>
  </si>
  <si>
    <t>11710</t>
  </si>
  <si>
    <t>3065</t>
  </si>
  <si>
    <t>142</t>
  </si>
  <si>
    <t>3214</t>
  </si>
  <si>
    <t>9468</t>
  </si>
  <si>
    <t>9910</t>
  </si>
  <si>
    <t>30175</t>
  </si>
  <si>
    <t>1450</t>
  </si>
  <si>
    <t>31752</t>
  </si>
  <si>
    <t>16.09</t>
  </si>
  <si>
    <t>Glenrosa Road</t>
  </si>
  <si>
    <t>Between Todd Street and Praed Street</t>
  </si>
  <si>
    <t>-27.44653</t>
  </si>
  <si>
    <t>153.00144</t>
  </si>
  <si>
    <t>499</t>
  </si>
  <si>
    <t>960</t>
  </si>
  <si>
    <t>967</t>
  </si>
  <si>
    <t>16.1</t>
  </si>
  <si>
    <t>Waterworks Road</t>
  </si>
  <si>
    <t>At Ithaca Creek</t>
  </si>
  <si>
    <t>-27.44935</t>
  </si>
  <si>
    <t>153.00019</t>
  </si>
  <si>
    <t>3044</t>
  </si>
  <si>
    <t>3143</t>
  </si>
  <si>
    <t>5237</t>
  </si>
  <si>
    <t>5497</t>
  </si>
  <si>
    <t>1438</t>
  </si>
  <si>
    <t>1500</t>
  </si>
  <si>
    <t>4267</t>
  </si>
  <si>
    <t>13850</t>
  </si>
  <si>
    <t>498</t>
  </si>
  <si>
    <t>14407</t>
  </si>
  <si>
    <t>16.11</t>
  </si>
  <si>
    <t>Mossvale Street</t>
  </si>
  <si>
    <t>Between Hawthorn Tce and Waterworks Rd</t>
  </si>
  <si>
    <t>-27.44882</t>
  </si>
  <si>
    <t>152.99791</t>
  </si>
  <si>
    <t>298</t>
  </si>
  <si>
    <t>16.12</t>
  </si>
  <si>
    <t>Fulcher Road</t>
  </si>
  <si>
    <t>-27.44682</t>
  </si>
  <si>
    <t>152.99677</t>
  </si>
  <si>
    <t>531</t>
  </si>
  <si>
    <t>932</t>
  </si>
  <si>
    <t>968</t>
  </si>
  <si>
    <t>541</t>
  </si>
  <si>
    <t>2332</t>
  </si>
  <si>
    <t>2395</t>
  </si>
  <si>
    <t>16.13</t>
  </si>
  <si>
    <t>Western Arterial Rd (Jubilee TCE)</t>
  </si>
  <si>
    <t>-27.44924</t>
  </si>
  <si>
    <t>152.98932</t>
  </si>
  <si>
    <t>2184</t>
  </si>
  <si>
    <t>4822</t>
  </si>
  <si>
    <t>410</t>
  </si>
  <si>
    <t>5289</t>
  </si>
  <si>
    <t>1778</t>
  </si>
  <si>
    <t>1864</t>
  </si>
  <si>
    <t>3548</t>
  </si>
  <si>
    <t>12191</t>
  </si>
  <si>
    <t>798</t>
  </si>
  <si>
    <t>13090</t>
  </si>
  <si>
    <t>16.14</t>
  </si>
  <si>
    <t>Coopers Camp Road</t>
  </si>
  <si>
    <t>At Ithaca Creek (North of Fletcher Str)</t>
  </si>
  <si>
    <t>-27.45203</t>
  </si>
  <si>
    <t>152.97947</t>
  </si>
  <si>
    <t>2066</t>
  </si>
  <si>
    <t>2135</t>
  </si>
  <si>
    <t>2448</t>
  </si>
  <si>
    <t>701</t>
  </si>
  <si>
    <t>1796</t>
  </si>
  <si>
    <t>6706</t>
  </si>
  <si>
    <t>387</t>
  </si>
  <si>
    <t>7117</t>
  </si>
  <si>
    <t>16.15</t>
  </si>
  <si>
    <t>Bowman Parade</t>
  </si>
  <si>
    <t>At Ithaca Creek (South of Stephenson str)</t>
  </si>
  <si>
    <t>-27.45666</t>
  </si>
  <si>
    <t>152.97811</t>
  </si>
  <si>
    <t>613</t>
  </si>
  <si>
    <t>625</t>
  </si>
  <si>
    <t>1851</t>
  </si>
  <si>
    <t>1882</t>
  </si>
  <si>
    <t>16.16</t>
  </si>
  <si>
    <t>Dillon Rd</t>
  </si>
  <si>
    <t>At Mt Coot-tha Forest</t>
  </si>
  <si>
    <t>-27.45288</t>
  </si>
  <si>
    <t>152.93162</t>
  </si>
  <si>
    <t>606</t>
  </si>
  <si>
    <t>351</t>
  </si>
  <si>
    <t>404</t>
  </si>
  <si>
    <t>1735</t>
  </si>
  <si>
    <t>1768</t>
  </si>
  <si>
    <t>2227</t>
  </si>
  <si>
    <t>2404</t>
  </si>
  <si>
    <t>11264</t>
  </si>
  <si>
    <t>12058</t>
  </si>
  <si>
    <t>6074</t>
  </si>
  <si>
    <t>6278</t>
  </si>
  <si>
    <t>8813</t>
  </si>
  <si>
    <t>9138</t>
  </si>
  <si>
    <t>28378</t>
  </si>
  <si>
    <t>1371</t>
  </si>
  <si>
    <t>29878</t>
  </si>
  <si>
    <t>725</t>
  </si>
  <si>
    <t>1186</t>
  </si>
  <si>
    <t>5363</t>
  </si>
  <si>
    <t>306</t>
  </si>
  <si>
    <t>5678</t>
  </si>
  <si>
    <t>3043</t>
  </si>
  <si>
    <t>3140</t>
  </si>
  <si>
    <t>4314</t>
  </si>
  <si>
    <t>4471</t>
  </si>
  <si>
    <t>13906</t>
  </si>
  <si>
    <t>656</t>
  </si>
  <si>
    <t>14586</t>
  </si>
  <si>
    <t>982</t>
  </si>
  <si>
    <t>423</t>
  </si>
  <si>
    <t>427</t>
  </si>
  <si>
    <t>2235</t>
  </si>
  <si>
    <t>1365</t>
  </si>
  <si>
    <t>1457</t>
  </si>
  <si>
    <t>4751</t>
  </si>
  <si>
    <t>392</t>
  </si>
  <si>
    <t>5209</t>
  </si>
  <si>
    <t>2112</t>
  </si>
  <si>
    <t>2181</t>
  </si>
  <si>
    <t>3073</t>
  </si>
  <si>
    <t>105</t>
  </si>
  <si>
    <t>3196</t>
  </si>
  <si>
    <t>11301</t>
  </si>
  <si>
    <t>639</t>
  </si>
  <si>
    <t>12043</t>
  </si>
  <si>
    <t>524</t>
  </si>
  <si>
    <t>2191</t>
  </si>
  <si>
    <t>2393</t>
  </si>
  <si>
    <t>1542</t>
  </si>
  <si>
    <t>1598</t>
  </si>
  <si>
    <t>1706</t>
  </si>
  <si>
    <t>5963</t>
  </si>
  <si>
    <t>6371</t>
  </si>
  <si>
    <t>760</t>
  </si>
  <si>
    <t>773</t>
  </si>
  <si>
    <t>671</t>
  </si>
  <si>
    <t>464</t>
  </si>
  <si>
    <t>2051</t>
  </si>
  <si>
    <t>2069</t>
  </si>
  <si>
    <t>350</t>
  </si>
  <si>
    <t>345</t>
  </si>
  <si>
    <t>1807</t>
  </si>
  <si>
    <t>17.01</t>
  </si>
  <si>
    <t xml:space="preserve"> CBD Circle (revised)</t>
  </si>
  <si>
    <t>Breakfast Creek Rd</t>
  </si>
  <si>
    <t>at Breakfast Creek</t>
  </si>
  <si>
    <t>-27.44204</t>
  </si>
  <si>
    <t>153.04495</t>
  </si>
  <si>
    <t>3218</t>
  </si>
  <si>
    <t>3452</t>
  </si>
  <si>
    <t>7498</t>
  </si>
  <si>
    <t>678</t>
  </si>
  <si>
    <t>8300</t>
  </si>
  <si>
    <t>2306</t>
  </si>
  <si>
    <t>4766</t>
  </si>
  <si>
    <t>5108</t>
  </si>
  <si>
    <t>17788</t>
  </si>
  <si>
    <t>1244</t>
  </si>
  <si>
    <t>19265</t>
  </si>
  <si>
    <t>17.02</t>
  </si>
  <si>
    <t>Inner City Bypass</t>
  </si>
  <si>
    <t>-27.44001</t>
  </si>
  <si>
    <t>153.04183</t>
  </si>
  <si>
    <t>1947</t>
  </si>
  <si>
    <t>2188</t>
  </si>
  <si>
    <t>5737</t>
  </si>
  <si>
    <t>657</t>
  </si>
  <si>
    <t>6604</t>
  </si>
  <si>
    <t>2555</t>
  </si>
  <si>
    <t>2688</t>
  </si>
  <si>
    <t>4163</t>
  </si>
  <si>
    <t>4702</t>
  </si>
  <si>
    <t>14402</t>
  </si>
  <si>
    <t>1359</t>
  </si>
  <si>
    <t>419</t>
  </si>
  <si>
    <t>16182</t>
  </si>
  <si>
    <t>17.03</t>
  </si>
  <si>
    <t>Allison St</t>
  </si>
  <si>
    <t>-27.44012</t>
  </si>
  <si>
    <t>153.04144</t>
  </si>
  <si>
    <t>1652</t>
  </si>
  <si>
    <t>1817</t>
  </si>
  <si>
    <t>2036</t>
  </si>
  <si>
    <t>764</t>
  </si>
  <si>
    <t>4749</t>
  </si>
  <si>
    <t>413</t>
  </si>
  <si>
    <t>5173</t>
  </si>
  <si>
    <t>17.04</t>
  </si>
  <si>
    <t>Abbotsford Rd</t>
  </si>
  <si>
    <t>-27.43464</t>
  </si>
  <si>
    <t>153.04226</t>
  </si>
  <si>
    <t>2993</t>
  </si>
  <si>
    <t>7919</t>
  </si>
  <si>
    <t>757</t>
  </si>
  <si>
    <t>8722</t>
  </si>
  <si>
    <t>2285</t>
  </si>
  <si>
    <t>2426</t>
  </si>
  <si>
    <t>367</t>
  </si>
  <si>
    <t>6742</t>
  </si>
  <si>
    <t>19560</t>
  </si>
  <si>
    <t>1447</t>
  </si>
  <si>
    <t>21104</t>
  </si>
  <si>
    <t>17.05</t>
  </si>
  <si>
    <t>Burrows Rd</t>
  </si>
  <si>
    <t>-27.43472</t>
  </si>
  <si>
    <t>153.0411</t>
  </si>
  <si>
    <t>1868</t>
  </si>
  <si>
    <t>2056</t>
  </si>
  <si>
    <t>3790</t>
  </si>
  <si>
    <t>317</t>
  </si>
  <si>
    <t>4158</t>
  </si>
  <si>
    <t>1407</t>
  </si>
  <si>
    <t>2852</t>
  </si>
  <si>
    <t>145</t>
  </si>
  <si>
    <t>3048</t>
  </si>
  <si>
    <t>9869</t>
  </si>
  <si>
    <t>609</t>
  </si>
  <si>
    <t>10669</t>
  </si>
  <si>
    <t>17.05b</t>
  </si>
  <si>
    <t>Airport Link</t>
  </si>
  <si>
    <t>17.06</t>
  </si>
  <si>
    <t>Lutwyche Rd</t>
  </si>
  <si>
    <t>south of Nicolas St</t>
  </si>
  <si>
    <t>-27.44146</t>
  </si>
  <si>
    <t>153.03037</t>
  </si>
  <si>
    <t>4352</t>
  </si>
  <si>
    <t>4464</t>
  </si>
  <si>
    <t>8338</t>
  </si>
  <si>
    <t>359</t>
  </si>
  <si>
    <t>8731</t>
  </si>
  <si>
    <t>2098</t>
  </si>
  <si>
    <t>2153</t>
  </si>
  <si>
    <t>6500</t>
  </si>
  <si>
    <t>6805</t>
  </si>
  <si>
    <t>21288</t>
  </si>
  <si>
    <t>22153</t>
  </si>
  <si>
    <t>17.07</t>
  </si>
  <si>
    <t>Northey St</t>
  </si>
  <si>
    <t>west of Lutwyche Rd</t>
  </si>
  <si>
    <t>-27.44247</t>
  </si>
  <si>
    <t>153.02904</t>
  </si>
  <si>
    <t>1288</t>
  </si>
  <si>
    <t>1620</t>
  </si>
  <si>
    <t>494</t>
  </si>
  <si>
    <t>1320</t>
  </si>
  <si>
    <t>4557</t>
  </si>
  <si>
    <t>4774</t>
  </si>
  <si>
    <t>17.08</t>
  </si>
  <si>
    <t>Butterfield St</t>
  </si>
  <si>
    <t>east of Aberleigh Rd</t>
  </si>
  <si>
    <t>-27.44512</t>
  </si>
  <si>
    <t>153.02148</t>
  </si>
  <si>
    <t>811</t>
  </si>
  <si>
    <t>295</t>
  </si>
  <si>
    <t>418</t>
  </si>
  <si>
    <t>1915</t>
  </si>
  <si>
    <t>1991</t>
  </si>
  <si>
    <t>17.09</t>
  </si>
  <si>
    <t>Hertson Rd</t>
  </si>
  <si>
    <t>-27.44879</t>
  </si>
  <si>
    <t>153.0216</t>
  </si>
  <si>
    <t>1428</t>
  </si>
  <si>
    <t>1969</t>
  </si>
  <si>
    <t>676</t>
  </si>
  <si>
    <t>1560</t>
  </si>
  <si>
    <t>1599</t>
  </si>
  <si>
    <t>5626</t>
  </si>
  <si>
    <t>5767</t>
  </si>
  <si>
    <t>17.1</t>
  </si>
  <si>
    <t>Victoria Park Rd</t>
  </si>
  <si>
    <t>north of Inner City Bypass</t>
  </si>
  <si>
    <t>-27.45602</t>
  </si>
  <si>
    <t>153.01672</t>
  </si>
  <si>
    <t>751</t>
  </si>
  <si>
    <t>809</t>
  </si>
  <si>
    <t>1810</t>
  </si>
  <si>
    <t>1901</t>
  </si>
  <si>
    <t>17.11</t>
  </si>
  <si>
    <t>Musk Ave</t>
  </si>
  <si>
    <t>north of Kelvin Grove Rd</t>
  </si>
  <si>
    <t>-27.45461</t>
  </si>
  <si>
    <t>153.01385</t>
  </si>
  <si>
    <t>776</t>
  </si>
  <si>
    <t>832</t>
  </si>
  <si>
    <t>208</t>
  </si>
  <si>
    <t>215</t>
  </si>
  <si>
    <t>1790</t>
  </si>
  <si>
    <t>1895</t>
  </si>
  <si>
    <t>17.12</t>
  </si>
  <si>
    <t>Kelvin Grove Rd</t>
  </si>
  <si>
    <t>north od Musk Av</t>
  </si>
  <si>
    <t>-27.45432</t>
  </si>
  <si>
    <t>153.01213</t>
  </si>
  <si>
    <t>4895</t>
  </si>
  <si>
    <t>5157</t>
  </si>
  <si>
    <t>9650</t>
  </si>
  <si>
    <t>10598</t>
  </si>
  <si>
    <t>8246</t>
  </si>
  <si>
    <t>8781</t>
  </si>
  <si>
    <t>25784</t>
  </si>
  <si>
    <t>1719</t>
  </si>
  <si>
    <t>27732</t>
  </si>
  <si>
    <t>17.13</t>
  </si>
  <si>
    <t>Musgrave Rd</t>
  </si>
  <si>
    <t>west of Hale St</t>
  </si>
  <si>
    <t>-27.4573</t>
  </si>
  <si>
    <t>153.01111</t>
  </si>
  <si>
    <t>4168</t>
  </si>
  <si>
    <t>4300</t>
  </si>
  <si>
    <t>6416</t>
  </si>
  <si>
    <t>420</t>
  </si>
  <si>
    <t>6869</t>
  </si>
  <si>
    <t>1780</t>
  </si>
  <si>
    <t>1874</t>
  </si>
  <si>
    <t>5111</t>
  </si>
  <si>
    <t>5299</t>
  </si>
  <si>
    <t>17475</t>
  </si>
  <si>
    <t>795</t>
  </si>
  <si>
    <t>18342</t>
  </si>
  <si>
    <t>17.13a</t>
  </si>
  <si>
    <t>Legacy Way</t>
  </si>
  <si>
    <t>17.14</t>
  </si>
  <si>
    <t>Caxton St</t>
  </si>
  <si>
    <t>east of Castlemaine St</t>
  </si>
  <si>
    <t>-27.46272</t>
  </si>
  <si>
    <t>153.00999</t>
  </si>
  <si>
    <t>4145</t>
  </si>
  <si>
    <t>4408</t>
  </si>
  <si>
    <t>1373</t>
  </si>
  <si>
    <t>1424</t>
  </si>
  <si>
    <t>3122</t>
  </si>
  <si>
    <t>3233</t>
  </si>
  <si>
    <t>11042</t>
  </si>
  <si>
    <t>11548</t>
  </si>
  <si>
    <t>17.15</t>
  </si>
  <si>
    <t>Milton Rd</t>
  </si>
  <si>
    <t>-27.46703</t>
  </si>
  <si>
    <t>153.01006</t>
  </si>
  <si>
    <t>3596</t>
  </si>
  <si>
    <t>3769</t>
  </si>
  <si>
    <t>9135</t>
  </si>
  <si>
    <t>10049</t>
  </si>
  <si>
    <t>3155</t>
  </si>
  <si>
    <t>117</t>
  </si>
  <si>
    <t>3292</t>
  </si>
  <si>
    <t>7024</t>
  </si>
  <si>
    <t>284</t>
  </si>
  <si>
    <t>7416</t>
  </si>
  <si>
    <t>22910</t>
  </si>
  <si>
    <t>1296</t>
  </si>
  <si>
    <t>24526</t>
  </si>
  <si>
    <t>17.16</t>
  </si>
  <si>
    <t>Coronation Dr</t>
  </si>
  <si>
    <t>East of Cribb Street</t>
  </si>
  <si>
    <t>-27.46981</t>
  </si>
  <si>
    <t>153.00931</t>
  </si>
  <si>
    <t>6777</t>
  </si>
  <si>
    <t>6967</t>
  </si>
  <si>
    <t>17762</t>
  </si>
  <si>
    <t>18583</t>
  </si>
  <si>
    <t>6221</t>
  </si>
  <si>
    <t>6352</t>
  </si>
  <si>
    <t>13579</t>
  </si>
  <si>
    <t>307</t>
  </si>
  <si>
    <t>13888</t>
  </si>
  <si>
    <t>44339</t>
  </si>
  <si>
    <t>1430</t>
  </si>
  <si>
    <t>45790</t>
  </si>
  <si>
    <t>2159</t>
  </si>
  <si>
    <t>8041</t>
  </si>
  <si>
    <t>728</t>
  </si>
  <si>
    <t>9023</t>
  </si>
  <si>
    <t>3518</t>
  </si>
  <si>
    <t>3770</t>
  </si>
  <si>
    <t>5946</t>
  </si>
  <si>
    <t>6365</t>
  </si>
  <si>
    <t>19664</t>
  </si>
  <si>
    <t>198</t>
  </si>
  <si>
    <t>21519</t>
  </si>
  <si>
    <t>2566</t>
  </si>
  <si>
    <t>5945</t>
  </si>
  <si>
    <t>212</t>
  </si>
  <si>
    <t>6928</t>
  </si>
  <si>
    <t>2202</t>
  </si>
  <si>
    <t>5685</t>
  </si>
  <si>
    <t>415</t>
  </si>
  <si>
    <t>6239</t>
  </si>
  <si>
    <t>16074</t>
  </si>
  <si>
    <t>1439</t>
  </si>
  <si>
    <t>17935</t>
  </si>
  <si>
    <t>1616</t>
  </si>
  <si>
    <t>1787</t>
  </si>
  <si>
    <t>762</t>
  </si>
  <si>
    <t>3436</t>
  </si>
  <si>
    <t>3746</t>
  </si>
  <si>
    <t>1857</t>
  </si>
  <si>
    <t>6308</t>
  </si>
  <si>
    <t>660</t>
  </si>
  <si>
    <t>7018</t>
  </si>
  <si>
    <t>3161</t>
  </si>
  <si>
    <t>3289</t>
  </si>
  <si>
    <t>5166</t>
  </si>
  <si>
    <t>242</t>
  </si>
  <si>
    <t>5429</t>
  </si>
  <si>
    <t>16354</t>
  </si>
  <si>
    <t>17593</t>
  </si>
  <si>
    <t>4964</t>
  </si>
  <si>
    <t>5278</t>
  </si>
  <si>
    <t>2825</t>
  </si>
  <si>
    <t>2882</t>
  </si>
  <si>
    <t>3249</t>
  </si>
  <si>
    <t>3318</t>
  </si>
  <si>
    <t>12242</t>
  </si>
  <si>
    <t>424</t>
  </si>
  <si>
    <t>12755</t>
  </si>
  <si>
    <t>3533</t>
  </si>
  <si>
    <t>14636</t>
  </si>
  <si>
    <t>15560</t>
  </si>
  <si>
    <t>6431</t>
  </si>
  <si>
    <t>6570</t>
  </si>
  <si>
    <t>10573</t>
  </si>
  <si>
    <t>10987</t>
  </si>
  <si>
    <t>35173</t>
  </si>
  <si>
    <t>1481</t>
  </si>
  <si>
    <t>36870</t>
  </si>
  <si>
    <t>2417</t>
  </si>
  <si>
    <t>2569</t>
  </si>
  <si>
    <t>1659</t>
  </si>
  <si>
    <t>1916</t>
  </si>
  <si>
    <t>1963</t>
  </si>
  <si>
    <t>6533</t>
  </si>
  <si>
    <t>6800</t>
  </si>
  <si>
    <t>296</t>
  </si>
  <si>
    <t>311</t>
  </si>
  <si>
    <t>856</t>
  </si>
  <si>
    <t>437</t>
  </si>
  <si>
    <t>458</t>
  </si>
  <si>
    <t>1893</t>
  </si>
  <si>
    <t>888</t>
  </si>
  <si>
    <t>924</t>
  </si>
  <si>
    <t>2442</t>
  </si>
  <si>
    <t>2571</t>
  </si>
  <si>
    <t>1932</t>
  </si>
  <si>
    <t>6988</t>
  </si>
  <si>
    <t>7240</t>
  </si>
  <si>
    <t>1068</t>
  </si>
  <si>
    <t>432</t>
  </si>
  <si>
    <t>447</t>
  </si>
  <si>
    <t>1569</t>
  </si>
  <si>
    <t>1630</t>
  </si>
  <si>
    <t>719</t>
  </si>
  <si>
    <t>1203</t>
  </si>
  <si>
    <t>1220</t>
  </si>
  <si>
    <t>3923</t>
  </si>
  <si>
    <t>4022</t>
  </si>
  <si>
    <t>2252</t>
  </si>
  <si>
    <t>2453</t>
  </si>
  <si>
    <t>9239</t>
  </si>
  <si>
    <t>9999</t>
  </si>
  <si>
    <t>4086</t>
  </si>
  <si>
    <t>4273</t>
  </si>
  <si>
    <t>7453</t>
  </si>
  <si>
    <t>7909</t>
  </si>
  <si>
    <t>23030</t>
  </si>
  <si>
    <t>24634</t>
  </si>
  <si>
    <t>1872</t>
  </si>
  <si>
    <t>2021</t>
  </si>
  <si>
    <t>7357</t>
  </si>
  <si>
    <t>7766</t>
  </si>
  <si>
    <t>3669</t>
  </si>
  <si>
    <t>3773</t>
  </si>
  <si>
    <t>5765</t>
  </si>
  <si>
    <t>5982</t>
  </si>
  <si>
    <t>18663</t>
  </si>
  <si>
    <t>19542</t>
  </si>
  <si>
    <t>1380</t>
  </si>
  <si>
    <t>1487</t>
  </si>
  <si>
    <t>4236</t>
  </si>
  <si>
    <t>4648</t>
  </si>
  <si>
    <t>2243</t>
  </si>
  <si>
    <t>2363</t>
  </si>
  <si>
    <t>3519</t>
  </si>
  <si>
    <t>3756</t>
  </si>
  <si>
    <t>12254</t>
  </si>
  <si>
    <t>3825</t>
  </si>
  <si>
    <t>4074</t>
  </si>
  <si>
    <t>11911</t>
  </si>
  <si>
    <t>883</t>
  </si>
  <si>
    <t>12952</t>
  </si>
  <si>
    <t>4045</t>
  </si>
  <si>
    <t>4286</t>
  </si>
  <si>
    <t>9933</t>
  </si>
  <si>
    <t>10450</t>
  </si>
  <si>
    <t>29714</t>
  </si>
  <si>
    <t>1737</t>
  </si>
  <si>
    <t>266</t>
  </si>
  <si>
    <t>31762</t>
  </si>
  <si>
    <t>4486</t>
  </si>
  <si>
    <t>4670</t>
  </si>
  <si>
    <t>12915</t>
  </si>
  <si>
    <t>13486</t>
  </si>
  <si>
    <t>4831</t>
  </si>
  <si>
    <t>4909</t>
  </si>
  <si>
    <t>10507</t>
  </si>
  <si>
    <t>10779</t>
  </si>
  <si>
    <t>32739</t>
  </si>
  <si>
    <t>1087</t>
  </si>
  <si>
    <t>33844</t>
  </si>
  <si>
    <t>18.01</t>
  </si>
  <si>
    <t xml:space="preserve"> Brisbane River</t>
  </si>
  <si>
    <t>Gateway Arterial (Murrarie Toll Point)</t>
  </si>
  <si>
    <t>Brisbane River</t>
  </si>
  <si>
    <t>-27.447658</t>
  </si>
  <si>
    <t>153.102508</t>
  </si>
  <si>
    <t>8959</t>
  </si>
  <si>
    <t>11475</t>
  </si>
  <si>
    <t>15996</t>
  </si>
  <si>
    <t>4129</t>
  </si>
  <si>
    <t>23566</t>
  </si>
  <si>
    <t>5131</t>
  </si>
  <si>
    <t>782</t>
  </si>
  <si>
    <t>6498</t>
  </si>
  <si>
    <t>12440</t>
  </si>
  <si>
    <t>2010</t>
  </si>
  <si>
    <t>2093</t>
  </si>
  <si>
    <t>16543</t>
  </si>
  <si>
    <t>42526</t>
  </si>
  <si>
    <t>7581</t>
  </si>
  <si>
    <t>7975</t>
  </si>
  <si>
    <t>58082</t>
  </si>
  <si>
    <t>18.02</t>
  </si>
  <si>
    <t>Clem7 Tunnel</t>
  </si>
  <si>
    <t>-27.463576</t>
  </si>
  <si>
    <t>153.03498</t>
  </si>
  <si>
    <t>2249</t>
  </si>
  <si>
    <t>2632</t>
  </si>
  <si>
    <t>3809</t>
  </si>
  <si>
    <t>5068</t>
  </si>
  <si>
    <t>2215</t>
  </si>
  <si>
    <t>2577</t>
  </si>
  <si>
    <t>2258</t>
  </si>
  <si>
    <t>2747</t>
  </si>
  <si>
    <t>10531</t>
  </si>
  <si>
    <t>1848</t>
  </si>
  <si>
    <t>641</t>
  </si>
  <si>
    <t>13024</t>
  </si>
  <si>
    <t>18.03</t>
  </si>
  <si>
    <t>Story Bridge</t>
  </si>
  <si>
    <t>-27.47102</t>
  </si>
  <si>
    <t>153.03569</t>
  </si>
  <si>
    <t>9035</t>
  </si>
  <si>
    <t>9305</t>
  </si>
  <si>
    <t>17344</t>
  </si>
  <si>
    <t>1021</t>
  </si>
  <si>
    <t>18458</t>
  </si>
  <si>
    <t>6142</t>
  </si>
  <si>
    <t>6339</t>
  </si>
  <si>
    <t>14049</t>
  </si>
  <si>
    <t>14488</t>
  </si>
  <si>
    <t>46570</t>
  </si>
  <si>
    <t>1804</t>
  </si>
  <si>
    <t>48590</t>
  </si>
  <si>
    <t>18.04</t>
  </si>
  <si>
    <t>Pacific Mwy</t>
  </si>
  <si>
    <t>Captain Cook Bridge</t>
  </si>
  <si>
    <t>-27.48262</t>
  </si>
  <si>
    <t>153.03079</t>
  </si>
  <si>
    <t>12482</t>
  </si>
  <si>
    <t>13162</t>
  </si>
  <si>
    <t>26842</t>
  </si>
  <si>
    <t>1405</t>
  </si>
  <si>
    <t>28358</t>
  </si>
  <si>
    <t>7974</t>
  </si>
  <si>
    <t>8387</t>
  </si>
  <si>
    <t>21546</t>
  </si>
  <si>
    <t>22313</t>
  </si>
  <si>
    <t>68844</t>
  </si>
  <si>
    <t>3156</t>
  </si>
  <si>
    <t>72220</t>
  </si>
  <si>
    <t>18.05</t>
  </si>
  <si>
    <t>Victoria Bridge</t>
  </si>
  <si>
    <t>On Bridge</t>
  </si>
  <si>
    <t>-27.47308</t>
  </si>
  <si>
    <t>153.01959</t>
  </si>
  <si>
    <t>793</t>
  </si>
  <si>
    <t>1209</t>
  </si>
  <si>
    <t>1254</t>
  </si>
  <si>
    <t>1107</t>
  </si>
  <si>
    <t>1671</t>
  </si>
  <si>
    <t>749</t>
  </si>
  <si>
    <t>2424</t>
  </si>
  <si>
    <t>5081</t>
  </si>
  <si>
    <t>2819</t>
  </si>
  <si>
    <t>7913</t>
  </si>
  <si>
    <t>18.05a</t>
  </si>
  <si>
    <t>18.05b</t>
  </si>
  <si>
    <t>Victoria Bridge - SE BUS</t>
  </si>
  <si>
    <t>18.06</t>
  </si>
  <si>
    <t>William Jolly Bridge</t>
  </si>
  <si>
    <t>On bridge</t>
  </si>
  <si>
    <t>-27.47078</t>
  </si>
  <si>
    <t>153.01604</t>
  </si>
  <si>
    <t>2351</t>
  </si>
  <si>
    <t>5933</t>
  </si>
  <si>
    <t>6238</t>
  </si>
  <si>
    <t>2836</t>
  </si>
  <si>
    <t>2871</t>
  </si>
  <si>
    <t>5075</t>
  </si>
  <si>
    <t>5220</t>
  </si>
  <si>
    <t>16096</t>
  </si>
  <si>
    <t>504</t>
  </si>
  <si>
    <t>16680</t>
  </si>
  <si>
    <t>18.07</t>
  </si>
  <si>
    <t>Go Between Bridge</t>
  </si>
  <si>
    <t>-27.4715</t>
  </si>
  <si>
    <t>153.01357</t>
  </si>
  <si>
    <t>1196</t>
  </si>
  <si>
    <t>1643</t>
  </si>
  <si>
    <t>1703</t>
  </si>
  <si>
    <t>1658</t>
  </si>
  <si>
    <t>1800</t>
  </si>
  <si>
    <t>8000</t>
  </si>
  <si>
    <t>18.08</t>
  </si>
  <si>
    <t>Walter Taylor Bridge</t>
  </si>
  <si>
    <t>-27.50445</t>
  </si>
  <si>
    <t>152.97415</t>
  </si>
  <si>
    <t>2477</t>
  </si>
  <si>
    <t>6183</t>
  </si>
  <si>
    <t>6507</t>
  </si>
  <si>
    <t>2408</t>
  </si>
  <si>
    <t>3975</t>
  </si>
  <si>
    <t>4080</t>
  </si>
  <si>
    <t>15043</t>
  </si>
  <si>
    <t>15601</t>
  </si>
  <si>
    <t>18.09</t>
  </si>
  <si>
    <t>Western Arterial Road</t>
  </si>
  <si>
    <t>-27.52896</t>
  </si>
  <si>
    <t>152.94674</t>
  </si>
  <si>
    <t>6139</t>
  </si>
  <si>
    <t>333</t>
  </si>
  <si>
    <t>6515</t>
  </si>
  <si>
    <t>15834</t>
  </si>
  <si>
    <t>1154</t>
  </si>
  <si>
    <t>17194</t>
  </si>
  <si>
    <t>6641</t>
  </si>
  <si>
    <t>6820</t>
  </si>
  <si>
    <t>11323</t>
  </si>
  <si>
    <t>471</t>
  </si>
  <si>
    <t>11926</t>
  </si>
  <si>
    <t>39937</t>
  </si>
  <si>
    <t>42455</t>
  </si>
  <si>
    <t>18.1</t>
  </si>
  <si>
    <t>Brisbane-Moggill Ferry Rd</t>
  </si>
  <si>
    <t>-27.59439</t>
  </si>
  <si>
    <t>152.85285</t>
  </si>
  <si>
    <t>493</t>
  </si>
  <si>
    <t>18.11</t>
  </si>
  <si>
    <t xml:space="preserve">Mt Crosby Rd </t>
  </si>
  <si>
    <t>Colleges Crossing</t>
  </si>
  <si>
    <t>-27.55718</t>
  </si>
  <si>
    <t>152.80324</t>
  </si>
  <si>
    <t>1769</t>
  </si>
  <si>
    <t>1174</t>
  </si>
  <si>
    <t>1202</t>
  </si>
  <si>
    <t>1264</t>
  </si>
  <si>
    <t>4700</t>
  </si>
  <si>
    <t>4936</t>
  </si>
  <si>
    <t>1071</t>
  </si>
  <si>
    <t>7200</t>
  </si>
  <si>
    <t>17156</t>
  </si>
  <si>
    <t>3668</t>
  </si>
  <si>
    <t>4102</t>
  </si>
  <si>
    <t>24926</t>
  </si>
  <si>
    <t>8446</t>
  </si>
  <si>
    <t>1162</t>
  </si>
  <si>
    <t>690</t>
  </si>
  <si>
    <t>10298</t>
  </si>
  <si>
    <t>11327</t>
  </si>
  <si>
    <t>1591</t>
  </si>
  <si>
    <t>14803</t>
  </si>
  <si>
    <t>42042</t>
  </si>
  <si>
    <t>7437</t>
  </si>
  <si>
    <t>7748</t>
  </si>
  <si>
    <t>57227</t>
  </si>
  <si>
    <t>1722</t>
  </si>
  <si>
    <t>2050</t>
  </si>
  <si>
    <t>3483</t>
  </si>
  <si>
    <t>791</t>
  </si>
  <si>
    <t>4595</t>
  </si>
  <si>
    <t>2232</t>
  </si>
  <si>
    <t>2097</t>
  </si>
  <si>
    <t>2611</t>
  </si>
  <si>
    <t>9534</t>
  </si>
  <si>
    <t>1687</t>
  </si>
  <si>
    <t>11820</t>
  </si>
  <si>
    <t>5010</t>
  </si>
  <si>
    <t>5342</t>
  </si>
  <si>
    <t>17753</t>
  </si>
  <si>
    <t>18932</t>
  </si>
  <si>
    <t>8629</t>
  </si>
  <si>
    <t>8797</t>
  </si>
  <si>
    <t>14593</t>
  </si>
  <si>
    <t>45985</t>
  </si>
  <si>
    <t>1948</t>
  </si>
  <si>
    <t>48161</t>
  </si>
  <si>
    <t>6429</t>
  </si>
  <si>
    <t>6980</t>
  </si>
  <si>
    <t>28381</t>
  </si>
  <si>
    <t>12307</t>
  </si>
  <si>
    <t>12760</t>
  </si>
  <si>
    <t>20820</t>
  </si>
  <si>
    <t>21350</t>
  </si>
  <si>
    <t>66398</t>
  </si>
  <si>
    <t>2862</t>
  </si>
  <si>
    <t>211</t>
  </si>
  <si>
    <t>69471</t>
  </si>
  <si>
    <t>1175</t>
  </si>
  <si>
    <t>2558</t>
  </si>
  <si>
    <t>3611</t>
  </si>
  <si>
    <t>1131</t>
  </si>
  <si>
    <t>687</t>
  </si>
  <si>
    <t>6072</t>
  </si>
  <si>
    <t>2272</t>
  </si>
  <si>
    <t>8359</t>
  </si>
  <si>
    <t>3706</t>
  </si>
  <si>
    <t>3788</t>
  </si>
  <si>
    <t>6912</t>
  </si>
  <si>
    <t>394</t>
  </si>
  <si>
    <t>7338</t>
  </si>
  <si>
    <t>2503</t>
  </si>
  <si>
    <t>2576</t>
  </si>
  <si>
    <t>5538</t>
  </si>
  <si>
    <t>5715</t>
  </si>
  <si>
    <t>18659</t>
  </si>
  <si>
    <t>685</t>
  </si>
  <si>
    <t>19417</t>
  </si>
  <si>
    <t>1188</t>
  </si>
  <si>
    <t>2309</t>
  </si>
  <si>
    <t>705</t>
  </si>
  <si>
    <t>730</t>
  </si>
  <si>
    <t>1120</t>
  </si>
  <si>
    <t>1217</t>
  </si>
  <si>
    <t>371</t>
  </si>
  <si>
    <t>5504</t>
  </si>
  <si>
    <t>2007</t>
  </si>
  <si>
    <t>2076</t>
  </si>
  <si>
    <t>6220</t>
  </si>
  <si>
    <t>6519</t>
  </si>
  <si>
    <t>3180</t>
  </si>
  <si>
    <t>3223</t>
  </si>
  <si>
    <t>4261</t>
  </si>
  <si>
    <t>4357</t>
  </si>
  <si>
    <t>15668</t>
  </si>
  <si>
    <t>468</t>
  </si>
  <si>
    <t>16175</t>
  </si>
  <si>
    <t>5807</t>
  </si>
  <si>
    <t>6134</t>
  </si>
  <si>
    <t>16366</t>
  </si>
  <si>
    <t>1267</t>
  </si>
  <si>
    <t>17910</t>
  </si>
  <si>
    <t>566</t>
  </si>
  <si>
    <t>7850</t>
  </si>
  <si>
    <t>11572</t>
  </si>
  <si>
    <t>40985</t>
  </si>
  <si>
    <t>2498</t>
  </si>
  <si>
    <t>469</t>
  </si>
  <si>
    <t>43952</t>
  </si>
  <si>
    <t>261</t>
  </si>
  <si>
    <t>90</t>
  </si>
  <si>
    <t>538</t>
  </si>
  <si>
    <t>1303</t>
  </si>
  <si>
    <t>1899</t>
  </si>
  <si>
    <t>783</t>
  </si>
  <si>
    <t>824</t>
  </si>
  <si>
    <t>5027</t>
  </si>
  <si>
    <t>5277</t>
  </si>
  <si>
    <t>19a</t>
  </si>
  <si>
    <t>19.01</t>
  </si>
  <si>
    <t xml:space="preserve"> Dutton Park to Norman Creek/ Brisbane River</t>
  </si>
  <si>
    <t>TJ Doyle Memorial Park Dr</t>
  </si>
  <si>
    <t>south of Gladstone</t>
  </si>
  <si>
    <t>-27.49618</t>
  </si>
  <si>
    <t>153.02513</t>
  </si>
  <si>
    <t>477</t>
  </si>
  <si>
    <t>488</t>
  </si>
  <si>
    <t>503</t>
  </si>
  <si>
    <t>209</t>
  </si>
  <si>
    <t>681</t>
  </si>
  <si>
    <t>1799</t>
  </si>
  <si>
    <t>19.02</t>
  </si>
  <si>
    <t>Gladstone Rd</t>
  </si>
  <si>
    <t>south of Denbigh Str</t>
  </si>
  <si>
    <t>-27.49679</t>
  </si>
  <si>
    <t>153.02651</t>
  </si>
  <si>
    <t>3281</t>
  </si>
  <si>
    <t>3421</t>
  </si>
  <si>
    <t>4068</t>
  </si>
  <si>
    <t>4372</t>
  </si>
  <si>
    <t>2638</t>
  </si>
  <si>
    <t>2807</t>
  </si>
  <si>
    <t>11518</t>
  </si>
  <si>
    <t>12180</t>
  </si>
  <si>
    <t>19.03</t>
  </si>
  <si>
    <t>Annerley Rd</t>
  </si>
  <si>
    <t>south of Grantham Street</t>
  </si>
  <si>
    <t>-27.49628</t>
  </si>
  <si>
    <t>153.02797</t>
  </si>
  <si>
    <t>2378</t>
  </si>
  <si>
    <t>2475</t>
  </si>
  <si>
    <t>3515</t>
  </si>
  <si>
    <t>3815</t>
  </si>
  <si>
    <t>1079</t>
  </si>
  <si>
    <t>2248</t>
  </si>
  <si>
    <t>2355</t>
  </si>
  <si>
    <t>9220</t>
  </si>
  <si>
    <t>9780</t>
  </si>
  <si>
    <t>19.04</t>
  </si>
  <si>
    <t>Ipswich Rd</t>
  </si>
  <si>
    <t>north of O'Keefe</t>
  </si>
  <si>
    <t>-27.49631</t>
  </si>
  <si>
    <t>4384</t>
  </si>
  <si>
    <t>315</t>
  </si>
  <si>
    <t>4742</t>
  </si>
  <si>
    <t>9679</t>
  </si>
  <si>
    <t>1020</t>
  </si>
  <si>
    <t>10871</t>
  </si>
  <si>
    <t>3541</t>
  </si>
  <si>
    <t>3713</t>
  </si>
  <si>
    <t>6417</t>
  </si>
  <si>
    <t>480</t>
  </si>
  <si>
    <t>7031</t>
  </si>
  <si>
    <t>24021</t>
  </si>
  <si>
    <t>26357</t>
  </si>
  <si>
    <t>19.05</t>
  </si>
  <si>
    <t>-27.49592</t>
  </si>
  <si>
    <t>153.03793</t>
  </si>
  <si>
    <t>12115</t>
  </si>
  <si>
    <t>12382</t>
  </si>
  <si>
    <t>24072</t>
  </si>
  <si>
    <t>1030</t>
  </si>
  <si>
    <t>25237</t>
  </si>
  <si>
    <t>7695</t>
  </si>
  <si>
    <t>7843</t>
  </si>
  <si>
    <t>20411</t>
  </si>
  <si>
    <t>540</t>
  </si>
  <si>
    <t>21038</t>
  </si>
  <si>
    <t>64293</t>
  </si>
  <si>
    <t>1959</t>
  </si>
  <si>
    <t>66500</t>
  </si>
  <si>
    <t>19.06</t>
  </si>
  <si>
    <t>Logan Rd</t>
  </si>
  <si>
    <t>south of Taylor St (at Ped Xing)</t>
  </si>
  <si>
    <t>-27.49476</t>
  </si>
  <si>
    <t>153.04153</t>
  </si>
  <si>
    <t>2326</t>
  </si>
  <si>
    <t>2415</t>
  </si>
  <si>
    <t>4806</t>
  </si>
  <si>
    <t>2812</t>
  </si>
  <si>
    <t>2920</t>
  </si>
  <si>
    <t>11353</t>
  </si>
  <si>
    <t>11869</t>
  </si>
  <si>
    <t>19.07</t>
  </si>
  <si>
    <t>Deshon St / Main Ave</t>
  </si>
  <si>
    <t>north of Tenth Ave</t>
  </si>
  <si>
    <t>-27.4946</t>
  </si>
  <si>
    <t>153.04872</t>
  </si>
  <si>
    <t>1860</t>
  </si>
  <si>
    <t>1910</t>
  </si>
  <si>
    <t>497</t>
  </si>
  <si>
    <t>1070</t>
  </si>
  <si>
    <t>1116</t>
  </si>
  <si>
    <t>5206</t>
  </si>
  <si>
    <t>205</t>
  </si>
  <si>
    <t>5424</t>
  </si>
  <si>
    <t>19.08</t>
  </si>
  <si>
    <t>Turbo Dr</t>
  </si>
  <si>
    <t>at Norman Creek</t>
  </si>
  <si>
    <t>-27.49303</t>
  </si>
  <si>
    <t>153.04803</t>
  </si>
  <si>
    <t>1228</t>
  </si>
  <si>
    <t>405</t>
  </si>
  <si>
    <t>232</t>
  </si>
  <si>
    <t>2233</t>
  </si>
  <si>
    <t>19.09</t>
  </si>
  <si>
    <t>Stanley St East</t>
  </si>
  <si>
    <t>-27.48772</t>
  </si>
  <si>
    <t>153.05112</t>
  </si>
  <si>
    <t>5046</t>
  </si>
  <si>
    <t>5139</t>
  </si>
  <si>
    <t>6723</t>
  </si>
  <si>
    <t>7015</t>
  </si>
  <si>
    <t>5646</t>
  </si>
  <si>
    <t>19349</t>
  </si>
  <si>
    <t>19943</t>
  </si>
  <si>
    <t>19.1</t>
  </si>
  <si>
    <t>Wynnum Rd</t>
  </si>
  <si>
    <t>-27.47656</t>
  </si>
  <si>
    <t>153.04985</t>
  </si>
  <si>
    <t>4133</t>
  </si>
  <si>
    <t>4293</t>
  </si>
  <si>
    <t>10344</t>
  </si>
  <si>
    <t>10995</t>
  </si>
  <si>
    <t>3612</t>
  </si>
  <si>
    <t>3716</t>
  </si>
  <si>
    <t>8065</t>
  </si>
  <si>
    <t>26154</t>
  </si>
  <si>
    <t>27363</t>
  </si>
  <si>
    <t>575</t>
  </si>
  <si>
    <t>535</t>
  </si>
  <si>
    <t>1877</t>
  </si>
  <si>
    <t>1195</t>
  </si>
  <si>
    <t>4107</t>
  </si>
  <si>
    <t>293</t>
  </si>
  <si>
    <t>4425</t>
  </si>
  <si>
    <t>2211</t>
  </si>
  <si>
    <t>2838</t>
  </si>
  <si>
    <t>2970</t>
  </si>
  <si>
    <t>10289</t>
  </si>
  <si>
    <t>10875</t>
  </si>
  <si>
    <t>953</t>
  </si>
  <si>
    <t>3938</t>
  </si>
  <si>
    <t>265</t>
  </si>
  <si>
    <t>4223</t>
  </si>
  <si>
    <t>2346</t>
  </si>
  <si>
    <t>2770</t>
  </si>
  <si>
    <t>2869</t>
  </si>
  <si>
    <t>10007</t>
  </si>
  <si>
    <t>10500</t>
  </si>
  <si>
    <t>2865</t>
  </si>
  <si>
    <t>9870</t>
  </si>
  <si>
    <t>11144</t>
  </si>
  <si>
    <t>4230</t>
  </si>
  <si>
    <t>4429</t>
  </si>
  <si>
    <t>6997</t>
  </si>
  <si>
    <t>7619</t>
  </si>
  <si>
    <t>23962</t>
  </si>
  <si>
    <t>26372</t>
  </si>
  <si>
    <t>6632</t>
  </si>
  <si>
    <t>346</t>
  </si>
  <si>
    <t>7011</t>
  </si>
  <si>
    <t>25754</t>
  </si>
  <si>
    <t>1197</t>
  </si>
  <si>
    <t>27096</t>
  </si>
  <si>
    <t>11716</t>
  </si>
  <si>
    <t>20307</t>
  </si>
  <si>
    <t>20714</t>
  </si>
  <si>
    <t>64243</t>
  </si>
  <si>
    <t>66537</t>
  </si>
  <si>
    <t>797</t>
  </si>
  <si>
    <t>3176</t>
  </si>
  <si>
    <t>3419</t>
  </si>
  <si>
    <t>1483</t>
  </si>
  <si>
    <t>1539</t>
  </si>
  <si>
    <t>1518</t>
  </si>
  <si>
    <t>1618</t>
  </si>
  <si>
    <t>143</t>
  </si>
  <si>
    <t>1944</t>
  </si>
  <si>
    <t>1215</t>
  </si>
  <si>
    <t>943</t>
  </si>
  <si>
    <t>1009</t>
  </si>
  <si>
    <t>4246</t>
  </si>
  <si>
    <t>7911</t>
  </si>
  <si>
    <t>342</t>
  </si>
  <si>
    <t>8256</t>
  </si>
  <si>
    <t>4903</t>
  </si>
  <si>
    <t>4971</t>
  </si>
  <si>
    <t>6439</t>
  </si>
  <si>
    <t>6546</t>
  </si>
  <si>
    <t>21132</t>
  </si>
  <si>
    <t>21753</t>
  </si>
  <si>
    <t>2944</t>
  </si>
  <si>
    <t>3118</t>
  </si>
  <si>
    <t>10159</t>
  </si>
  <si>
    <t>10851</t>
  </si>
  <si>
    <t>5058</t>
  </si>
  <si>
    <t>8770</t>
  </si>
  <si>
    <t>9048</t>
  </si>
  <si>
    <t>26931</t>
  </si>
  <si>
    <t>1111</t>
  </si>
  <si>
    <t>28174</t>
  </si>
  <si>
    <t>19b</t>
  </si>
  <si>
    <t>19.11</t>
  </si>
  <si>
    <t xml:space="preserve"> Dutton Park to Bulimba</t>
  </si>
  <si>
    <t>Cavendish Road</t>
  </si>
  <si>
    <t>between Temple St &amp; Jellicoe St</t>
  </si>
  <si>
    <t>-27.48949</t>
  </si>
  <si>
    <t>153.05599</t>
  </si>
  <si>
    <t>1783</t>
  </si>
  <si>
    <t>3574</t>
  </si>
  <si>
    <t>3801</t>
  </si>
  <si>
    <t>1304</t>
  </si>
  <si>
    <t>2885</t>
  </si>
  <si>
    <t>9435</t>
  </si>
  <si>
    <t>9856</t>
  </si>
  <si>
    <t>19.12</t>
  </si>
  <si>
    <t>Stanley Street East</t>
  </si>
  <si>
    <t>At rail crossing</t>
  </si>
  <si>
    <t>-27.48612</t>
  </si>
  <si>
    <t>153.05701</t>
  </si>
  <si>
    <t>1094</t>
  </si>
  <si>
    <t>587</t>
  </si>
  <si>
    <t>180</t>
  </si>
  <si>
    <t>618</t>
  </si>
  <si>
    <t>2519</t>
  </si>
  <si>
    <t>19.13</t>
  </si>
  <si>
    <t>Crown Street</t>
  </si>
  <si>
    <t>West of Bennetts Road</t>
  </si>
  <si>
    <t>-27.48312</t>
  </si>
  <si>
    <t>153.06299</t>
  </si>
  <si>
    <t>2892</t>
  </si>
  <si>
    <t>2952</t>
  </si>
  <si>
    <t>3356</t>
  </si>
  <si>
    <t>1164</t>
  </si>
  <si>
    <t>1239</t>
  </si>
  <si>
    <t>3222</t>
  </si>
  <si>
    <t>3317</t>
  </si>
  <si>
    <t>10634</t>
  </si>
  <si>
    <t>11051</t>
  </si>
  <si>
    <t>19.14</t>
  </si>
  <si>
    <t>Agnew Road</t>
  </si>
  <si>
    <t>At railway crossing</t>
  </si>
  <si>
    <t>-27.47609</t>
  </si>
  <si>
    <t>153.06598</t>
  </si>
  <si>
    <t>693</t>
  </si>
  <si>
    <t>733</t>
  </si>
  <si>
    <t>1249</t>
  </si>
  <si>
    <t>1305</t>
  </si>
  <si>
    <t>4743</t>
  </si>
  <si>
    <t>19.15</t>
  </si>
  <si>
    <t>Jack Flynn Memorial Drive</t>
  </si>
  <si>
    <t>North of train line</t>
  </si>
  <si>
    <t>-27.47148</t>
  </si>
  <si>
    <t>153.0686</t>
  </si>
  <si>
    <t>1987</t>
  </si>
  <si>
    <t>6421</t>
  </si>
  <si>
    <t>282</t>
  </si>
  <si>
    <t>19.16</t>
  </si>
  <si>
    <t>Wynnum Road</t>
  </si>
  <si>
    <t>East of Junction Road</t>
  </si>
  <si>
    <t>153.08019</t>
  </si>
  <si>
    <t>114</t>
  </si>
  <si>
    <t>2615</t>
  </si>
  <si>
    <t>6721</t>
  </si>
  <si>
    <t>7157</t>
  </si>
  <si>
    <t>2445</t>
  </si>
  <si>
    <t>2522</t>
  </si>
  <si>
    <t>5224</t>
  </si>
  <si>
    <t>5413</t>
  </si>
  <si>
    <t>16873</t>
  </si>
  <si>
    <t>17707</t>
  </si>
  <si>
    <t>19.17</t>
  </si>
  <si>
    <t>Barrack Road</t>
  </si>
  <si>
    <t>North of Wynnum Road</t>
  </si>
  <si>
    <t>-27.46771</t>
  </si>
  <si>
    <t>153.08906</t>
  </si>
  <si>
    <t>838</t>
  </si>
  <si>
    <t>854</t>
  </si>
  <si>
    <t>1101</t>
  </si>
  <si>
    <t>1153</t>
  </si>
  <si>
    <t>880</t>
  </si>
  <si>
    <t>891</t>
  </si>
  <si>
    <t>3238</t>
  </si>
  <si>
    <t>3321</t>
  </si>
  <si>
    <t>19.18</t>
  </si>
  <si>
    <t>Lytton Rd</t>
  </si>
  <si>
    <t>West of Creek Road</t>
  </si>
  <si>
    <t>-27.45686</t>
  </si>
  <si>
    <t>153.09705</t>
  </si>
  <si>
    <t>2045</t>
  </si>
  <si>
    <t>5214</t>
  </si>
  <si>
    <t>717</t>
  </si>
  <si>
    <t>2468</t>
  </si>
  <si>
    <t>3718</t>
  </si>
  <si>
    <t>4193</t>
  </si>
  <si>
    <t>13329</t>
  </si>
  <si>
    <t>15185</t>
  </si>
  <si>
    <t>4367</t>
  </si>
  <si>
    <t>4600</t>
  </si>
  <si>
    <t>2121</t>
  </si>
  <si>
    <t>2170</t>
  </si>
  <si>
    <t>3235</t>
  </si>
  <si>
    <t>3307</t>
  </si>
  <si>
    <t>11153</t>
  </si>
  <si>
    <t>397</t>
  </si>
  <si>
    <t>11561</t>
  </si>
  <si>
    <t>729</t>
  </si>
  <si>
    <t>578</t>
  </si>
  <si>
    <t>595</t>
  </si>
  <si>
    <t>628</t>
  </si>
  <si>
    <t>1971</t>
  </si>
  <si>
    <t>2044</t>
  </si>
  <si>
    <t>908</t>
  </si>
  <si>
    <t>1014</t>
  </si>
  <si>
    <t>4182</t>
  </si>
  <si>
    <t>2716</t>
  </si>
  <si>
    <t>2783</t>
  </si>
  <si>
    <t>3583</t>
  </si>
  <si>
    <t>3684</t>
  </si>
  <si>
    <t>11389</t>
  </si>
  <si>
    <t>11979</t>
  </si>
  <si>
    <t>632</t>
  </si>
  <si>
    <t>663</t>
  </si>
  <si>
    <t>1353</t>
  </si>
  <si>
    <t>1460</t>
  </si>
  <si>
    <t>1028</t>
  </si>
  <si>
    <t>3594</t>
  </si>
  <si>
    <t>866</t>
  </si>
  <si>
    <t>918</t>
  </si>
  <si>
    <t>2528</t>
  </si>
  <si>
    <t>1136</t>
  </si>
  <si>
    <t>1793</t>
  </si>
  <si>
    <t>6189</t>
  </si>
  <si>
    <t>6423</t>
  </si>
  <si>
    <t>2362</t>
  </si>
  <si>
    <t>2458</t>
  </si>
  <si>
    <t>7429</t>
  </si>
  <si>
    <t>365</t>
  </si>
  <si>
    <t>7824</t>
  </si>
  <si>
    <t>3282</t>
  </si>
  <si>
    <t>5102</t>
  </si>
  <si>
    <t>18037</t>
  </si>
  <si>
    <t>18734</t>
  </si>
  <si>
    <t>1022</t>
  </si>
  <si>
    <t>1063</t>
  </si>
  <si>
    <t>588</t>
  </si>
  <si>
    <t>2669</t>
  </si>
  <si>
    <t>2752</t>
  </si>
  <si>
    <t>2357</t>
  </si>
  <si>
    <t>2659</t>
  </si>
  <si>
    <t>5758</t>
  </si>
  <si>
    <t>884</t>
  </si>
  <si>
    <t>6944</t>
  </si>
  <si>
    <t>3620</t>
  </si>
  <si>
    <t>4046</t>
  </si>
  <si>
    <t>13771</t>
  </si>
  <si>
    <t>1480</t>
  </si>
  <si>
    <t>15832</t>
  </si>
  <si>
    <t>20a</t>
  </si>
  <si>
    <t>20.02</t>
  </si>
  <si>
    <t xml:space="preserve"> South Logan Motorway</t>
  </si>
  <si>
    <t>Wilruna St</t>
  </si>
  <si>
    <t>North of Logan Mwy</t>
  </si>
  <si>
    <t>-27.59981</t>
  </si>
  <si>
    <t>152.9198</t>
  </si>
  <si>
    <t>753</t>
  </si>
  <si>
    <t>1470</t>
  </si>
  <si>
    <t>3653</t>
  </si>
  <si>
    <t>20.03</t>
  </si>
  <si>
    <t>Ipswich Motorway</t>
  </si>
  <si>
    <t>-27.595707</t>
  </si>
  <si>
    <t>152.92183</t>
  </si>
  <si>
    <t>5641</t>
  </si>
  <si>
    <t>6008</t>
  </si>
  <si>
    <t>11933</t>
  </si>
  <si>
    <t>13449</t>
  </si>
  <si>
    <t>4485</t>
  </si>
  <si>
    <t>4679</t>
  </si>
  <si>
    <t>10592</t>
  </si>
  <si>
    <t>11471</t>
  </si>
  <si>
    <t>32651</t>
  </si>
  <si>
    <t>2114</t>
  </si>
  <si>
    <t>842</t>
  </si>
  <si>
    <t>35607</t>
  </si>
  <si>
    <t>20.04</t>
  </si>
  <si>
    <t>Formation Street</t>
  </si>
  <si>
    <t>-27.607458</t>
  </si>
  <si>
    <t>152.92428</t>
  </si>
  <si>
    <t>1139</t>
  </si>
  <si>
    <t>1230</t>
  </si>
  <si>
    <t>1705</t>
  </si>
  <si>
    <t>1941</t>
  </si>
  <si>
    <t>2040</t>
  </si>
  <si>
    <t>5334</t>
  </si>
  <si>
    <t>407</t>
  </si>
  <si>
    <t>5814</t>
  </si>
  <si>
    <t>20.05</t>
  </si>
  <si>
    <t>Logan Motorway</t>
  </si>
  <si>
    <t>West of Boundary Rd</t>
  </si>
  <si>
    <t>-27.608418</t>
  </si>
  <si>
    <t>152.924873</t>
  </si>
  <si>
    <t>1803</t>
  </si>
  <si>
    <t>4529</t>
  </si>
  <si>
    <t>799</t>
  </si>
  <si>
    <t>5921</t>
  </si>
  <si>
    <t>2654</t>
  </si>
  <si>
    <t>674</t>
  </si>
  <si>
    <t>3633</t>
  </si>
  <si>
    <t>10708</t>
  </si>
  <si>
    <t>1859</t>
  </si>
  <si>
    <t>13720</t>
  </si>
  <si>
    <t>20.06</t>
  </si>
  <si>
    <t>Boundary Road</t>
  </si>
  <si>
    <t>South of Logan Mwy</t>
  </si>
  <si>
    <t>-27.61335</t>
  </si>
  <si>
    <t>152.93039</t>
  </si>
  <si>
    <t>549</t>
  </si>
  <si>
    <t>2409</t>
  </si>
  <si>
    <t>1420</t>
  </si>
  <si>
    <t>5044</t>
  </si>
  <si>
    <t>6531</t>
  </si>
  <si>
    <t>20.07</t>
  </si>
  <si>
    <t>Centenary Hwy</t>
  </si>
  <si>
    <t>-27.634556</t>
  </si>
  <si>
    <t>152.93975</t>
  </si>
  <si>
    <t>2958</t>
  </si>
  <si>
    <t>3144</t>
  </si>
  <si>
    <t>4395</t>
  </si>
  <si>
    <t>4974</t>
  </si>
  <si>
    <t>1635</t>
  </si>
  <si>
    <t>1753</t>
  </si>
  <si>
    <t>4542</t>
  </si>
  <si>
    <t>4913</t>
  </si>
  <si>
    <t>13530</t>
  </si>
  <si>
    <t>14784</t>
  </si>
  <si>
    <t>20.08</t>
  </si>
  <si>
    <t>Woogaroo Street</t>
  </si>
  <si>
    <t>-27.63266</t>
  </si>
  <si>
    <t>152.95348</t>
  </si>
  <si>
    <t>702</t>
  </si>
  <si>
    <t>1247</t>
  </si>
  <si>
    <t>514</t>
  </si>
  <si>
    <t>3549</t>
  </si>
  <si>
    <t>3678</t>
  </si>
  <si>
    <t>20.09</t>
  </si>
  <si>
    <t>Stapylton Road</t>
  </si>
  <si>
    <t>-27.6441</t>
  </si>
  <si>
    <t>152.98494</t>
  </si>
  <si>
    <t>841</t>
  </si>
  <si>
    <t>928</t>
  </si>
  <si>
    <t>1786</t>
  </si>
  <si>
    <t>560</t>
  </si>
  <si>
    <t>1523</t>
  </si>
  <si>
    <t>1650</t>
  </si>
  <si>
    <t>355</t>
  </si>
  <si>
    <t>4958</t>
  </si>
  <si>
    <t>20.1</t>
  </si>
  <si>
    <t>Paradise Road</t>
  </si>
  <si>
    <t>-27.6438</t>
  </si>
  <si>
    <t>153.01138</t>
  </si>
  <si>
    <t>682</t>
  </si>
  <si>
    <t>844</t>
  </si>
  <si>
    <t>1161</t>
  </si>
  <si>
    <t>258</t>
  </si>
  <si>
    <t>2382</t>
  </si>
  <si>
    <t>3420</t>
  </si>
  <si>
    <t>20.11</t>
  </si>
  <si>
    <t>Beaudesert Rd</t>
  </si>
  <si>
    <t>-27.65132</t>
  </si>
  <si>
    <t>153.04083</t>
  </si>
  <si>
    <t>5812</t>
  </si>
  <si>
    <t>6379</t>
  </si>
  <si>
    <t>10738</t>
  </si>
  <si>
    <t>12275</t>
  </si>
  <si>
    <t>3566</t>
  </si>
  <si>
    <t>3873</t>
  </si>
  <si>
    <t>10571</t>
  </si>
  <si>
    <t>906</t>
  </si>
  <si>
    <t>11938</t>
  </si>
  <si>
    <t>30687</t>
  </si>
  <si>
    <t>2552</t>
  </si>
  <si>
    <t>1108</t>
  </si>
  <si>
    <t>34465</t>
  </si>
  <si>
    <t>1313</t>
  </si>
  <si>
    <t>1381</t>
  </si>
  <si>
    <t>962</t>
  </si>
  <si>
    <t>986</t>
  </si>
  <si>
    <t>3185</t>
  </si>
  <si>
    <t>4396</t>
  </si>
  <si>
    <t>337</t>
  </si>
  <si>
    <t>4845</t>
  </si>
  <si>
    <t>14564</t>
  </si>
  <si>
    <t>1397</t>
  </si>
  <si>
    <t>483</t>
  </si>
  <si>
    <t>16444</t>
  </si>
  <si>
    <t>7260</t>
  </si>
  <si>
    <t>7566</t>
  </si>
  <si>
    <t>10688</t>
  </si>
  <si>
    <t>36219</t>
  </si>
  <si>
    <t>2368</t>
  </si>
  <si>
    <t>39543</t>
  </si>
  <si>
    <t>987</t>
  </si>
  <si>
    <t>3027</t>
  </si>
  <si>
    <t>1370</t>
  </si>
  <si>
    <t>1435</t>
  </si>
  <si>
    <t>2079</t>
  </si>
  <si>
    <t>2213</t>
  </si>
  <si>
    <t>7463</t>
  </si>
  <si>
    <t>8383</t>
  </si>
  <si>
    <t>1720</t>
  </si>
  <si>
    <t>2168</t>
  </si>
  <si>
    <t>3560</t>
  </si>
  <si>
    <t>860</t>
  </si>
  <si>
    <t>4973</t>
  </si>
  <si>
    <t>1426</t>
  </si>
  <si>
    <t>1724</t>
  </si>
  <si>
    <t>3026</t>
  </si>
  <si>
    <t>667</t>
  </si>
  <si>
    <t>4155</t>
  </si>
  <si>
    <t>1356</t>
  </si>
  <si>
    <t>1923</t>
  </si>
  <si>
    <t>13020</t>
  </si>
  <si>
    <t>2161</t>
  </si>
  <si>
    <t>759</t>
  </si>
  <si>
    <t>218</t>
  </si>
  <si>
    <t>3204</t>
  </si>
  <si>
    <t>630</t>
  </si>
  <si>
    <t>1693</t>
  </si>
  <si>
    <t>5182</t>
  </si>
  <si>
    <t>1192</t>
  </si>
  <si>
    <t>6868</t>
  </si>
  <si>
    <t>1633</t>
  </si>
  <si>
    <t>5260</t>
  </si>
  <si>
    <t>366</t>
  </si>
  <si>
    <t>5789</t>
  </si>
  <si>
    <t>3390</t>
  </si>
  <si>
    <t>3505</t>
  </si>
  <si>
    <t>3946</t>
  </si>
  <si>
    <t>4210</t>
  </si>
  <si>
    <t>14089</t>
  </si>
  <si>
    <t>15137</t>
  </si>
  <si>
    <t>455</t>
  </si>
  <si>
    <t>1279</t>
  </si>
  <si>
    <t>633</t>
  </si>
  <si>
    <t>661</t>
  </si>
  <si>
    <t>3298</t>
  </si>
  <si>
    <t>171</t>
  </si>
  <si>
    <t>3476</t>
  </si>
  <si>
    <t>417</t>
  </si>
  <si>
    <t>1187</t>
  </si>
  <si>
    <t>3925</t>
  </si>
  <si>
    <t>807</t>
  </si>
  <si>
    <t>1262</t>
  </si>
  <si>
    <t>763</t>
  </si>
  <si>
    <t>876</t>
  </si>
  <si>
    <t>801</t>
  </si>
  <si>
    <t>1098</t>
  </si>
  <si>
    <t>2575</t>
  </si>
  <si>
    <t>3539</t>
  </si>
  <si>
    <t>3434</t>
  </si>
  <si>
    <t>13523</t>
  </si>
  <si>
    <t>15288</t>
  </si>
  <si>
    <t>7494</t>
  </si>
  <si>
    <t>8074</t>
  </si>
  <si>
    <t>8883</t>
  </si>
  <si>
    <t>472</t>
  </si>
  <si>
    <t>207</t>
  </si>
  <si>
    <t>9563</t>
  </si>
  <si>
    <t>33334</t>
  </si>
  <si>
    <t>862</t>
  </si>
  <si>
    <t>36726</t>
  </si>
  <si>
    <t>20b</t>
  </si>
  <si>
    <t>20.2</t>
  </si>
  <si>
    <t xml:space="preserve"> South of Gateway Extension</t>
  </si>
  <si>
    <t>Logan Mwy</t>
  </si>
  <si>
    <t>West of Gateway Mwy</t>
  </si>
  <si>
    <t>-27.64741</t>
  </si>
  <si>
    <t>153.04866</t>
  </si>
  <si>
    <t>6281</t>
  </si>
  <si>
    <t>7519</t>
  </si>
  <si>
    <t>2284</t>
  </si>
  <si>
    <t>2164</t>
  </si>
  <si>
    <t>17511</t>
  </si>
  <si>
    <t>6395</t>
  </si>
  <si>
    <t>7216</t>
  </si>
  <si>
    <t>8777</t>
  </si>
  <si>
    <t>978</t>
  </si>
  <si>
    <t>1245</t>
  </si>
  <si>
    <t>11003</t>
  </si>
  <si>
    <t>34508</t>
  </si>
  <si>
    <t>4431</t>
  </si>
  <si>
    <t>4297</t>
  </si>
  <si>
    <t>43249</t>
  </si>
  <si>
    <t>20.21</t>
  </si>
  <si>
    <t>Illaweena St</t>
  </si>
  <si>
    <t>-27.64066</t>
  </si>
  <si>
    <t>153.06072</t>
  </si>
  <si>
    <t>529</t>
  </si>
  <si>
    <t>718</t>
  </si>
  <si>
    <t>849</t>
  </si>
  <si>
    <t>3326</t>
  </si>
  <si>
    <t>164</t>
  </si>
  <si>
    <t>3496</t>
  </si>
  <si>
    <t>20.22</t>
  </si>
  <si>
    <t>Compton Rd</t>
  </si>
  <si>
    <t>-27.61286</t>
  </si>
  <si>
    <t>153.0766</t>
  </si>
  <si>
    <t>6537</t>
  </si>
  <si>
    <t>7287</t>
  </si>
  <si>
    <t>2737</t>
  </si>
  <si>
    <t>3482</t>
  </si>
  <si>
    <t>3740</t>
  </si>
  <si>
    <t>15319</t>
  </si>
  <si>
    <t>16693</t>
  </si>
  <si>
    <t>20.23</t>
  </si>
  <si>
    <t>Beenleigh Rd</t>
  </si>
  <si>
    <t>East of Gateway Mwy</t>
  </si>
  <si>
    <t>-27.60289</t>
  </si>
  <si>
    <t>153.08778</t>
  </si>
  <si>
    <t>740</t>
  </si>
  <si>
    <t>2757</t>
  </si>
  <si>
    <t>1535</t>
  </si>
  <si>
    <t>1602</t>
  </si>
  <si>
    <t>6582</t>
  </si>
  <si>
    <t>354</t>
  </si>
  <si>
    <t>6955</t>
  </si>
  <si>
    <t>20.24</t>
  </si>
  <si>
    <t>Underwood Rd</t>
  </si>
  <si>
    <t>-27.59181</t>
  </si>
  <si>
    <t>153.09591</t>
  </si>
  <si>
    <t>2486</t>
  </si>
  <si>
    <t>2551</t>
  </si>
  <si>
    <t>1216</t>
  </si>
  <si>
    <t>1391</t>
  </si>
  <si>
    <t>1403</t>
  </si>
  <si>
    <t>6157</t>
  </si>
  <si>
    <t>6284</t>
  </si>
  <si>
    <t>20.25</t>
  </si>
  <si>
    <t>Logan Sub-Arterial</t>
  </si>
  <si>
    <t>-27.58565</t>
  </si>
  <si>
    <t>153.10206</t>
  </si>
  <si>
    <t>2148</t>
  </si>
  <si>
    <t>4454</t>
  </si>
  <si>
    <t>4712</t>
  </si>
  <si>
    <t>1538</t>
  </si>
  <si>
    <t>2951</t>
  </si>
  <si>
    <t>3085</t>
  </si>
  <si>
    <t>10962</t>
  </si>
  <si>
    <t>11483</t>
  </si>
  <si>
    <t>20.26</t>
  </si>
  <si>
    <t>Gateway Mwy / Pacific Mwy Ramp Pair</t>
  </si>
  <si>
    <t xml:space="preserve">East and west of Pacific Mwy, incl. ramp from Logan Rd </t>
  </si>
  <si>
    <t>-27.58417</t>
  </si>
  <si>
    <t>153.10306</t>
  </si>
  <si>
    <t>4463</t>
  </si>
  <si>
    <t>5069</t>
  </si>
  <si>
    <t>11563</t>
  </si>
  <si>
    <t>1437</t>
  </si>
  <si>
    <t>13732</t>
  </si>
  <si>
    <t>9040</t>
  </si>
  <si>
    <t>438</t>
  </si>
  <si>
    <t>10269</t>
  </si>
  <si>
    <t>29497</t>
  </si>
  <si>
    <t>33830</t>
  </si>
  <si>
    <t>20.27</t>
  </si>
  <si>
    <t>-27.58312</t>
  </si>
  <si>
    <t>153.10426</t>
  </si>
  <si>
    <t>7072</t>
  </si>
  <si>
    <t>7376</t>
  </si>
  <si>
    <t>15495</t>
  </si>
  <si>
    <t>16604</t>
  </si>
  <si>
    <t>5528</t>
  </si>
  <si>
    <t>5725</t>
  </si>
  <si>
    <t>11878</t>
  </si>
  <si>
    <t>12595</t>
  </si>
  <si>
    <t>39973</t>
  </si>
  <si>
    <t>42300</t>
  </si>
  <si>
    <t>5251</t>
  </si>
  <si>
    <t>610</t>
  </si>
  <si>
    <t>6451</t>
  </si>
  <si>
    <t>12003</t>
  </si>
  <si>
    <t>1942</t>
  </si>
  <si>
    <t>2101</t>
  </si>
  <si>
    <t>16059</t>
  </si>
  <si>
    <t>7111</t>
  </si>
  <si>
    <t>11751</t>
  </si>
  <si>
    <t>33304</t>
  </si>
  <si>
    <t>3822</t>
  </si>
  <si>
    <t>4200</t>
  </si>
  <si>
    <t>41372</t>
  </si>
  <si>
    <t>1077</t>
  </si>
  <si>
    <t>1376</t>
  </si>
  <si>
    <t>1452</t>
  </si>
  <si>
    <t>1185</t>
  </si>
  <si>
    <t>4180</t>
  </si>
  <si>
    <t>2267</t>
  </si>
  <si>
    <t>5838</t>
  </si>
  <si>
    <t>611</t>
  </si>
  <si>
    <t>6667</t>
  </si>
  <si>
    <t>2699</t>
  </si>
  <si>
    <t>2848</t>
  </si>
  <si>
    <t>4201</t>
  </si>
  <si>
    <t>4487</t>
  </si>
  <si>
    <t>15005</t>
  </si>
  <si>
    <t>16511</t>
  </si>
  <si>
    <t>2454</t>
  </si>
  <si>
    <t>2071</t>
  </si>
  <si>
    <t>6806</t>
  </si>
  <si>
    <t>1964</t>
  </si>
  <si>
    <t>947</t>
  </si>
  <si>
    <t>1310</t>
  </si>
  <si>
    <t>1346</t>
  </si>
  <si>
    <t>5266</t>
  </si>
  <si>
    <t>5419</t>
  </si>
  <si>
    <t>1697</t>
  </si>
  <si>
    <t>1809</t>
  </si>
  <si>
    <t>6062</t>
  </si>
  <si>
    <t>6597</t>
  </si>
  <si>
    <t>3572</t>
  </si>
  <si>
    <t>3707</t>
  </si>
  <si>
    <t>3477</t>
  </si>
  <si>
    <t>3700</t>
  </si>
  <si>
    <t>14808</t>
  </si>
  <si>
    <t>907</t>
  </si>
  <si>
    <t>15813</t>
  </si>
  <si>
    <t>3917</t>
  </si>
  <si>
    <t>4414</t>
  </si>
  <si>
    <t>12083</t>
  </si>
  <si>
    <t>1345</t>
  </si>
  <si>
    <t>14121</t>
  </si>
  <si>
    <t>4016</t>
  </si>
  <si>
    <t>4330</t>
  </si>
  <si>
    <t>7055</t>
  </si>
  <si>
    <t>7855</t>
  </si>
  <si>
    <t>27071</t>
  </si>
  <si>
    <t>2347</t>
  </si>
  <si>
    <t>1270</t>
  </si>
  <si>
    <t>30720</t>
  </si>
  <si>
    <t>4856</t>
  </si>
  <si>
    <t>5156</t>
  </si>
  <si>
    <t>16280</t>
  </si>
  <si>
    <t>1073</t>
  </si>
  <si>
    <t>17531</t>
  </si>
  <si>
    <t>5950</t>
  </si>
  <si>
    <t>10353</t>
  </si>
  <si>
    <t>10830</t>
  </si>
  <si>
    <t>37439</t>
  </si>
  <si>
    <t>39700</t>
  </si>
  <si>
    <t>20c</t>
  </si>
  <si>
    <t>20.3</t>
  </si>
  <si>
    <t xml:space="preserve"> East of Gateway Motorway</t>
  </si>
  <si>
    <t>Miles Platting Road</t>
  </si>
  <si>
    <t>West of School Road</t>
  </si>
  <si>
    <t>-27.57809</t>
  </si>
  <si>
    <t>153.10794</t>
  </si>
  <si>
    <t>2466</t>
  </si>
  <si>
    <t>859</t>
  </si>
  <si>
    <t>1726</t>
  </si>
  <si>
    <t>6462</t>
  </si>
  <si>
    <t>6962</t>
  </si>
  <si>
    <t>20.32</t>
  </si>
  <si>
    <t>Redland Sub-Arterial</t>
  </si>
  <si>
    <t>East of Gardner Rd</t>
  </si>
  <si>
    <t>-27.54532</t>
  </si>
  <si>
    <t>153.11926</t>
  </si>
  <si>
    <t>4056</t>
  </si>
  <si>
    <t>4310</t>
  </si>
  <si>
    <t>5546</t>
  </si>
  <si>
    <t>6460</t>
  </si>
  <si>
    <t>1861</t>
  </si>
  <si>
    <t>5511</t>
  </si>
  <si>
    <t>16441</t>
  </si>
  <si>
    <t>1299</t>
  </si>
  <si>
    <t>18142</t>
  </si>
  <si>
    <t>20.34</t>
  </si>
  <si>
    <t>Cleveland Sub-Arterial</t>
  </si>
  <si>
    <t>West of Stanbrough</t>
  </si>
  <si>
    <t>-27.50537</t>
  </si>
  <si>
    <t>153.13484</t>
  </si>
  <si>
    <t>6187</t>
  </si>
  <si>
    <t>6464</t>
  </si>
  <si>
    <t>9953</t>
  </si>
  <si>
    <t>10903</t>
  </si>
  <si>
    <t>3058</t>
  </si>
  <si>
    <t>27652</t>
  </si>
  <si>
    <t>1548</t>
  </si>
  <si>
    <t>29484</t>
  </si>
  <si>
    <t>20.35</t>
  </si>
  <si>
    <t>London Road</t>
  </si>
  <si>
    <t>-27.49997</t>
  </si>
  <si>
    <t>153.13766</t>
  </si>
  <si>
    <t>1015</t>
  </si>
  <si>
    <t>1049</t>
  </si>
  <si>
    <t>20.36</t>
  </si>
  <si>
    <t>Belmont Road</t>
  </si>
  <si>
    <t>South of Grassdale Road</t>
  </si>
  <si>
    <t>-27.49608</t>
  </si>
  <si>
    <t>153.12706</t>
  </si>
  <si>
    <t>957</t>
  </si>
  <si>
    <t>1008</t>
  </si>
  <si>
    <t>1833</t>
  </si>
  <si>
    <t>707</t>
  </si>
  <si>
    <t>1285</t>
  </si>
  <si>
    <t>1334</t>
  </si>
  <si>
    <t>4654</t>
  </si>
  <si>
    <t>4911</t>
  </si>
  <si>
    <t>20.37</t>
  </si>
  <si>
    <t>Meadowlands Road</t>
  </si>
  <si>
    <t>Gateway overbridge</t>
  </si>
  <si>
    <t>-27.49308</t>
  </si>
  <si>
    <t>153.12629</t>
  </si>
  <si>
    <t>2152</t>
  </si>
  <si>
    <t>2194</t>
  </si>
  <si>
    <t>2613</t>
  </si>
  <si>
    <t>2698</t>
  </si>
  <si>
    <t>1949</t>
  </si>
  <si>
    <t>7696</t>
  </si>
  <si>
    <t>7914</t>
  </si>
  <si>
    <t>20.38</t>
  </si>
  <si>
    <t>West of Stanton Road</t>
  </si>
  <si>
    <t>-27.47413</t>
  </si>
  <si>
    <t>153.11834</t>
  </si>
  <si>
    <t>5602</t>
  </si>
  <si>
    <t>5796</t>
  </si>
  <si>
    <t>8880</t>
  </si>
  <si>
    <t>9590</t>
  </si>
  <si>
    <t>2622</t>
  </si>
  <si>
    <t>2736</t>
  </si>
  <si>
    <t>7337</t>
  </si>
  <si>
    <t>7681</t>
  </si>
  <si>
    <t>24441</t>
  </si>
  <si>
    <t>25803</t>
  </si>
  <si>
    <t>20.39</t>
  </si>
  <si>
    <t>Port of Brisbane Motorway</t>
  </si>
  <si>
    <t>At Bulimba Creek</t>
  </si>
  <si>
    <t>-27.4485</t>
  </si>
  <si>
    <t>153.12278</t>
  </si>
  <si>
    <t>1375</t>
  </si>
  <si>
    <t>2073</t>
  </si>
  <si>
    <t>5120</t>
  </si>
  <si>
    <t>1553</t>
  </si>
  <si>
    <t>3243</t>
  </si>
  <si>
    <t>4368</t>
  </si>
  <si>
    <t>8384</t>
  </si>
  <si>
    <t>1649</t>
  </si>
  <si>
    <t>3081</t>
  </si>
  <si>
    <t>13114</t>
  </si>
  <si>
    <t>20.4</t>
  </si>
  <si>
    <t>Port of Brisbane Road / Lytton Rd</t>
  </si>
  <si>
    <t>-27.44625</t>
  </si>
  <si>
    <t>153.11218</t>
  </si>
  <si>
    <t>3341</t>
  </si>
  <si>
    <t>818</t>
  </si>
  <si>
    <t>727</t>
  </si>
  <si>
    <t>4887</t>
  </si>
  <si>
    <t>1573</t>
  </si>
  <si>
    <t>1788</t>
  </si>
  <si>
    <t>7901</t>
  </si>
  <si>
    <t>10702</t>
  </si>
  <si>
    <t>819</t>
  </si>
  <si>
    <t>2441</t>
  </si>
  <si>
    <t>1907</t>
  </si>
  <si>
    <t>1984</t>
  </si>
  <si>
    <t>1337</t>
  </si>
  <si>
    <t>6668</t>
  </si>
  <si>
    <t>1625</t>
  </si>
  <si>
    <t>7394</t>
  </si>
  <si>
    <t>3836</t>
  </si>
  <si>
    <t>4073</t>
  </si>
  <si>
    <t>3979</t>
  </si>
  <si>
    <t>4209</t>
  </si>
  <si>
    <t>15835</t>
  </si>
  <si>
    <t>1342</t>
  </si>
  <si>
    <t>17528</t>
  </si>
  <si>
    <t>2749</t>
  </si>
  <si>
    <t>3014</t>
  </si>
  <si>
    <t>6340</t>
  </si>
  <si>
    <t>7603</t>
  </si>
  <si>
    <t>7956</t>
  </si>
  <si>
    <t>28421</t>
  </si>
  <si>
    <t>30471</t>
  </si>
  <si>
    <t>356</t>
  </si>
  <si>
    <t>510</t>
  </si>
  <si>
    <t>518</t>
  </si>
  <si>
    <t>1149</t>
  </si>
  <si>
    <t>959</t>
  </si>
  <si>
    <t>4067</t>
  </si>
  <si>
    <t>4280</t>
  </si>
  <si>
    <t>2489</t>
  </si>
  <si>
    <t>2570</t>
  </si>
  <si>
    <t>3264</t>
  </si>
  <si>
    <t>10677</t>
  </si>
  <si>
    <t>11122</t>
  </si>
  <si>
    <t>2131</t>
  </si>
  <si>
    <t>2324</t>
  </si>
  <si>
    <t>9835</t>
  </si>
  <si>
    <t>10628</t>
  </si>
  <si>
    <t>5174</t>
  </si>
  <si>
    <t>5317</t>
  </si>
  <si>
    <t>6509</t>
  </si>
  <si>
    <t>23369</t>
  </si>
  <si>
    <t>24778</t>
  </si>
  <si>
    <t>1229</t>
  </si>
  <si>
    <t>1822</t>
  </si>
  <si>
    <t>3165</t>
  </si>
  <si>
    <t>833</t>
  </si>
  <si>
    <t>1372</t>
  </si>
  <si>
    <t>5370</t>
  </si>
  <si>
    <t>1645</t>
  </si>
  <si>
    <t>234</t>
  </si>
  <si>
    <t>1994</t>
  </si>
  <si>
    <t>1853</t>
  </si>
  <si>
    <t>2786</t>
  </si>
  <si>
    <t>7892</t>
  </si>
  <si>
    <t>2671</t>
  </si>
  <si>
    <t>11972</t>
  </si>
  <si>
    <t>1023</t>
  </si>
  <si>
    <t>1343</t>
  </si>
  <si>
    <t>2808</t>
  </si>
  <si>
    <t>647</t>
  </si>
  <si>
    <t>461</t>
  </si>
  <si>
    <t>3916</t>
  </si>
  <si>
    <t>1351</t>
  </si>
  <si>
    <t>2296</t>
  </si>
  <si>
    <t>2745</t>
  </si>
  <si>
    <t>7344</t>
  </si>
  <si>
    <t>9355</t>
  </si>
  <si>
    <t>21.01</t>
  </si>
  <si>
    <t xml:space="preserve"> Western</t>
  </si>
  <si>
    <t>Gailey Road</t>
  </si>
  <si>
    <t>North of Sandford Str</t>
  </si>
  <si>
    <t>-27.49029</t>
  </si>
  <si>
    <t>152.99412</t>
  </si>
  <si>
    <t>1894</t>
  </si>
  <si>
    <t>1965</t>
  </si>
  <si>
    <t>6298</t>
  </si>
  <si>
    <t>6646</t>
  </si>
  <si>
    <t>2100</t>
  </si>
  <si>
    <t>2169</t>
  </si>
  <si>
    <t>4959</t>
  </si>
  <si>
    <t>5089</t>
  </si>
  <si>
    <t>15251</t>
  </si>
  <si>
    <t>597</t>
  </si>
  <si>
    <t>15869</t>
  </si>
  <si>
    <t>21.02</t>
  </si>
  <si>
    <t>Burns Road</t>
  </si>
  <si>
    <t>North of Alpha Street</t>
  </si>
  <si>
    <t>-27.49155</t>
  </si>
  <si>
    <t>152.98928</t>
  </si>
  <si>
    <t>615</t>
  </si>
  <si>
    <t>1096</t>
  </si>
  <si>
    <t>551</t>
  </si>
  <si>
    <t>2846</t>
  </si>
  <si>
    <t>2924</t>
  </si>
  <si>
    <t>21.03</t>
  </si>
  <si>
    <t>Moggill Road</t>
  </si>
  <si>
    <t>south of Union St</t>
  </si>
  <si>
    <t>-27.49041</t>
  </si>
  <si>
    <t>152.98622</t>
  </si>
  <si>
    <t>3395</t>
  </si>
  <si>
    <t>3538</t>
  </si>
  <si>
    <t>7707</t>
  </si>
  <si>
    <t>8296</t>
  </si>
  <si>
    <t>2061</t>
  </si>
  <si>
    <t>5845</t>
  </si>
  <si>
    <t>238</t>
  </si>
  <si>
    <t>6091</t>
  </si>
  <si>
    <t>18916</t>
  </si>
  <si>
    <t>1002</t>
  </si>
  <si>
    <t>19986</t>
  </si>
  <si>
    <t>21.06</t>
  </si>
  <si>
    <t>Western Arterial Rd /Mway</t>
  </si>
  <si>
    <t>North of Moggill Road</t>
  </si>
  <si>
    <t>-27.49726</t>
  </si>
  <si>
    <t>152.96396</t>
  </si>
  <si>
    <t>4139</t>
  </si>
  <si>
    <t>4474</t>
  </si>
  <si>
    <t>12785</t>
  </si>
  <si>
    <t>1325</t>
  </si>
  <si>
    <t>14345</t>
  </si>
  <si>
    <t>4701</t>
  </si>
  <si>
    <t>4975</t>
  </si>
  <si>
    <t>9682</t>
  </si>
  <si>
    <t>635</t>
  </si>
  <si>
    <t>10459</t>
  </si>
  <si>
    <t>31307</t>
  </si>
  <si>
    <t>2491</t>
  </si>
  <si>
    <t>34253</t>
  </si>
  <si>
    <t>21.07</t>
  </si>
  <si>
    <t>Gap Creek Road</t>
  </si>
  <si>
    <t>South of Highwood</t>
  </si>
  <si>
    <t>-27.4771</t>
  </si>
  <si>
    <t>152.9263</t>
  </si>
  <si>
    <t>559</t>
  </si>
  <si>
    <t>348</t>
  </si>
  <si>
    <t>1622</t>
  </si>
  <si>
    <t>1681</t>
  </si>
  <si>
    <t>2553</t>
  </si>
  <si>
    <t>5607</t>
  </si>
  <si>
    <t>301</t>
  </si>
  <si>
    <t>5919</t>
  </si>
  <si>
    <t>2274</t>
  </si>
  <si>
    <t>4770</t>
  </si>
  <si>
    <t>4977</t>
  </si>
  <si>
    <t>15204</t>
  </si>
  <si>
    <t>614</t>
  </si>
  <si>
    <t>15875</t>
  </si>
  <si>
    <t>543</t>
  </si>
  <si>
    <t>1507</t>
  </si>
  <si>
    <t>1565</t>
  </si>
  <si>
    <t>3719</t>
  </si>
  <si>
    <t>3818</t>
  </si>
  <si>
    <t>1519</t>
  </si>
  <si>
    <t>7668</t>
  </si>
  <si>
    <t>8200</t>
  </si>
  <si>
    <t>2941</t>
  </si>
  <si>
    <t>5612</t>
  </si>
  <si>
    <t>5837</t>
  </si>
  <si>
    <t>17740</t>
  </si>
  <si>
    <t>938</t>
  </si>
  <si>
    <t>18731</t>
  </si>
  <si>
    <t>4004</t>
  </si>
  <si>
    <t>4371</t>
  </si>
  <si>
    <t>13467</t>
  </si>
  <si>
    <t>14915</t>
  </si>
  <si>
    <t>6684</t>
  </si>
  <si>
    <t>7062</t>
  </si>
  <si>
    <t>10861</t>
  </si>
  <si>
    <t>11632</t>
  </si>
  <si>
    <t>35016</t>
  </si>
  <si>
    <t>2524</t>
  </si>
  <si>
    <t>37980</t>
  </si>
  <si>
    <t>1530</t>
  </si>
  <si>
    <t xml:space="preserve"> Granard Road - Kessels Road</t>
  </si>
  <si>
    <t>Ipswich Rd (Local)</t>
  </si>
  <si>
    <t>North of Granard Rd</t>
  </si>
  <si>
    <t>-27.55424</t>
  </si>
  <si>
    <t>153.00854</t>
  </si>
  <si>
    <t>334</t>
  </si>
  <si>
    <t>2286</t>
  </si>
  <si>
    <t>22.01</t>
  </si>
  <si>
    <t>Ipswich Rd (to Motorway)</t>
  </si>
  <si>
    <t>North of Granard Rd Interchange</t>
  </si>
  <si>
    <t>-27.54827</t>
  </si>
  <si>
    <t>153.00989</t>
  </si>
  <si>
    <t>5037</t>
  </si>
  <si>
    <t>5700</t>
  </si>
  <si>
    <t>12730</t>
  </si>
  <si>
    <t>4167</t>
  </si>
  <si>
    <t>4453</t>
  </si>
  <si>
    <t>7873</t>
  </si>
  <si>
    <t>805</t>
  </si>
  <si>
    <t>453</t>
  </si>
  <si>
    <t>9132</t>
  </si>
  <si>
    <t>27650</t>
  </si>
  <si>
    <t>3129</t>
  </si>
  <si>
    <t>1235</t>
  </si>
  <si>
    <t>32015</t>
  </si>
  <si>
    <t>22.02</t>
  </si>
  <si>
    <t>Marshall Rd</t>
  </si>
  <si>
    <t>At Stable Swamp</t>
  </si>
  <si>
    <t>-27.55373</t>
  </si>
  <si>
    <t>153.01052</t>
  </si>
  <si>
    <t>441</t>
  </si>
  <si>
    <t>245</t>
  </si>
  <si>
    <t>1286</t>
  </si>
  <si>
    <t>2018</t>
  </si>
  <si>
    <t>2490</t>
  </si>
  <si>
    <t>22.03</t>
  </si>
  <si>
    <t>North of Marshall Rd (near Creek)</t>
  </si>
  <si>
    <t>-27.55414</t>
  </si>
  <si>
    <t>153.02049</t>
  </si>
  <si>
    <t>2828</t>
  </si>
  <si>
    <t>6285</t>
  </si>
  <si>
    <t>744</t>
  </si>
  <si>
    <t>2231</t>
  </si>
  <si>
    <t>3884</t>
  </si>
  <si>
    <t>4136</t>
  </si>
  <si>
    <t>15228</t>
  </si>
  <si>
    <t>16662</t>
  </si>
  <si>
    <t>22.04</t>
  </si>
  <si>
    <t>Dollis St</t>
  </si>
  <si>
    <t>North of Riawena Road</t>
  </si>
  <si>
    <t>-27.55757</t>
  </si>
  <si>
    <t>153.02488</t>
  </si>
  <si>
    <t>22.05</t>
  </si>
  <si>
    <t>Orange Grove Rd</t>
  </si>
  <si>
    <t>North of Kessels Road</t>
  </si>
  <si>
    <t>-27.55672</t>
  </si>
  <si>
    <t>153.0407</t>
  </si>
  <si>
    <t>1979</t>
  </si>
  <si>
    <t>4070</t>
  </si>
  <si>
    <t>4433</t>
  </si>
  <si>
    <t>1610</t>
  </si>
  <si>
    <t>2440</t>
  </si>
  <si>
    <t>9944</t>
  </si>
  <si>
    <t>586</t>
  </si>
  <si>
    <t>10577</t>
  </si>
  <si>
    <t>22.06</t>
  </si>
  <si>
    <t>North of Klumpp Road Interchange</t>
  </si>
  <si>
    <t>-27.54395</t>
  </si>
  <si>
    <t>153.06137</t>
  </si>
  <si>
    <t>11204</t>
  </si>
  <si>
    <t>11511</t>
  </si>
  <si>
    <t>25321</t>
  </si>
  <si>
    <t>950</t>
  </si>
  <si>
    <t>26435</t>
  </si>
  <si>
    <t>9280</t>
  </si>
  <si>
    <t>9442</t>
  </si>
  <si>
    <t>21356</t>
  </si>
  <si>
    <t>605</t>
  </si>
  <si>
    <t>22074</t>
  </si>
  <si>
    <t>67161</t>
  </si>
  <si>
    <t>69462</t>
  </si>
  <si>
    <t>22.07</t>
  </si>
  <si>
    <t>North of Broadwater Rd</t>
  </si>
  <si>
    <t>-27.54092</t>
  </si>
  <si>
    <t>153.0815</t>
  </si>
  <si>
    <t>2936</t>
  </si>
  <si>
    <t>7422</t>
  </si>
  <si>
    <t>2333</t>
  </si>
  <si>
    <t>2386</t>
  </si>
  <si>
    <t>3589</t>
  </si>
  <si>
    <t>3724</t>
  </si>
  <si>
    <t>15838</t>
  </si>
  <si>
    <t>16613</t>
  </si>
  <si>
    <t>22.08</t>
  </si>
  <si>
    <t>Chrysler St</t>
  </si>
  <si>
    <t>South of Creek Road</t>
  </si>
  <si>
    <t>-27.53734</t>
  </si>
  <si>
    <t>153.08764</t>
  </si>
  <si>
    <t>629</t>
  </si>
  <si>
    <t>22.09</t>
  </si>
  <si>
    <t>Fairland St</t>
  </si>
  <si>
    <t>-27.5357</t>
  </si>
  <si>
    <t>153.08948</t>
  </si>
  <si>
    <t>920</t>
  </si>
  <si>
    <t>22.1</t>
  </si>
  <si>
    <t>Newnham Rd</t>
  </si>
  <si>
    <t>-27.53231</t>
  </si>
  <si>
    <t>153.09419</t>
  </si>
  <si>
    <t>6070</t>
  </si>
  <si>
    <t>2230</t>
  </si>
  <si>
    <t>2926</t>
  </si>
  <si>
    <t>3062</t>
  </si>
  <si>
    <t>13546</t>
  </si>
  <si>
    <t>14211</t>
  </si>
  <si>
    <t>22.11</t>
  </si>
  <si>
    <t>Wecker Rd</t>
  </si>
  <si>
    <t>East of Tones Rd</t>
  </si>
  <si>
    <t>-27.53499</t>
  </si>
  <si>
    <t>153.10974</t>
  </si>
  <si>
    <t>694</t>
  </si>
  <si>
    <t>1278</t>
  </si>
  <si>
    <t>1339</t>
  </si>
  <si>
    <t>679</t>
  </si>
  <si>
    <t>573</t>
  </si>
  <si>
    <t>3224</t>
  </si>
  <si>
    <t>3331</t>
  </si>
  <si>
    <t>22.12</t>
  </si>
  <si>
    <t>Gateway Mwy South</t>
  </si>
  <si>
    <t>North of Mt Gravatt - Capalaba Rd Interchange</t>
  </si>
  <si>
    <t>-27.51369</t>
  </si>
  <si>
    <t>153.12585</t>
  </si>
  <si>
    <t>7829</t>
  </si>
  <si>
    <t>9282</t>
  </si>
  <si>
    <t>16823</t>
  </si>
  <si>
    <t>2574</t>
  </si>
  <si>
    <t>2586</t>
  </si>
  <si>
    <t>21983</t>
  </si>
  <si>
    <t>6937</t>
  </si>
  <si>
    <t>14461</t>
  </si>
  <si>
    <t>1171</t>
  </si>
  <si>
    <t>1673</t>
  </si>
  <si>
    <t>17305</t>
  </si>
  <si>
    <t>45350</t>
  </si>
  <si>
    <t>4755</t>
  </si>
  <si>
    <t>5402</t>
  </si>
  <si>
    <t>55507</t>
  </si>
  <si>
    <t>22.13</t>
  </si>
  <si>
    <t>Mt Petrie Rd</t>
  </si>
  <si>
    <t>North of MacKenzie</t>
  </si>
  <si>
    <t>-27.52789</t>
  </si>
  <si>
    <t>153.12425</t>
  </si>
  <si>
    <t>369</t>
  </si>
  <si>
    <t>400</t>
  </si>
  <si>
    <t>2596</t>
  </si>
  <si>
    <t>3670</t>
  </si>
  <si>
    <t>11403</t>
  </si>
  <si>
    <t>13533</t>
  </si>
  <si>
    <t>5107</t>
  </si>
  <si>
    <t>378</t>
  </si>
  <si>
    <t>8181</t>
  </si>
  <si>
    <t>27218</t>
  </si>
  <si>
    <t>2561</t>
  </si>
  <si>
    <t>30989</t>
  </si>
  <si>
    <t>2425</t>
  </si>
  <si>
    <t>398</t>
  </si>
  <si>
    <t>2895</t>
  </si>
  <si>
    <t>2305</t>
  </si>
  <si>
    <t>6768</t>
  </si>
  <si>
    <t>7687</t>
  </si>
  <si>
    <t>2707</t>
  </si>
  <si>
    <t>2841</t>
  </si>
  <si>
    <t>3333</t>
  </si>
  <si>
    <t>3547</t>
  </si>
  <si>
    <t>14876</t>
  </si>
  <si>
    <t>16380</t>
  </si>
  <si>
    <t>393</t>
  </si>
  <si>
    <t>1492</t>
  </si>
  <si>
    <t>1594</t>
  </si>
  <si>
    <t>4802</t>
  </si>
  <si>
    <t>5188</t>
  </si>
  <si>
    <t>2222</t>
  </si>
  <si>
    <t>2467</t>
  </si>
  <si>
    <t>10788</t>
  </si>
  <si>
    <t>8244</t>
  </si>
  <si>
    <t>8614</t>
  </si>
  <si>
    <t>27613</t>
  </si>
  <si>
    <t>28903</t>
  </si>
  <si>
    <t>10998</t>
  </si>
  <si>
    <t>11151</t>
  </si>
  <si>
    <t>18496</t>
  </si>
  <si>
    <t>18896</t>
  </si>
  <si>
    <t>65351</t>
  </si>
  <si>
    <t>1953</t>
  </si>
  <si>
    <t>67564</t>
  </si>
  <si>
    <t>1926</t>
  </si>
  <si>
    <t>7320</t>
  </si>
  <si>
    <t>7816</t>
  </si>
  <si>
    <t>2880</t>
  </si>
  <si>
    <t>3417</t>
  </si>
  <si>
    <t>15292</t>
  </si>
  <si>
    <t>16134</t>
  </si>
  <si>
    <t>452</t>
  </si>
  <si>
    <t>980</t>
  </si>
  <si>
    <t>993</t>
  </si>
  <si>
    <t>2221</t>
  </si>
  <si>
    <t>6589</t>
  </si>
  <si>
    <t>7002</t>
  </si>
  <si>
    <t>2714</t>
  </si>
  <si>
    <t>3291</t>
  </si>
  <si>
    <t>14493</t>
  </si>
  <si>
    <t>802</t>
  </si>
  <si>
    <t>3090</t>
  </si>
  <si>
    <t>3192</t>
  </si>
  <si>
    <t>6096</t>
  </si>
  <si>
    <t>713</t>
  </si>
  <si>
    <t>742</t>
  </si>
  <si>
    <t>7551</t>
  </si>
  <si>
    <t>19220</t>
  </si>
  <si>
    <t>2655</t>
  </si>
  <si>
    <t>2697</t>
  </si>
  <si>
    <t>24572</t>
  </si>
  <si>
    <t>9527</t>
  </si>
  <si>
    <t>11711</t>
  </si>
  <si>
    <t>926</t>
  </si>
  <si>
    <t>14144</t>
  </si>
  <si>
    <t>45696</t>
  </si>
  <si>
    <t>4735</t>
  </si>
  <si>
    <t>55794</t>
  </si>
  <si>
    <t>525</t>
  </si>
  <si>
    <t>556</t>
  </si>
  <si>
    <t>316</t>
  </si>
  <si>
    <t>1444</t>
  </si>
  <si>
    <t>1503</t>
  </si>
  <si>
    <t>23.01</t>
  </si>
  <si>
    <t xml:space="preserve"> Oxley Creek</t>
  </si>
  <si>
    <t>Graceville Avenue</t>
  </si>
  <si>
    <t>Pamphlett Bridge</t>
  </si>
  <si>
    <t>-27.5248</t>
  </si>
  <si>
    <t>152.99512</t>
  </si>
  <si>
    <t>1933</t>
  </si>
  <si>
    <t>1583</t>
  </si>
  <si>
    <t>6505</t>
  </si>
  <si>
    <t>6848</t>
  </si>
  <si>
    <t>23.02</t>
  </si>
  <si>
    <t>Sherwood Road</t>
  </si>
  <si>
    <t>At Oxley Creek</t>
  </si>
  <si>
    <t>-27.53394</t>
  </si>
  <si>
    <t>152.99281</t>
  </si>
  <si>
    <t>3130</t>
  </si>
  <si>
    <t>3699</t>
  </si>
  <si>
    <t>7497</t>
  </si>
  <si>
    <t>900</t>
  </si>
  <si>
    <t>8519</t>
  </si>
  <si>
    <t>23.03</t>
  </si>
  <si>
    <t>Oxley Creek</t>
  </si>
  <si>
    <t>-27.564784</t>
  </si>
  <si>
    <t>152.98707</t>
  </si>
  <si>
    <t>7012</t>
  </si>
  <si>
    <t>7786</t>
  </si>
  <si>
    <t>15920</t>
  </si>
  <si>
    <t>914</t>
  </si>
  <si>
    <t>18959</t>
  </si>
  <si>
    <t>5339</t>
  </si>
  <si>
    <t>5714</t>
  </si>
  <si>
    <t>11978</t>
  </si>
  <si>
    <t>534</t>
  </si>
  <si>
    <t>13237</t>
  </si>
  <si>
    <t>40249</t>
  </si>
  <si>
    <t>3643</t>
  </si>
  <si>
    <t>1797</t>
  </si>
  <si>
    <t>23.04</t>
  </si>
  <si>
    <t>Bowhill Rd / Beatty Rd</t>
  </si>
  <si>
    <t>-27.58559</t>
  </si>
  <si>
    <t>153.0112</t>
  </si>
  <si>
    <t>1590</t>
  </si>
  <si>
    <t>1717</t>
  </si>
  <si>
    <t>1934</t>
  </si>
  <si>
    <t>2342</t>
  </si>
  <si>
    <t>5197</t>
  </si>
  <si>
    <t>607</t>
  </si>
  <si>
    <t>5900</t>
  </si>
  <si>
    <t>23.05</t>
  </si>
  <si>
    <t>King Avenue / Learoyd Rd</t>
  </si>
  <si>
    <t>-27.5962</t>
  </si>
  <si>
    <t>153.01668</t>
  </si>
  <si>
    <t>5029</t>
  </si>
  <si>
    <t>1990</t>
  </si>
  <si>
    <t>2665</t>
  </si>
  <si>
    <t>10570</t>
  </si>
  <si>
    <t>1011</t>
  </si>
  <si>
    <t>11780</t>
  </si>
  <si>
    <t>23.07</t>
  </si>
  <si>
    <t>-27.64004</t>
  </si>
  <si>
    <t>152.99913</t>
  </si>
  <si>
    <t>3800</t>
  </si>
  <si>
    <t>4650</t>
  </si>
  <si>
    <t>1545</t>
  </si>
  <si>
    <t>13459</t>
  </si>
  <si>
    <t>5177</t>
  </si>
  <si>
    <t>5794</t>
  </si>
  <si>
    <t>5394</t>
  </si>
  <si>
    <t>7190</t>
  </si>
  <si>
    <t>24660</t>
  </si>
  <si>
    <t>3546</t>
  </si>
  <si>
    <t>31093</t>
  </si>
  <si>
    <t>23.08</t>
  </si>
  <si>
    <t>Johnson Road</t>
  </si>
  <si>
    <t>-27.65484</t>
  </si>
  <si>
    <t>152.99934</t>
  </si>
  <si>
    <t>1327</t>
  </si>
  <si>
    <t>3870</t>
  </si>
  <si>
    <t>4257</t>
  </si>
  <si>
    <t>1972</t>
  </si>
  <si>
    <t>2764</t>
  </si>
  <si>
    <t>2905</t>
  </si>
  <si>
    <t>9738</t>
  </si>
  <si>
    <t>10461</t>
  </si>
  <si>
    <t>1432</t>
  </si>
  <si>
    <t>1488</t>
  </si>
  <si>
    <t>1540</t>
  </si>
  <si>
    <t>5614</t>
  </si>
  <si>
    <t>5858</t>
  </si>
  <si>
    <t>3672</t>
  </si>
  <si>
    <t>1685</t>
  </si>
  <si>
    <t>1897</t>
  </si>
  <si>
    <t>2111</t>
  </si>
  <si>
    <t>7830</t>
  </si>
  <si>
    <t>659</t>
  </si>
  <si>
    <t>8544</t>
  </si>
  <si>
    <t>4773</t>
  </si>
  <si>
    <t>5564</t>
  </si>
  <si>
    <t>17012</t>
  </si>
  <si>
    <t>20413</t>
  </si>
  <si>
    <t>7674</t>
  </si>
  <si>
    <t>8172</t>
  </si>
  <si>
    <t>11350</t>
  </si>
  <si>
    <t>12541</t>
  </si>
  <si>
    <t>40809</t>
  </si>
  <si>
    <t>3914</t>
  </si>
  <si>
    <t>1939</t>
  </si>
  <si>
    <t>46690</t>
  </si>
  <si>
    <t>2651</t>
  </si>
  <si>
    <t>1477</t>
  </si>
  <si>
    <t>5553</t>
  </si>
  <si>
    <t>3945</t>
  </si>
  <si>
    <t>4602</t>
  </si>
  <si>
    <t>1657</t>
  </si>
  <si>
    <t>3188</t>
  </si>
  <si>
    <t>10122</t>
  </si>
  <si>
    <t>11360</t>
  </si>
  <si>
    <t>4244</t>
  </si>
  <si>
    <t>5302</t>
  </si>
  <si>
    <t>7701</t>
  </si>
  <si>
    <t>1792</t>
  </si>
  <si>
    <t>11200</t>
  </si>
  <si>
    <t>3491</t>
  </si>
  <si>
    <t>4166</t>
  </si>
  <si>
    <t>6789</t>
  </si>
  <si>
    <t>9042</t>
  </si>
  <si>
    <t>22225</t>
  </si>
  <si>
    <t>3890</t>
  </si>
  <si>
    <t>3587</t>
  </si>
  <si>
    <t>29710</t>
  </si>
  <si>
    <t>1805</t>
  </si>
  <si>
    <t>1956</t>
  </si>
  <si>
    <t>3642</t>
  </si>
  <si>
    <t>1383</t>
  </si>
  <si>
    <t>3663</t>
  </si>
  <si>
    <t>3839</t>
  </si>
  <si>
    <t>10091</t>
  </si>
  <si>
    <t>10894</t>
  </si>
  <si>
    <t>25.01</t>
  </si>
  <si>
    <t xml:space="preserve"> Brisbane - Logan Border</t>
  </si>
  <si>
    <t>Gateway Extension</t>
  </si>
  <si>
    <t>South of Logan Rd</t>
  </si>
  <si>
    <t>-27.5864</t>
  </si>
  <si>
    <t>153.0986667</t>
  </si>
  <si>
    <t>5508</t>
  </si>
  <si>
    <t>5872</t>
  </si>
  <si>
    <t>923</t>
  </si>
  <si>
    <t>8063</t>
  </si>
  <si>
    <t>2534</t>
  </si>
  <si>
    <t>5390</t>
  </si>
  <si>
    <t>878</t>
  </si>
  <si>
    <t>6735</t>
  </si>
  <si>
    <t>18524</t>
  </si>
  <si>
    <t>1827</t>
  </si>
  <si>
    <t>2840</t>
  </si>
  <si>
    <t>23191</t>
  </si>
  <si>
    <t>25.05</t>
  </si>
  <si>
    <t>School Road</t>
  </si>
  <si>
    <t>South of Miles Plating Rd</t>
  </si>
  <si>
    <t>-27.57856667</t>
  </si>
  <si>
    <t>153.1085167</t>
  </si>
  <si>
    <t>519</t>
  </si>
  <si>
    <t>654</t>
  </si>
  <si>
    <t>709</t>
  </si>
  <si>
    <t>25.06</t>
  </si>
  <si>
    <t>Rochedale Road</t>
  </si>
  <si>
    <t>South of Miles Platting Road</t>
  </si>
  <si>
    <t>-27.579541</t>
  </si>
  <si>
    <t>153.125296</t>
  </si>
  <si>
    <t>1301</t>
  </si>
  <si>
    <t>743</t>
  </si>
  <si>
    <t>3396</t>
  </si>
  <si>
    <t>25.07</t>
  </si>
  <si>
    <t>Ford Road</t>
  </si>
  <si>
    <t>North of Priestdale</t>
  </si>
  <si>
    <t>-27.589963</t>
  </si>
  <si>
    <t>153.154778</t>
  </si>
  <si>
    <t>450</t>
  </si>
  <si>
    <t>25.08</t>
  </si>
  <si>
    <t>Kloske Rd / Alperton Road</t>
  </si>
  <si>
    <t>North East of Priestdale Rd</t>
  </si>
  <si>
    <t>-27.59105</t>
  </si>
  <si>
    <t>153.15685</t>
  </si>
  <si>
    <t>941</t>
  </si>
  <si>
    <t>26.07</t>
  </si>
  <si>
    <t>Avalon Road</t>
  </si>
  <si>
    <t>Tingalpa Creek</t>
  </si>
  <si>
    <t>-27.56908</t>
  </si>
  <si>
    <t>153.198252</t>
  </si>
  <si>
    <t>25.1</t>
  </si>
  <si>
    <t>West Mount Cotton Road</t>
  </si>
  <si>
    <t>South of Schoeck Road</t>
  </si>
  <si>
    <t>-27.59268333</t>
  </si>
  <si>
    <t>153.2183167</t>
  </si>
  <si>
    <t>970</t>
  </si>
  <si>
    <t>25.11</t>
  </si>
  <si>
    <t>Mount Cotton  Road</t>
  </si>
  <si>
    <t>Eprapah Creek / East of Taylors Rd</t>
  </si>
  <si>
    <t>-27.58976667</t>
  </si>
  <si>
    <t>153.22915</t>
  </si>
  <si>
    <t>1614</t>
  </si>
  <si>
    <t>310</t>
  </si>
  <si>
    <t>2591</t>
  </si>
  <si>
    <t>948</t>
  </si>
  <si>
    <t>1951</t>
  </si>
  <si>
    <t>6455</t>
  </si>
  <si>
    <t>7395</t>
  </si>
  <si>
    <t>25.13</t>
  </si>
  <si>
    <t>Cleveland Redland Bay Road</t>
  </si>
  <si>
    <t>Eprapah Creek</t>
  </si>
  <si>
    <t>-27.58161667</t>
  </si>
  <si>
    <t>153.2802333</t>
  </si>
  <si>
    <t>3644</t>
  </si>
  <si>
    <t>3828</t>
  </si>
  <si>
    <t>7749</t>
  </si>
  <si>
    <t>8293</t>
  </si>
  <si>
    <t>2476</t>
  </si>
  <si>
    <t>2601</t>
  </si>
  <si>
    <t>5268</t>
  </si>
  <si>
    <t>5574</t>
  </si>
  <si>
    <t>19137</t>
  </si>
  <si>
    <t>1069</t>
  </si>
  <si>
    <t>20296</t>
  </si>
  <si>
    <t>6779</t>
  </si>
  <si>
    <t>9183</t>
  </si>
  <si>
    <t>4344</t>
  </si>
  <si>
    <t>758</t>
  </si>
  <si>
    <t>5940</t>
  </si>
  <si>
    <t>18317</t>
  </si>
  <si>
    <t>23039</t>
  </si>
  <si>
    <t>810</t>
  </si>
  <si>
    <t>2321</t>
  </si>
  <si>
    <t>2379</t>
  </si>
  <si>
    <t>1223</t>
  </si>
  <si>
    <t>868</t>
  </si>
  <si>
    <t>904</t>
  </si>
  <si>
    <t>3794</t>
  </si>
  <si>
    <t>434</t>
  </si>
  <si>
    <t>414</t>
  </si>
  <si>
    <t>1055</t>
  </si>
  <si>
    <t>1236</t>
  </si>
  <si>
    <t>577</t>
  </si>
  <si>
    <t>426</t>
  </si>
  <si>
    <t>1394</t>
  </si>
  <si>
    <t>1521</t>
  </si>
  <si>
    <t>998</t>
  </si>
  <si>
    <t>2629</t>
  </si>
  <si>
    <t>1459</t>
  </si>
  <si>
    <t>1555</t>
  </si>
  <si>
    <t>1651</t>
  </si>
  <si>
    <t>7080</t>
  </si>
  <si>
    <t>2226</t>
  </si>
  <si>
    <t>2411</t>
  </si>
  <si>
    <t>8473</t>
  </si>
  <si>
    <t>9150</t>
  </si>
  <si>
    <t>4118</t>
  </si>
  <si>
    <t>4884</t>
  </si>
  <si>
    <t>19419</t>
  </si>
  <si>
    <t>20788</t>
  </si>
  <si>
    <t>BR</t>
  </si>
  <si>
    <t>BR.01</t>
  </si>
  <si>
    <t xml:space="preserve"> Cleveland</t>
  </si>
  <si>
    <t>Sturgeon Street</t>
  </si>
  <si>
    <t>Hilliards Creek</t>
  </si>
  <si>
    <t>-27.51124</t>
  </si>
  <si>
    <t>153.245909</t>
  </si>
  <si>
    <t>1656</t>
  </si>
  <si>
    <t>1742</t>
  </si>
  <si>
    <t>3629</t>
  </si>
  <si>
    <t>3900</t>
  </si>
  <si>
    <t>1695</t>
  </si>
  <si>
    <t>2039</t>
  </si>
  <si>
    <t>9502</t>
  </si>
  <si>
    <t>BR.02</t>
  </si>
  <si>
    <t>Finucane Road</t>
  </si>
  <si>
    <t>-27.52373333</t>
  </si>
  <si>
    <t>153.2451333</t>
  </si>
  <si>
    <t>2304</t>
  </si>
  <si>
    <t>7283</t>
  </si>
  <si>
    <t>7741</t>
  </si>
  <si>
    <t>3088</t>
  </si>
  <si>
    <t>3171</t>
  </si>
  <si>
    <t>3866</t>
  </si>
  <si>
    <t>4026</t>
  </si>
  <si>
    <t>16541</t>
  </si>
  <si>
    <t>714</t>
  </si>
  <si>
    <t>17342</t>
  </si>
  <si>
    <t>BR.04</t>
  </si>
  <si>
    <t>East of Taylors Rd</t>
  </si>
  <si>
    <t>-27.56565</t>
  </si>
  <si>
    <t>153.2367833</t>
  </si>
  <si>
    <t>1740</t>
  </si>
  <si>
    <t>1892</t>
  </si>
  <si>
    <t>6405</t>
  </si>
  <si>
    <t>7014</t>
  </si>
  <si>
    <t>4044</t>
  </si>
  <si>
    <t>4231</t>
  </si>
  <si>
    <t>4010</t>
  </si>
  <si>
    <t>4269</t>
  </si>
  <si>
    <t>16199</t>
  </si>
  <si>
    <t>1095</t>
  </si>
  <si>
    <t>17406</t>
  </si>
  <si>
    <t>BR.05</t>
  </si>
  <si>
    <t>Woodlands Dr</t>
  </si>
  <si>
    <t>-27.5793</t>
  </si>
  <si>
    <t>153.2338833</t>
  </si>
  <si>
    <t>624</t>
  </si>
  <si>
    <t>558</t>
  </si>
  <si>
    <t>2531</t>
  </si>
  <si>
    <t>2685</t>
  </si>
  <si>
    <t>25.12</t>
  </si>
  <si>
    <t>Kingfisher Road</t>
  </si>
  <si>
    <t>-27.586902</t>
  </si>
  <si>
    <t>153.255436</t>
  </si>
  <si>
    <t>2568</t>
  </si>
  <si>
    <t>2909</t>
  </si>
  <si>
    <t>1612</t>
  </si>
  <si>
    <t>1644</t>
  </si>
  <si>
    <t>2171</t>
  </si>
  <si>
    <t>2265</t>
  </si>
  <si>
    <t>8979</t>
  </si>
  <si>
    <t>9438</t>
  </si>
  <si>
    <t>2727</t>
  </si>
  <si>
    <t>7880</t>
  </si>
  <si>
    <t>2506</t>
  </si>
  <si>
    <t>4287</t>
  </si>
  <si>
    <t>16858</t>
  </si>
  <si>
    <t>17726</t>
  </si>
  <si>
    <t>3585</t>
  </si>
  <si>
    <t>3841</t>
  </si>
  <si>
    <t>5941</t>
  </si>
  <si>
    <t>1723</t>
  </si>
  <si>
    <t>1871</t>
  </si>
  <si>
    <t>4709</t>
  </si>
  <si>
    <t>15316</t>
  </si>
  <si>
    <t>1458</t>
  </si>
  <si>
    <t>16913</t>
  </si>
  <si>
    <t>1027</t>
  </si>
  <si>
    <t>457</t>
  </si>
  <si>
    <t>626</t>
  </si>
  <si>
    <t>2744</t>
  </si>
  <si>
    <t>2246</t>
  </si>
  <si>
    <t>26.01</t>
  </si>
  <si>
    <t xml:space="preserve"> Brisbane / Redland Border</t>
  </si>
  <si>
    <t>Rickertt Road</t>
  </si>
  <si>
    <t>-27.48738333</t>
  </si>
  <si>
    <t>153.18595</t>
  </si>
  <si>
    <t>2461</t>
  </si>
  <si>
    <t>3237</t>
  </si>
  <si>
    <t>3466</t>
  </si>
  <si>
    <t>3255</t>
  </si>
  <si>
    <t>3414</t>
  </si>
  <si>
    <t>9911</t>
  </si>
  <si>
    <t>10445</t>
  </si>
  <si>
    <t>26.02</t>
  </si>
  <si>
    <t>Cleveland Sub-Arterial Rd</t>
  </si>
  <si>
    <t>-27.51928333</t>
  </si>
  <si>
    <t>153.1865667</t>
  </si>
  <si>
    <t>4240</t>
  </si>
  <si>
    <t>4577</t>
  </si>
  <si>
    <t>7659</t>
  </si>
  <si>
    <t>8403</t>
  </si>
  <si>
    <t>2459</t>
  </si>
  <si>
    <t>2605</t>
  </si>
  <si>
    <t>5944</t>
  </si>
  <si>
    <t>425</t>
  </si>
  <si>
    <t>20302</t>
  </si>
  <si>
    <t>1433</t>
  </si>
  <si>
    <t>22047</t>
  </si>
  <si>
    <t>26.03</t>
  </si>
  <si>
    <t>Brisbane - Redland Rd</t>
  </si>
  <si>
    <t>-27.52483333</t>
  </si>
  <si>
    <t>153.1861667</t>
  </si>
  <si>
    <t>4221</t>
  </si>
  <si>
    <t>6207</t>
  </si>
  <si>
    <t>608</t>
  </si>
  <si>
    <t>6883</t>
  </si>
  <si>
    <t>1883</t>
  </si>
  <si>
    <t>1986</t>
  </si>
  <si>
    <t>5886</t>
  </si>
  <si>
    <t>18197</t>
  </si>
  <si>
    <t>19654</t>
  </si>
  <si>
    <t>26.04</t>
  </si>
  <si>
    <t>Mt Cotton Road</t>
  </si>
  <si>
    <t>-27.55971667</t>
  </si>
  <si>
    <t>153.1908833</t>
  </si>
  <si>
    <t>1908</t>
  </si>
  <si>
    <t>2431</t>
  </si>
  <si>
    <t>2834</t>
  </si>
  <si>
    <t>8661</t>
  </si>
  <si>
    <t>26.08</t>
  </si>
  <si>
    <t>California Creek Road</t>
  </si>
  <si>
    <t>West of Carbrook Road</t>
  </si>
  <si>
    <t>-27.6657</t>
  </si>
  <si>
    <t>153.2066</t>
  </si>
  <si>
    <t>1512</t>
  </si>
  <si>
    <t>1122</t>
  </si>
  <si>
    <t>4442</t>
  </si>
  <si>
    <t>26.09</t>
  </si>
  <si>
    <t>Beenleigh-Redland Rd</t>
  </si>
  <si>
    <t>California Ck</t>
  </si>
  <si>
    <t>-27.67338333</t>
  </si>
  <si>
    <t>153.2168333</t>
  </si>
  <si>
    <t>1993</t>
  </si>
  <si>
    <t>2206</t>
  </si>
  <si>
    <t>3717</t>
  </si>
  <si>
    <t>4366</t>
  </si>
  <si>
    <t>1275</t>
  </si>
  <si>
    <t>1399</t>
  </si>
  <si>
    <t>2280</t>
  </si>
  <si>
    <t>9265</t>
  </si>
  <si>
    <t>1072</t>
  </si>
  <si>
    <t>10518</t>
  </si>
  <si>
    <t>887</t>
  </si>
  <si>
    <t>990</t>
  </si>
  <si>
    <t>3514</t>
  </si>
  <si>
    <t>4090</t>
  </si>
  <si>
    <t>2545</t>
  </si>
  <si>
    <t>2814</t>
  </si>
  <si>
    <t>2549</t>
  </si>
  <si>
    <t>240</t>
  </si>
  <si>
    <t>9495</t>
  </si>
  <si>
    <t>1138</t>
  </si>
  <si>
    <t>10693</t>
  </si>
  <si>
    <t>2032</t>
  </si>
  <si>
    <t>8527</t>
  </si>
  <si>
    <t>9304</t>
  </si>
  <si>
    <t>4254</t>
  </si>
  <si>
    <t>4559</t>
  </si>
  <si>
    <t>4634</t>
  </si>
  <si>
    <t>4891</t>
  </si>
  <si>
    <t>19447</t>
  </si>
  <si>
    <t>20975</t>
  </si>
  <si>
    <t>1838</t>
  </si>
  <si>
    <t>7592</t>
  </si>
  <si>
    <t>8260</t>
  </si>
  <si>
    <t>3993</t>
  </si>
  <si>
    <t>4130</t>
  </si>
  <si>
    <t>4896</t>
  </si>
  <si>
    <t>18319</t>
  </si>
  <si>
    <t>995</t>
  </si>
  <si>
    <t>19462</t>
  </si>
  <si>
    <t>898</t>
  </si>
  <si>
    <t>3347</t>
  </si>
  <si>
    <t>2356</t>
  </si>
  <si>
    <t>2190</t>
  </si>
  <si>
    <t>7931</t>
  </si>
  <si>
    <t>8791</t>
  </si>
  <si>
    <t>1931</t>
  </si>
  <si>
    <t>1158</t>
  </si>
  <si>
    <t>4939</t>
  </si>
  <si>
    <t>5171</t>
  </si>
  <si>
    <t>1463</t>
  </si>
  <si>
    <t>1632</t>
  </si>
  <si>
    <t>3648</t>
  </si>
  <si>
    <t>4206</t>
  </si>
  <si>
    <t>1819</t>
  </si>
  <si>
    <t>2308</t>
  </si>
  <si>
    <t>886</t>
  </si>
  <si>
    <t>10109</t>
  </si>
  <si>
    <t xml:space="preserve"> Six Mile Creek</t>
  </si>
  <si>
    <t>27.02</t>
  </si>
  <si>
    <t>Ipswich Mwy</t>
  </si>
  <si>
    <t>At Six Mile Creek</t>
  </si>
  <si>
    <t>-27.6017</t>
  </si>
  <si>
    <t>152.8587</t>
  </si>
  <si>
    <t>5330</t>
  </si>
  <si>
    <t>445</t>
  </si>
  <si>
    <t>14416</t>
  </si>
  <si>
    <t>1105</t>
  </si>
  <si>
    <t>17375</t>
  </si>
  <si>
    <t>5889</t>
  </si>
  <si>
    <t>11816</t>
  </si>
  <si>
    <t>913</t>
  </si>
  <si>
    <t>13562</t>
  </si>
  <si>
    <t>36975</t>
  </si>
  <si>
    <t>3430</t>
  </si>
  <si>
    <t>2464</t>
  </si>
  <si>
    <t>42869</t>
  </si>
  <si>
    <t>27.03</t>
  </si>
  <si>
    <t>Old Ipswich Road</t>
  </si>
  <si>
    <t>-27.60648</t>
  </si>
  <si>
    <t>152.85828</t>
  </si>
  <si>
    <t>1117</t>
  </si>
  <si>
    <t>451</t>
  </si>
  <si>
    <t>2579</t>
  </si>
  <si>
    <t>2690</t>
  </si>
  <si>
    <t>27.04</t>
  </si>
  <si>
    <t>Redbank Plains Road</t>
  </si>
  <si>
    <t>-27.64003</t>
  </si>
  <si>
    <t>152.84537</t>
  </si>
  <si>
    <t>2177</t>
  </si>
  <si>
    <t>2376</t>
  </si>
  <si>
    <t>1552</t>
  </si>
  <si>
    <t>5534</t>
  </si>
  <si>
    <t>5905</t>
  </si>
  <si>
    <t>27.05</t>
  </si>
  <si>
    <t>Centenary Mway</t>
  </si>
  <si>
    <t>-27.67453</t>
  </si>
  <si>
    <t>152.85043</t>
  </si>
  <si>
    <t>747</t>
  </si>
  <si>
    <t>3358</t>
  </si>
  <si>
    <t>3817</t>
  </si>
  <si>
    <t>568</t>
  </si>
  <si>
    <t>288</t>
  </si>
  <si>
    <t>5987</t>
  </si>
  <si>
    <t>15022</t>
  </si>
  <si>
    <t>18059</t>
  </si>
  <si>
    <t>6387</t>
  </si>
  <si>
    <t>6909</t>
  </si>
  <si>
    <t>9695</t>
  </si>
  <si>
    <t>11284</t>
  </si>
  <si>
    <t>36235</t>
  </si>
  <si>
    <t>3369</t>
  </si>
  <si>
    <t>42239</t>
  </si>
  <si>
    <t>1227</t>
  </si>
  <si>
    <t>487</t>
  </si>
  <si>
    <t>2769</t>
  </si>
  <si>
    <t>2273</t>
  </si>
  <si>
    <t>933</t>
  </si>
  <si>
    <t>5475</t>
  </si>
  <si>
    <t>5825</t>
  </si>
  <si>
    <t>570</t>
  </si>
  <si>
    <t>4113</t>
  </si>
  <si>
    <t>28.01</t>
  </si>
  <si>
    <t xml:space="preserve"> Bremer River</t>
  </si>
  <si>
    <t>Warrego Hwy</t>
  </si>
  <si>
    <t>Bremer River</t>
  </si>
  <si>
    <t>-27.583</t>
  </si>
  <si>
    <t>152.815694</t>
  </si>
  <si>
    <t>3287</t>
  </si>
  <si>
    <t>3696</t>
  </si>
  <si>
    <t>6922</t>
  </si>
  <si>
    <t>8679</t>
  </si>
  <si>
    <t>2701</t>
  </si>
  <si>
    <t>6615</t>
  </si>
  <si>
    <t>7992</t>
  </si>
  <si>
    <t>19180</t>
  </si>
  <si>
    <t>1906</t>
  </si>
  <si>
    <t>23068</t>
  </si>
  <si>
    <t>28.02</t>
  </si>
  <si>
    <t>Pine St</t>
  </si>
  <si>
    <t>-27.6094</t>
  </si>
  <si>
    <t>152.761783</t>
  </si>
  <si>
    <t>2810</t>
  </si>
  <si>
    <t>2989</t>
  </si>
  <si>
    <t>9057</t>
  </si>
  <si>
    <t>3821</t>
  </si>
  <si>
    <t>18107</t>
  </si>
  <si>
    <t>19330</t>
  </si>
  <si>
    <t>28.03</t>
  </si>
  <si>
    <t>Albion Street / Kingsmill Road</t>
  </si>
  <si>
    <t>-27.6033</t>
  </si>
  <si>
    <t>152.744283</t>
  </si>
  <si>
    <t>1606</t>
  </si>
  <si>
    <t>3170</t>
  </si>
  <si>
    <t>3311</t>
  </si>
  <si>
    <t>7606</t>
  </si>
  <si>
    <t>7877</t>
  </si>
  <si>
    <t>28.04</t>
  </si>
  <si>
    <t>Old Toowoomba Road</t>
  </si>
  <si>
    <t>East of Ernest Str</t>
  </si>
  <si>
    <t>-27.62667</t>
  </si>
  <si>
    <t>152.7447</t>
  </si>
  <si>
    <t>1849</t>
  </si>
  <si>
    <t>4528</t>
  </si>
  <si>
    <t>4814</t>
  </si>
  <si>
    <t>1528</t>
  </si>
  <si>
    <t>2292</t>
  </si>
  <si>
    <t>10057</t>
  </si>
  <si>
    <t>10602</t>
  </si>
  <si>
    <t>28.05</t>
  </si>
  <si>
    <t>Added as 30.08 to Screenline 30</t>
  </si>
  <si>
    <t>7632</t>
  </si>
  <si>
    <t>9409</t>
  </si>
  <si>
    <t>4041</t>
  </si>
  <si>
    <t>5255</t>
  </si>
  <si>
    <t>6430</t>
  </si>
  <si>
    <t>19234</t>
  </si>
  <si>
    <t>23157</t>
  </si>
  <si>
    <t>9275</t>
  </si>
  <si>
    <t>9939</t>
  </si>
  <si>
    <t>3250</t>
  </si>
  <si>
    <t>3423</t>
  </si>
  <si>
    <t>3216</t>
  </si>
  <si>
    <t>3446</t>
  </si>
  <si>
    <t>17563</t>
  </si>
  <si>
    <t>18782</t>
  </si>
  <si>
    <t>892</t>
  </si>
  <si>
    <t>946</t>
  </si>
  <si>
    <t>3406</t>
  </si>
  <si>
    <t>3551</t>
  </si>
  <si>
    <t>1626</t>
  </si>
  <si>
    <t>1823</t>
  </si>
  <si>
    <t>1881</t>
  </si>
  <si>
    <t>7747</t>
  </si>
  <si>
    <t>8046</t>
  </si>
  <si>
    <t>4665</t>
  </si>
  <si>
    <t>2637</t>
  </si>
  <si>
    <t>2750</t>
  </si>
  <si>
    <t>9868</t>
  </si>
  <si>
    <t>10464</t>
  </si>
  <si>
    <t>29.01</t>
  </si>
  <si>
    <t xml:space="preserve"> Intermediate West </t>
  </si>
  <si>
    <t>Fotheringham Rd</t>
  </si>
  <si>
    <t>East of Pine Mtn Rd Interchange</t>
  </si>
  <si>
    <t>-27.57879</t>
  </si>
  <si>
    <t>152.72633</t>
  </si>
  <si>
    <t>29.02</t>
  </si>
  <si>
    <t>East of Pine Mountain Road Interchange</t>
  </si>
  <si>
    <t>-27.57953</t>
  </si>
  <si>
    <t>152.73715</t>
  </si>
  <si>
    <t>5736</t>
  </si>
  <si>
    <t>7418</t>
  </si>
  <si>
    <t>2359</t>
  </si>
  <si>
    <t>4283</t>
  </si>
  <si>
    <t>5556</t>
  </si>
  <si>
    <t>14367</t>
  </si>
  <si>
    <t>1828</t>
  </si>
  <si>
    <t>18103</t>
  </si>
  <si>
    <t>29.03</t>
  </si>
  <si>
    <t>Ipswich - Warrego Connection Rd</t>
  </si>
  <si>
    <t>East of Pine Mountain Interchange</t>
  </si>
  <si>
    <t>-27.58269</t>
  </si>
  <si>
    <t>152.72467</t>
  </si>
  <si>
    <t>1446</t>
  </si>
  <si>
    <t>710</t>
  </si>
  <si>
    <t>29.04</t>
  </si>
  <si>
    <t>Schillings Road</t>
  </si>
  <si>
    <t>East of Wulkuraka Connection Road</t>
  </si>
  <si>
    <t>-27.60551</t>
  </si>
  <si>
    <t>152.71164</t>
  </si>
  <si>
    <t>29.05</t>
  </si>
  <si>
    <t>Karrabin - Rosewood Rd</t>
  </si>
  <si>
    <t>-27.603</t>
  </si>
  <si>
    <t>152.70695</t>
  </si>
  <si>
    <t>737</t>
  </si>
  <si>
    <t>1416</t>
  </si>
  <si>
    <t>896</t>
  </si>
  <si>
    <t>3386</t>
  </si>
  <si>
    <t>3654</t>
  </si>
  <si>
    <t>S27.58056</t>
  </si>
  <si>
    <t>E152.72801</t>
  </si>
  <si>
    <t>2460</t>
  </si>
  <si>
    <t>951</t>
  </si>
  <si>
    <t>816</t>
  </si>
  <si>
    <t>2789</t>
  </si>
  <si>
    <t>3888</t>
  </si>
  <si>
    <t>5141</t>
  </si>
  <si>
    <t>14303</t>
  </si>
  <si>
    <t>1862</t>
  </si>
  <si>
    <t>18353</t>
  </si>
  <si>
    <t>430</t>
  </si>
  <si>
    <t>1390</t>
  </si>
  <si>
    <t>1532</t>
  </si>
  <si>
    <t>3373</t>
  </si>
  <si>
    <t>3622</t>
  </si>
  <si>
    <t>1387</t>
  </si>
  <si>
    <t>3591</t>
  </si>
  <si>
    <t>30.01</t>
  </si>
  <si>
    <t xml:space="preserve"> Intermediate West of Ipswich</t>
  </si>
  <si>
    <t>Sandy Creek (East of Kilcoy - Murgon Rd)</t>
  </si>
  <si>
    <t>-26.93074</t>
  </si>
  <si>
    <t>152.61108</t>
  </si>
  <si>
    <t>1306</t>
  </si>
  <si>
    <t>2011</t>
  </si>
  <si>
    <t>379</t>
  </si>
  <si>
    <t>30.02</t>
  </si>
  <si>
    <t>Neurum Road</t>
  </si>
  <si>
    <t>Sandy Creek (East of D'Aguilar int.)</t>
  </si>
  <si>
    <t>-26.94931</t>
  </si>
  <si>
    <t>152.6022</t>
  </si>
  <si>
    <t>30.03</t>
  </si>
  <si>
    <t>Mount Glorious Rd / Parway</t>
  </si>
  <si>
    <t>East of Wivenhoe - Somerset Road</t>
  </si>
  <si>
    <t>-27.30623</t>
  </si>
  <si>
    <t>152.62491</t>
  </si>
  <si>
    <t>30.04</t>
  </si>
  <si>
    <t>Pine Mountain Road</t>
  </si>
  <si>
    <t>East of Brisbane Valley Hwy</t>
  </si>
  <si>
    <t>-27.50374</t>
  </si>
  <si>
    <t>152.67116</t>
  </si>
  <si>
    <t>30.05</t>
  </si>
  <si>
    <t>Brisbane Valley Hwy</t>
  </si>
  <si>
    <t>West of Warrego Highway Interchange</t>
  </si>
  <si>
    <t>-27.57355</t>
  </si>
  <si>
    <t>152.69887</t>
  </si>
  <si>
    <t>911</t>
  </si>
  <si>
    <t>1876</t>
  </si>
  <si>
    <t>2157</t>
  </si>
  <si>
    <t>1502</t>
  </si>
  <si>
    <t>4643</t>
  </si>
  <si>
    <t>5233</t>
  </si>
  <si>
    <t>30.06</t>
  </si>
  <si>
    <t>West of Wulkuraka Road</t>
  </si>
  <si>
    <t>S27.57642</t>
  </si>
  <si>
    <t>E152.69585</t>
  </si>
  <si>
    <t>5062</t>
  </si>
  <si>
    <t>6118</t>
  </si>
  <si>
    <t>1846</t>
  </si>
  <si>
    <t>12084</t>
  </si>
  <si>
    <t>901</t>
  </si>
  <si>
    <t>1453</t>
  </si>
  <si>
    <t>14439</t>
  </si>
  <si>
    <t>30.07</t>
  </si>
  <si>
    <t>Karrabin-Rosewood Rd</t>
  </si>
  <si>
    <t>West of Clarkes Road</t>
  </si>
  <si>
    <t>-27.59564</t>
  </si>
  <si>
    <t>152.68915</t>
  </si>
  <si>
    <t>1060</t>
  </si>
  <si>
    <t>2559</t>
  </si>
  <si>
    <t>30.08</t>
  </si>
  <si>
    <t>Bremer River east of Behms Str</t>
  </si>
  <si>
    <t>-27.631733</t>
  </si>
  <si>
    <t>152.729767</t>
  </si>
  <si>
    <t>30.09</t>
  </si>
  <si>
    <t>Cunningham Hwy</t>
  </si>
  <si>
    <t>Warrill Creek (East of Middle Rd)</t>
  </si>
  <si>
    <t>-27.66059</t>
  </si>
  <si>
    <t>152.71878</t>
  </si>
  <si>
    <t>3123</t>
  </si>
  <si>
    <t>1774</t>
  </si>
  <si>
    <t>1945</t>
  </si>
  <si>
    <t>1748</t>
  </si>
  <si>
    <t>2294</t>
  </si>
  <si>
    <t>7615</t>
  </si>
  <si>
    <t>9235</t>
  </si>
  <si>
    <t>30.1</t>
  </si>
  <si>
    <t>Ipswich-Boonah Rd</t>
  </si>
  <si>
    <t>South of Hughes Road</t>
  </si>
  <si>
    <t>-27.69332</t>
  </si>
  <si>
    <t>152.73846</t>
  </si>
  <si>
    <t>3262</t>
  </si>
  <si>
    <t>2064</t>
  </si>
  <si>
    <t>1317</t>
  </si>
  <si>
    <t>4276</t>
  </si>
  <si>
    <t>4824</t>
  </si>
  <si>
    <t>-27.57635</t>
  </si>
  <si>
    <t>152.6972</t>
  </si>
  <si>
    <t>1559</t>
  </si>
  <si>
    <t>4723</t>
  </si>
  <si>
    <t>5965</t>
  </si>
  <si>
    <t>11696</t>
  </si>
  <si>
    <t>14483</t>
  </si>
  <si>
    <t>569</t>
  </si>
  <si>
    <t>2335</t>
  </si>
  <si>
    <t>2496</t>
  </si>
  <si>
    <t>834</t>
  </si>
  <si>
    <t>2725</t>
  </si>
  <si>
    <t>2798</t>
  </si>
  <si>
    <t>7438</t>
  </si>
  <si>
    <t>748</t>
  </si>
  <si>
    <t>9104</t>
  </si>
  <si>
    <t>683</t>
  </si>
  <si>
    <t>3231</t>
  </si>
  <si>
    <t>32.01</t>
  </si>
  <si>
    <t xml:space="preserve"> Logan River</t>
  </si>
  <si>
    <t>Pacific Hwy</t>
  </si>
  <si>
    <t>Logan River</t>
  </si>
  <si>
    <t>-27.6937</t>
  </si>
  <si>
    <t>153.1943667</t>
  </si>
  <si>
    <t>32.02</t>
  </si>
  <si>
    <t>Pacific Motorway</t>
  </si>
  <si>
    <t>-27.694852</t>
  </si>
  <si>
    <t>153.194561</t>
  </si>
  <si>
    <t>11779</t>
  </si>
  <si>
    <t>12987</t>
  </si>
  <si>
    <t>28476</t>
  </si>
  <si>
    <t>2582</t>
  </si>
  <si>
    <t>32464</t>
  </si>
  <si>
    <t>11145</t>
  </si>
  <si>
    <t>21847</t>
  </si>
  <si>
    <t>1037</t>
  </si>
  <si>
    <t>24143</t>
  </si>
  <si>
    <t>72634</t>
  </si>
  <si>
    <t>3077</t>
  </si>
  <si>
    <t>80739</t>
  </si>
  <si>
    <t>32.03</t>
  </si>
  <si>
    <t>Brisbane-Beenleigh Rd</t>
  </si>
  <si>
    <t>-27.69225</t>
  </si>
  <si>
    <t>153.1377833</t>
  </si>
  <si>
    <t>4319</t>
  </si>
  <si>
    <t>4540</t>
  </si>
  <si>
    <t>7424</t>
  </si>
  <si>
    <t>8020</t>
  </si>
  <si>
    <t>2418</t>
  </si>
  <si>
    <t>2516</t>
  </si>
  <si>
    <t>5879</t>
  </si>
  <si>
    <t>6211</t>
  </si>
  <si>
    <t>20040</t>
  </si>
  <si>
    <t>21287</t>
  </si>
  <si>
    <t>32.04</t>
  </si>
  <si>
    <t>Anzac Avenue</t>
  </si>
  <si>
    <t>-27.768963</t>
  </si>
  <si>
    <t>153.102293</t>
  </si>
  <si>
    <t>684</t>
  </si>
  <si>
    <t>32.05</t>
  </si>
  <si>
    <t>Mount Lindesay Hwy</t>
  </si>
  <si>
    <t>-27.78415</t>
  </si>
  <si>
    <t>153.0118167</t>
  </si>
  <si>
    <t>1670</t>
  </si>
  <si>
    <t>1825</t>
  </si>
  <si>
    <t>3096</t>
  </si>
  <si>
    <t>8484</t>
  </si>
  <si>
    <t>617</t>
  </si>
  <si>
    <t>9358</t>
  </si>
  <si>
    <t>32.06</t>
  </si>
  <si>
    <t>Teviot Road</t>
  </si>
  <si>
    <t>North of Flagstone Creek</t>
  </si>
  <si>
    <t>-27.803551</t>
  </si>
  <si>
    <t>152.983203</t>
  </si>
  <si>
    <t>650</t>
  </si>
  <si>
    <t>1018</t>
  </si>
  <si>
    <t>1041</t>
  </si>
  <si>
    <t>2934</t>
  </si>
  <si>
    <t>3107</t>
  </si>
  <si>
    <t>32.07</t>
  </si>
  <si>
    <t>Ripley Road (Undullah Rd)</t>
  </si>
  <si>
    <t>South of Bundamba Creek</t>
  </si>
  <si>
    <t>-27.70458</t>
  </si>
  <si>
    <t>152.80489</t>
  </si>
  <si>
    <t>1211</t>
  </si>
  <si>
    <t>459</t>
  </si>
  <si>
    <t>2473</t>
  </si>
  <si>
    <t>8517</t>
  </si>
  <si>
    <t>9507</t>
  </si>
  <si>
    <t>30394</t>
  </si>
  <si>
    <t>34639</t>
  </si>
  <si>
    <t>13968</t>
  </si>
  <si>
    <t>14693</t>
  </si>
  <si>
    <t>17918</t>
  </si>
  <si>
    <t>70797</t>
  </si>
  <si>
    <t>4637</t>
  </si>
  <si>
    <t>2965</t>
  </si>
  <si>
    <t>78399</t>
  </si>
  <si>
    <t>2278</t>
  </si>
  <si>
    <t>8202</t>
  </si>
  <si>
    <t>8816</t>
  </si>
  <si>
    <t>4458</t>
  </si>
  <si>
    <t>5158</t>
  </si>
  <si>
    <t>5381</t>
  </si>
  <si>
    <t>19920</t>
  </si>
  <si>
    <t>21095</t>
  </si>
  <si>
    <t>2350</t>
  </si>
  <si>
    <t>942</t>
  </si>
  <si>
    <t>3438</t>
  </si>
  <si>
    <t>3858</t>
  </si>
  <si>
    <t>2019</t>
  </si>
  <si>
    <t>2474</t>
  </si>
  <si>
    <t>8561</t>
  </si>
  <si>
    <t>9406</t>
  </si>
  <si>
    <t>1059</t>
  </si>
  <si>
    <t>813</t>
  </si>
  <si>
    <t xml:space="preserve"> Intermediate South of Ipswich</t>
  </si>
  <si>
    <t>32.09</t>
  </si>
  <si>
    <t>32.1</t>
  </si>
  <si>
    <t>IC</t>
  </si>
  <si>
    <t>IC.1</t>
  </si>
  <si>
    <t xml:space="preserve"> Ipswich</t>
  </si>
  <si>
    <t>Creek Street</t>
  </si>
  <si>
    <t>Bundamba Creek</t>
  </si>
  <si>
    <t>-27.60561</t>
  </si>
  <si>
    <t>152.80067</t>
  </si>
  <si>
    <t>1141</t>
  </si>
  <si>
    <t>2556</t>
  </si>
  <si>
    <t>2728</t>
  </si>
  <si>
    <t>IC.2</t>
  </si>
  <si>
    <t>Brisbane Road</t>
  </si>
  <si>
    <t>-27.61073</t>
  </si>
  <si>
    <t>152.80583</t>
  </si>
  <si>
    <t>1858</t>
  </si>
  <si>
    <t>6854</t>
  </si>
  <si>
    <t>7379</t>
  </si>
  <si>
    <t>3823</t>
  </si>
  <si>
    <t>3974</t>
  </si>
  <si>
    <t>14982</t>
  </si>
  <si>
    <t>15876</t>
  </si>
  <si>
    <t>IC.3</t>
  </si>
  <si>
    <t>Thomas Street</t>
  </si>
  <si>
    <t>-27.62299</t>
  </si>
  <si>
    <t>152.79767</t>
  </si>
  <si>
    <t>1516</t>
  </si>
  <si>
    <t>1604</t>
  </si>
  <si>
    <t>5568</t>
  </si>
  <si>
    <t>5931</t>
  </si>
  <si>
    <t>IC.4</t>
  </si>
  <si>
    <t>-27.64151</t>
  </si>
  <si>
    <t>152.79459</t>
  </si>
  <si>
    <t>2162</t>
  </si>
  <si>
    <t>3613</t>
  </si>
  <si>
    <t>4789</t>
  </si>
  <si>
    <t>1741</t>
  </si>
  <si>
    <t>3690</t>
  </si>
  <si>
    <t>4332</t>
  </si>
  <si>
    <t>10654</t>
  </si>
  <si>
    <t>1425</t>
  </si>
  <si>
    <t>IC.5</t>
  </si>
  <si>
    <t>Swan Bank Road</t>
  </si>
  <si>
    <t>-27.65544</t>
  </si>
  <si>
    <t>152.8015</t>
  </si>
  <si>
    <t>IC.6</t>
  </si>
  <si>
    <t>Centenary Mwy</t>
  </si>
  <si>
    <t>-27.6862</t>
  </si>
  <si>
    <t>152.80666</t>
  </si>
  <si>
    <t>1145</t>
  </si>
  <si>
    <t>1273</t>
  </si>
  <si>
    <t>3453</t>
  </si>
  <si>
    <t>3782</t>
  </si>
  <si>
    <t>1201</t>
  </si>
  <si>
    <t>2652</t>
  </si>
  <si>
    <t>2805</t>
  </si>
  <si>
    <t>7221</t>
  </si>
  <si>
    <t>7768</t>
  </si>
  <si>
    <t>3357</t>
  </si>
  <si>
    <t>15373</t>
  </si>
  <si>
    <t>875</t>
  </si>
  <si>
    <t>16355</t>
  </si>
  <si>
    <t>1035</t>
  </si>
  <si>
    <t>915</t>
  </si>
  <si>
    <t>1292</t>
  </si>
  <si>
    <t>5476</t>
  </si>
  <si>
    <t>5834</t>
  </si>
  <si>
    <t>3652</t>
  </si>
  <si>
    <t>4998</t>
  </si>
  <si>
    <t>1896</t>
  </si>
  <si>
    <t>2182</t>
  </si>
  <si>
    <t>3354</t>
  </si>
  <si>
    <t>9699</t>
  </si>
  <si>
    <t>1570</t>
  </si>
  <si>
    <t>1005</t>
  </si>
  <si>
    <t>12274</t>
  </si>
  <si>
    <t>591</t>
  </si>
  <si>
    <t>1385</t>
  </si>
  <si>
    <t>3734</t>
  </si>
  <si>
    <t>4078</t>
  </si>
  <si>
    <t>33.01</t>
  </si>
  <si>
    <t xml:space="preserve"> Albert River</t>
  </si>
  <si>
    <t>Waterford - Tamborine Rd</t>
  </si>
  <si>
    <t>North of Miller Road</t>
  </si>
  <si>
    <t>-27.754266</t>
  </si>
  <si>
    <t>153.12036</t>
  </si>
  <si>
    <t>1260</t>
  </si>
  <si>
    <t>1648</t>
  </si>
  <si>
    <t>33.02</t>
  </si>
  <si>
    <t>Beaudesert - Beenleigh Rd</t>
  </si>
  <si>
    <t>Albert River</t>
  </si>
  <si>
    <t>-27.776367</t>
  </si>
  <si>
    <t>153.185463</t>
  </si>
  <si>
    <t>1232</t>
  </si>
  <si>
    <t>1472</t>
  </si>
  <si>
    <t>409</t>
  </si>
  <si>
    <t>1017</t>
  </si>
  <si>
    <t>3741</t>
  </si>
  <si>
    <t>33.03</t>
  </si>
  <si>
    <t>Martens Street</t>
  </si>
  <si>
    <t>-27.726444</t>
  </si>
  <si>
    <t>153.219581</t>
  </si>
  <si>
    <t>1771</t>
  </si>
  <si>
    <t>2842</t>
  </si>
  <si>
    <t>3164</t>
  </si>
  <si>
    <t>33.04</t>
  </si>
  <si>
    <t>-27.725323</t>
  </si>
  <si>
    <t>153.219967</t>
  </si>
  <si>
    <t>12295</t>
  </si>
  <si>
    <t>25977</t>
  </si>
  <si>
    <t>29672</t>
  </si>
  <si>
    <t>9292</t>
  </si>
  <si>
    <t>9762</t>
  </si>
  <si>
    <t>19576</t>
  </si>
  <si>
    <t>21720</t>
  </si>
  <si>
    <t>65998</t>
  </si>
  <si>
    <t>2867</t>
  </si>
  <si>
    <t>73449</t>
  </si>
  <si>
    <t>33.05</t>
  </si>
  <si>
    <t>Henry Hester Dr</t>
  </si>
  <si>
    <t>-27.723861</t>
  </si>
  <si>
    <t>153.219345</t>
  </si>
  <si>
    <t>1527</t>
  </si>
  <si>
    <t>2002</t>
  </si>
  <si>
    <t>4945</t>
  </si>
  <si>
    <t>1431</t>
  </si>
  <si>
    <t>829</t>
  </si>
  <si>
    <t>3824</t>
  </si>
  <si>
    <t>448</t>
  </si>
  <si>
    <t>1118</t>
  </si>
  <si>
    <t>2650</t>
  </si>
  <si>
    <t>8301</t>
  </si>
  <si>
    <t>686</t>
  </si>
  <si>
    <t>9336</t>
  </si>
  <si>
    <t>27188</t>
  </si>
  <si>
    <t>31309</t>
  </si>
  <si>
    <t>12646</t>
  </si>
  <si>
    <t>13274</t>
  </si>
  <si>
    <t>16601</t>
  </si>
  <si>
    <t>864</t>
  </si>
  <si>
    <t>18226</t>
  </si>
  <si>
    <t>64736</t>
  </si>
  <si>
    <t>4641</t>
  </si>
  <si>
    <t>2800</t>
  </si>
  <si>
    <t>72145</t>
  </si>
  <si>
    <t>2083</t>
  </si>
  <si>
    <t>34.01</t>
  </si>
  <si>
    <t xml:space="preserve"> Pimpama River/Tamborine</t>
  </si>
  <si>
    <t>Creek St Service Rd</t>
  </si>
  <si>
    <t>South of Eggersdorf Rd</t>
  </si>
  <si>
    <t>S2747.808'</t>
  </si>
  <si>
    <t>E15315.672'</t>
  </si>
  <si>
    <t>649</t>
  </si>
  <si>
    <t>2471</t>
  </si>
  <si>
    <t>34.02</t>
  </si>
  <si>
    <t>North of Pimpama River</t>
  </si>
  <si>
    <t>S2747.66841'</t>
  </si>
  <si>
    <t>E15315.59688'</t>
  </si>
  <si>
    <t>10149</t>
  </si>
  <si>
    <t>10950</t>
  </si>
  <si>
    <t>20399</t>
  </si>
  <si>
    <t>1870</t>
  </si>
  <si>
    <t>7107</t>
  </si>
  <si>
    <t>7504</t>
  </si>
  <si>
    <t>18985</t>
  </si>
  <si>
    <t>20618</t>
  </si>
  <si>
    <t>56640</t>
  </si>
  <si>
    <t>2057</t>
  </si>
  <si>
    <t>62175</t>
  </si>
  <si>
    <t>34.03</t>
  </si>
  <si>
    <t>Tillyroen Rd</t>
  </si>
  <si>
    <t>South of Peachey Rd</t>
  </si>
  <si>
    <t>S2748.463</t>
  </si>
  <si>
    <t>E15310.735</t>
  </si>
  <si>
    <t>836</t>
  </si>
  <si>
    <t>1592</t>
  </si>
  <si>
    <t>5179</t>
  </si>
  <si>
    <t>5724</t>
  </si>
  <si>
    <t>34.04</t>
  </si>
  <si>
    <t>North of Swans Pocket Road</t>
  </si>
  <si>
    <t>S2749.083'</t>
  </si>
  <si>
    <t>E15310.141</t>
  </si>
  <si>
    <t>1033</t>
  </si>
  <si>
    <t>1240</t>
  </si>
  <si>
    <t>3017</t>
  </si>
  <si>
    <t>34.05</t>
  </si>
  <si>
    <t>Chardon Bridge Rd</t>
  </si>
  <si>
    <t>South of Veivers Road</t>
  </si>
  <si>
    <t>S2749.937'</t>
  </si>
  <si>
    <t>E1536.405'</t>
  </si>
  <si>
    <t>34.06</t>
  </si>
  <si>
    <t>North of Willamson Road</t>
  </si>
  <si>
    <t>S2751.485'</t>
  </si>
  <si>
    <t>E1530.305'</t>
  </si>
  <si>
    <t>1880</t>
  </si>
  <si>
    <t>34.07</t>
  </si>
  <si>
    <t>Mundoolun Rd</t>
  </si>
  <si>
    <t>North of John Collins Drive</t>
  </si>
  <si>
    <t>S281.584'</t>
  </si>
  <si>
    <t>E15317.868'</t>
  </si>
  <si>
    <t>446</t>
  </si>
  <si>
    <t>537</t>
  </si>
  <si>
    <t>34.08</t>
  </si>
  <si>
    <t>Mt Lindsey Hwy</t>
  </si>
  <si>
    <t>At Scrubby Creek</t>
  </si>
  <si>
    <t>S2751.753</t>
  </si>
  <si>
    <t>E1530.565</t>
  </si>
  <si>
    <t>1253</t>
  </si>
  <si>
    <t>1406</t>
  </si>
  <si>
    <t>2344</t>
  </si>
  <si>
    <t>2772</t>
  </si>
  <si>
    <t>1747</t>
  </si>
  <si>
    <t>2013</t>
  </si>
  <si>
    <t>6132</t>
  </si>
  <si>
    <t>7063</t>
  </si>
  <si>
    <t>2337</t>
  </si>
  <si>
    <t>4853</t>
  </si>
  <si>
    <t>5362</t>
  </si>
  <si>
    <t>6396</t>
  </si>
  <si>
    <t>7105</t>
  </si>
  <si>
    <t>24012</t>
  </si>
  <si>
    <t>26864</t>
  </si>
  <si>
    <t>12412</t>
  </si>
  <si>
    <t>12899</t>
  </si>
  <si>
    <t>13942</t>
  </si>
  <si>
    <t>15212</t>
  </si>
  <si>
    <t>56762</t>
  </si>
  <si>
    <t>3339</t>
  </si>
  <si>
    <t>62080</t>
  </si>
  <si>
    <t>664</t>
  </si>
  <si>
    <t>698</t>
  </si>
  <si>
    <t>3049</t>
  </si>
  <si>
    <t>3099</t>
  </si>
  <si>
    <t>1761</t>
  </si>
  <si>
    <t>2400</t>
  </si>
  <si>
    <t>6898</t>
  </si>
  <si>
    <t>Data Source: https://www.data.qld.gov.au/dataset/brisbane-strategic-transport-demand-model-screenline-validation-data/resource/05651c5a-c82e-48f6-9e7c-8df516722191</t>
  </si>
  <si>
    <t>Hrs</t>
  </si>
  <si>
    <t>Count Location:</t>
  </si>
  <si>
    <t>Percent traffic assumed*</t>
  </si>
  <si>
    <t>AM</t>
  </si>
  <si>
    <t>to</t>
  </si>
  <si>
    <t>Dir 1</t>
  </si>
  <si>
    <t>OP</t>
  </si>
  <si>
    <t>Dir 2</t>
  </si>
  <si>
    <t>PM</t>
  </si>
  <si>
    <t>*100% if using the same counts</t>
  </si>
  <si>
    <t>EV</t>
  </si>
  <si>
    <t>Is count location and road being assessed the same?</t>
  </si>
  <si>
    <t>No</t>
  </si>
  <si>
    <t>If no, what road is the analysis for?</t>
  </si>
  <si>
    <t>ID</t>
  </si>
  <si>
    <t>Year of Traffic Count</t>
  </si>
  <si>
    <t>Current year</t>
  </si>
  <si>
    <t>Is the direction of the road same</t>
  </si>
  <si>
    <t>Yes</t>
  </si>
  <si>
    <t>Percentage of traffic assumed</t>
  </si>
  <si>
    <t>Number of years</t>
  </si>
  <si>
    <t>Growth Rate</t>
  </si>
  <si>
    <t>Total</t>
  </si>
  <si>
    <t>LOS A (x&lt;=0.6)</t>
  </si>
  <si>
    <t>Car</t>
  </si>
  <si>
    <t>MCV</t>
  </si>
  <si>
    <t>HCV</t>
  </si>
  <si>
    <t>Both Directions</t>
  </si>
  <si>
    <t>LOS B (0.6 &lt; x &lt;= 0.7)</t>
  </si>
  <si>
    <t>Design Volume (Capacity) *</t>
  </si>
  <si>
    <t>LOS C (0.7 &lt; x &lt;= 0.9)</t>
  </si>
  <si>
    <t>Estimated</t>
  </si>
  <si>
    <t>VCR (Volume to Capacity Ratio)</t>
  </si>
  <si>
    <t>LOS D (0.9 &lt; x &lt;= 0.95)</t>
  </si>
  <si>
    <t>Queue Length factors</t>
  </si>
  <si>
    <t>Hrly Avg</t>
  </si>
  <si>
    <t>LOS E (0.95 &lt; x &lt;= 1)</t>
  </si>
  <si>
    <t>Maximum stopping time (minutes)</t>
  </si>
  <si>
    <t>Multiplier</t>
  </si>
  <si>
    <t>Queue Length Estimation</t>
  </si>
  <si>
    <t>LOS F ( 1 &lt; x)</t>
  </si>
  <si>
    <t>Ma</t>
  </si>
  <si>
    <t>Mo</t>
  </si>
  <si>
    <t>Volume</t>
  </si>
  <si>
    <t>per 5 mins</t>
  </si>
  <si>
    <t>Max Queue</t>
  </si>
  <si>
    <t>Single Lane Reversible Flow</t>
  </si>
  <si>
    <t>2 min.</t>
  </si>
  <si>
    <t>Length (m)</t>
  </si>
  <si>
    <t>5 min.</t>
  </si>
  <si>
    <t>* Greater of 30th Highest Hour of AADT or 500</t>
  </si>
  <si>
    <t>10 min.</t>
  </si>
  <si>
    <t>Row</t>
  </si>
  <si>
    <t>Road Name</t>
  </si>
  <si>
    <t>Direction</t>
  </si>
  <si>
    <t>Latitude</t>
  </si>
  <si>
    <t xml:space="preserve">Assumed percentage </t>
  </si>
  <si>
    <t>Longitude</t>
  </si>
  <si>
    <t xml:space="preserve"> </t>
  </si>
  <si>
    <t>INDIRECT("'Traffic Count'!"&amp;ADDRESS(D2_Row,Direction))</t>
  </si>
  <si>
    <t>Norman Ave</t>
  </si>
  <si>
    <t>Norman Ave / Lamington Ave</t>
  </si>
  <si>
    <t>East/West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</si>
</sst>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2" fontId="0" fillId="0" borderId="9" xfId="0" applyNumberFormat="1" applyBorder="1"/>
    <xf numFmtId="2" fontId="0" fillId="0" borderId="8" xfId="0" applyNumberFormat="1" applyBorder="1" applyAlignment="1">
      <alignment horizontal="right"/>
    </xf>
    <xf numFmtId="2" fontId="0" fillId="0" borderId="8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0" fontId="3" fillId="0" borderId="0" xfId="0" applyFont="1"/>
    <xf numFmtId="2" fontId="0" fillId="0" borderId="0" xfId="0" applyNumberFormat="1"/>
    <xf numFmtId="2" fontId="1" fillId="0" borderId="0" xfId="0" applyNumberFormat="1" applyFont="1"/>
    <xf numFmtId="1" fontId="0" fillId="0" borderId="4" xfId="0" applyNumberFormat="1" applyBorder="1"/>
    <xf numFmtId="0" fontId="0" fillId="2" borderId="0" xfId="0" applyFill="1"/>
    <xf numFmtId="164" fontId="0" fillId="2" borderId="13" xfId="0" applyNumberFormat="1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1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/>
    <xf numFmtId="0" fontId="0" fillId="2" borderId="15" xfId="0" applyFill="1" applyBorder="1"/>
    <xf numFmtId="0" fontId="0" fillId="2" borderId="1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43"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2CC9F3-1D35-4496-BFD9-A146D58EB5A3}" autoFormatId="16" applyNumberFormats="0" applyBorderFormats="0" applyFontFormats="0" applyPatternFormats="0" applyAlignmentFormats="0" applyWidthHeightFormats="0">
  <queryTableRefresh nextId="33" unboundColumnsRight="1">
    <queryTableFields count="32">
      <queryTableField id="1" name="_id" tableColumnId="1"/>
      <queryTableField id="2" name="SL" tableColumnId="2"/>
      <queryTableField id="3" name="point" tableColumnId="3"/>
      <queryTableField id="4" name="Description" tableColumnId="4"/>
      <queryTableField id="5" name="STUDY _x000a_AREA" tableColumnId="5"/>
      <queryTableField id="6" name="Dir" tableColumnId="6"/>
      <queryTableField id="7" name="name" tableColumnId="7"/>
      <queryTableField id="8" name="Location" tableColumnId="8"/>
      <queryTableField id="9" name="Direct." tableColumnId="9"/>
      <queryTableField id="10" name="X" tableColumnId="10"/>
      <queryTableField id="11" name="Y" tableColumnId="11"/>
      <queryTableField id="12" name="2012 Obs. AM Car" tableColumnId="12"/>
      <queryTableField id="13" name="2012 Obs. AM MCV" tableColumnId="13"/>
      <queryTableField id="14" name="2012 Obs. AM HCV" tableColumnId="14"/>
      <queryTableField id="15" name="2012 Obs. AM Total" tableColumnId="15"/>
      <queryTableField id="16" name="2012 Obs. OP Car" tableColumnId="16"/>
      <queryTableField id="17" name="2012 Obs. OP MCV" tableColumnId="17"/>
      <queryTableField id="18" name="2012 Obs. OP HCV" tableColumnId="18"/>
      <queryTableField id="19" name="2012 Obs. OP Total" tableColumnId="19"/>
      <queryTableField id="20" name="2012 Obs. PM Car" tableColumnId="20"/>
      <queryTableField id="21" name="2012 Obs. PM MCV" tableColumnId="21"/>
      <queryTableField id="22" name="2012 Obs. PM HCV" tableColumnId="22"/>
      <queryTableField id="23" name="2012 Obs. PM Total" tableColumnId="23"/>
      <queryTableField id="24" name="2012 Obs. EV Car" tableColumnId="24"/>
      <queryTableField id="25" name="2012 Obs. EV MCV" tableColumnId="25"/>
      <queryTableField id="26" name="2012 Obs. EV HCV" tableColumnId="26"/>
      <queryTableField id="27" name="2012 Obs. EV Total" tableColumnId="27"/>
      <queryTableField id="28" name="2012 Obs. WD Car" tableColumnId="28"/>
      <queryTableField id="29" name="2012 Obs. WD MCV" tableColumnId="29"/>
      <queryTableField id="30" name="2012 Obs. WD HCV" tableColumnId="30"/>
      <queryTableField id="31" name="2012 Obs. WD Total" tableColumnId="31"/>
      <queryTableField id="32" dataBound="0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073B3-198E-4EE2-91E2-E8D9C7489B2C}" name="_05651c5a_c82e_48f6_9e7c_8df516722191" displayName="_05651c5a_c82e_48f6_9e7c_8df516722191" ref="A1:AF523" tableType="queryTable" totalsRowShown="0">
  <autoFilter ref="A1:AF523" xr:uid="{FAC073B3-198E-4EE2-91E2-E8D9C7489B2C}">
    <filterColumn colId="6">
      <filters>
        <filter val="Lutwyche Rd"/>
      </filters>
    </filterColumn>
  </autoFilter>
  <tableColumns count="32">
    <tableColumn id="1" xr3:uid="{3C128C69-0E56-40F5-9D8C-58A753DD1DC6}" uniqueName="1" name="_id" queryTableFieldId="1"/>
    <tableColumn id="2" xr3:uid="{DCA99629-F170-4134-8C91-546CB92D730C}" uniqueName="2" name="SL" queryTableFieldId="2" dataDxfId="42"/>
    <tableColumn id="3" xr3:uid="{299FBCD9-1C66-4013-9A39-28963AEC3422}" uniqueName="3" name="point" queryTableFieldId="3" dataDxfId="41"/>
    <tableColumn id="4" xr3:uid="{47DFEF7D-BAD8-47D9-9364-A1EE6C08432E}" uniqueName="4" name="Description" queryTableFieldId="4" dataDxfId="40"/>
    <tableColumn id="5" xr3:uid="{9837BDD4-F268-42C4-B1A7-BA365D5F2D6C}" uniqueName="5" name="STUDY _x000a_AREA" queryTableFieldId="5" dataDxfId="39"/>
    <tableColumn id="6" xr3:uid="{73AA2F83-DFA4-4094-9734-64BA9E131DB4}" uniqueName="6" name="Dir" queryTableFieldId="6" dataDxfId="38"/>
    <tableColumn id="7" xr3:uid="{1E4F9D55-2FC0-4B4D-A6B8-AA875DD4B800}" uniqueName="7" name="name" queryTableFieldId="7" dataDxfId="37"/>
    <tableColumn id="8" xr3:uid="{C75885D2-091F-43C1-83BB-CA4F5E1EFDB0}" uniqueName="8" name="Location" queryTableFieldId="8" dataDxfId="36"/>
    <tableColumn id="9" xr3:uid="{48585A2A-1989-4BAA-9892-3B66C25681AA}" uniqueName="9" name="Direct." queryTableFieldId="9" dataDxfId="35"/>
    <tableColumn id="10" xr3:uid="{734D19D2-201A-4498-9B74-B36221E3CC13}" uniqueName="10" name="X" queryTableFieldId="10" dataDxfId="34"/>
    <tableColumn id="11" xr3:uid="{99ED0549-45FF-4872-B6A3-7ED383A38DD1}" uniqueName="11" name="Y" queryTableFieldId="11" dataDxfId="33"/>
    <tableColumn id="12" xr3:uid="{945E5781-8F08-4B27-A0A6-C6AFE02A1EBA}" uniqueName="12" name="2012 Obs. AM Car" queryTableFieldId="12" dataDxfId="32"/>
    <tableColumn id="13" xr3:uid="{A7D3BC1D-B0E3-4232-B060-FF8205BC26BA}" uniqueName="13" name="2012 Obs. AM MCV" queryTableFieldId="13" dataDxfId="31"/>
    <tableColumn id="14" xr3:uid="{195A465E-BCCE-49F5-9A37-879243E0069E}" uniqueName="14" name="2012 Obs. AM HCV" queryTableFieldId="14" dataDxfId="30"/>
    <tableColumn id="15" xr3:uid="{C11E0813-BF42-4021-BD72-953B260733E6}" uniqueName="15" name="2012 Obs. AM Total" queryTableFieldId="15" dataDxfId="29"/>
    <tableColumn id="16" xr3:uid="{920649A7-0349-461F-A964-36FE4FF0DBA2}" uniqueName="16" name="2012 Obs. OP Car" queryTableFieldId="16" dataDxfId="28"/>
    <tableColumn id="17" xr3:uid="{6995888B-C46D-45DC-9A4B-0681A23753B1}" uniqueName="17" name="2012 Obs. OP MCV" queryTableFieldId="17" dataDxfId="27"/>
    <tableColumn id="18" xr3:uid="{0F53C4FD-6FBA-4FB6-9685-3DBE4AD5AF7A}" uniqueName="18" name="2012 Obs. OP HCV" queryTableFieldId="18" dataDxfId="26"/>
    <tableColumn id="19" xr3:uid="{08FDC37B-5D49-40E4-99E9-C248E00598CE}" uniqueName="19" name="2012 Obs. OP Total" queryTableFieldId="19" dataDxfId="25"/>
    <tableColumn id="20" xr3:uid="{71BA966B-D863-4DF8-8F08-0474326803DF}" uniqueName="20" name="2012 Obs. PM Car" queryTableFieldId="20" dataDxfId="24"/>
    <tableColumn id="21" xr3:uid="{5529E95E-F2F3-49E8-8FCD-2750265B316F}" uniqueName="21" name="2012 Obs. PM MCV" queryTableFieldId="21" dataDxfId="23"/>
    <tableColumn id="22" xr3:uid="{3F8101EA-A46E-49C1-A510-0D1E903D9065}" uniqueName="22" name="2012 Obs. PM HCV" queryTableFieldId="22" dataDxfId="22"/>
    <tableColumn id="23" xr3:uid="{68EFCE5E-6AB3-4400-A10C-D192949E75BA}" uniqueName="23" name="2012 Obs. PM Total" queryTableFieldId="23" dataDxfId="21"/>
    <tableColumn id="24" xr3:uid="{A1940F20-0BB8-4D17-8CE2-67FFEDB5944D}" uniqueName="24" name="2012 Obs. EV Car" queryTableFieldId="24" dataDxfId="20"/>
    <tableColumn id="25" xr3:uid="{F96D6010-C4E0-4A41-8D93-F6FA793526B9}" uniqueName="25" name="2012 Obs. EV MCV" queryTableFieldId="25" dataDxfId="19"/>
    <tableColumn id="26" xr3:uid="{6E4025BD-FF10-4732-95D2-AB11069E29D7}" uniqueName="26" name="2012 Obs. EV HCV" queryTableFieldId="26" dataDxfId="18"/>
    <tableColumn id="27" xr3:uid="{8219067D-C6A0-4C1E-AC3B-0C5C3BA6B979}" uniqueName="27" name="2012 Obs. EV Total" queryTableFieldId="27" dataDxfId="17"/>
    <tableColumn id="28" xr3:uid="{D6278652-19AD-4B30-8164-9D33A9CD92AB}" uniqueName="28" name="2012 Obs. WD Car" queryTableFieldId="28" dataDxfId="16"/>
    <tableColumn id="29" xr3:uid="{4775CC49-AAE6-4BC4-B3FC-552B8E94BB9F}" uniqueName="29" name="2012 Obs. WD MCV" queryTableFieldId="29" dataDxfId="15"/>
    <tableColumn id="30" xr3:uid="{735EA400-CE6A-40FB-B5C4-5C98F8B2982E}" uniqueName="30" name="2012 Obs. WD HCV" queryTableFieldId="30" dataDxfId="14"/>
    <tableColumn id="31" xr3:uid="{5749DB60-589E-4457-8CD2-8D57EEF6BE59}" uniqueName="31" name="2012 Obs. WD Total" queryTableFieldId="31" dataDxfId="13"/>
    <tableColumn id="32" xr3:uid="{C2C309D8-D12D-4567-9D23-38D0F22C7208}" uniqueName="32" name="2013 Obs. WD Total" queryTableFieldId="32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2BDD-434B-4EF3-9854-5BCD613454BA}">
  <dimension ref="A1:AJ523"/>
  <sheetViews>
    <sheetView workbookViewId="0">
      <selection activeCell="G1" sqref="G1"/>
    </sheetView>
  </sheetViews>
  <sheetFormatPr defaultRowHeight="15" x14ac:dyDescent="0.25"/>
  <cols>
    <col min="1" max="1" width="5.42578125" bestFit="1" customWidth="1"/>
    <col min="2" max="2" width="4.85546875" bestFit="1" customWidth="1"/>
    <col min="3" max="3" width="7.140625" bestFit="1" customWidth="1"/>
    <col min="4" max="4" width="37.42578125" bestFit="1" customWidth="1"/>
    <col min="5" max="5" width="14.140625" bestFit="1" customWidth="1"/>
    <col min="6" max="6" width="5.140625" bestFit="1" customWidth="1"/>
    <col min="7" max="7" width="37.85546875" bestFit="1" customWidth="1"/>
    <col min="8" max="8" width="45.140625" bestFit="1" customWidth="1"/>
    <col min="9" max="9" width="10.140625" bestFit="1" customWidth="1"/>
    <col min="10" max="10" width="11.85546875" bestFit="1" customWidth="1"/>
    <col min="11" max="11" width="12.5703125" bestFit="1" customWidth="1"/>
    <col min="12" max="12" width="17.5703125" style="23" bestFit="1" customWidth="1"/>
    <col min="13" max="13" width="18.85546875" style="23" bestFit="1" customWidth="1"/>
    <col min="14" max="14" width="18.140625" style="23" bestFit="1" customWidth="1"/>
    <col min="15" max="15" width="19.140625" style="23" bestFit="1" customWidth="1"/>
    <col min="16" max="16" width="17" style="23" bestFit="1" customWidth="1"/>
    <col min="17" max="17" width="18.140625" style="23" bestFit="1" customWidth="1"/>
    <col min="18" max="18" width="17.85546875" style="23" bestFit="1" customWidth="1"/>
    <col min="19" max="19" width="18.5703125" style="23" bestFit="1" customWidth="1"/>
    <col min="20" max="20" width="17.42578125" style="23" bestFit="1" customWidth="1"/>
    <col min="21" max="21" width="18.5703125" style="23" bestFit="1" customWidth="1"/>
    <col min="22" max="22" width="18.140625" style="23" bestFit="1" customWidth="1"/>
    <col min="23" max="23" width="18.85546875" style="23" bestFit="1" customWidth="1"/>
    <col min="24" max="24" width="16.85546875" style="23" bestFit="1" customWidth="1"/>
    <col min="25" max="25" width="18" style="23" bestFit="1" customWidth="1"/>
    <col min="26" max="26" width="17.5703125" style="23" bestFit="1" customWidth="1"/>
    <col min="27" max="27" width="18.140625" style="23" bestFit="1" customWidth="1"/>
    <col min="28" max="28" width="17.85546875" style="23" bestFit="1" customWidth="1"/>
    <col min="29" max="29" width="18.85546875" style="23" bestFit="1" customWidth="1"/>
    <col min="30" max="30" width="18.42578125" style="23" bestFit="1" customWidth="1"/>
    <col min="31" max="31" width="19.140625" style="23" bestFit="1" customWidth="1"/>
    <col min="32" max="32" width="9" style="23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</row>
    <row r="2" spans="1:32" hidden="1" x14ac:dyDescent="0.25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s="23" t="s">
        <v>42</v>
      </c>
      <c r="M2" s="23" t="s">
        <v>43</v>
      </c>
      <c r="N2" s="23" t="s">
        <v>44</v>
      </c>
      <c r="O2" s="23" t="s">
        <v>45</v>
      </c>
      <c r="P2" s="23" t="s">
        <v>46</v>
      </c>
      <c r="Q2" s="23" t="s">
        <v>47</v>
      </c>
      <c r="R2" s="23" t="s">
        <v>48</v>
      </c>
      <c r="S2" s="23" t="s">
        <v>49</v>
      </c>
      <c r="T2" s="23" t="s">
        <v>50</v>
      </c>
      <c r="U2" s="23" t="s">
        <v>51</v>
      </c>
      <c r="V2" s="23" t="s">
        <v>52</v>
      </c>
      <c r="W2" s="23" t="s">
        <v>53</v>
      </c>
      <c r="X2" s="23" t="s">
        <v>54</v>
      </c>
      <c r="Y2" s="23" t="s">
        <v>55</v>
      </c>
      <c r="Z2" s="23" t="s">
        <v>56</v>
      </c>
      <c r="AA2" s="23" t="s">
        <v>57</v>
      </c>
      <c r="AB2" s="23" t="s">
        <v>58</v>
      </c>
      <c r="AC2" s="23" t="s">
        <v>59</v>
      </c>
      <c r="AD2" s="23" t="s">
        <v>60</v>
      </c>
      <c r="AE2" s="23" t="s">
        <v>61</v>
      </c>
    </row>
    <row r="3" spans="1:32" hidden="1" x14ac:dyDescent="0.25">
      <c r="A3">
        <v>2</v>
      </c>
      <c r="B3" t="s">
        <v>32</v>
      </c>
      <c r="C3" t="s">
        <v>62</v>
      </c>
      <c r="D3" t="s">
        <v>34</v>
      </c>
      <c r="E3" t="s">
        <v>35</v>
      </c>
      <c r="F3" t="s">
        <v>36</v>
      </c>
      <c r="G3" t="s">
        <v>63</v>
      </c>
      <c r="H3" t="s">
        <v>64</v>
      </c>
      <c r="I3" t="s">
        <v>39</v>
      </c>
      <c r="J3" t="s">
        <v>65</v>
      </c>
      <c r="K3" t="s">
        <v>66</v>
      </c>
      <c r="L3" s="23" t="s">
        <v>67</v>
      </c>
      <c r="M3" s="23" t="s">
        <v>68</v>
      </c>
      <c r="N3" s="23" t="s">
        <v>69</v>
      </c>
      <c r="O3" s="23" t="s">
        <v>70</v>
      </c>
      <c r="P3" s="23" t="s">
        <v>71</v>
      </c>
      <c r="Q3" s="23" t="s">
        <v>72</v>
      </c>
      <c r="R3" s="23" t="s">
        <v>73</v>
      </c>
      <c r="S3" s="23" t="s">
        <v>74</v>
      </c>
      <c r="T3" s="23" t="s">
        <v>75</v>
      </c>
      <c r="U3" s="23" t="s">
        <v>76</v>
      </c>
      <c r="V3" s="23" t="s">
        <v>77</v>
      </c>
      <c r="W3" s="23" t="s">
        <v>78</v>
      </c>
      <c r="X3" s="23" t="s">
        <v>79</v>
      </c>
      <c r="Y3" s="23" t="s">
        <v>80</v>
      </c>
      <c r="Z3" s="23" t="s">
        <v>81</v>
      </c>
      <c r="AA3" s="23" t="s">
        <v>82</v>
      </c>
      <c r="AB3" s="23" t="s">
        <v>83</v>
      </c>
      <c r="AC3" s="23" t="s">
        <v>84</v>
      </c>
      <c r="AD3" s="23" t="s">
        <v>85</v>
      </c>
      <c r="AE3" s="23" t="s">
        <v>86</v>
      </c>
    </row>
    <row r="4" spans="1:32" hidden="1" x14ac:dyDescent="0.25">
      <c r="A4">
        <v>3</v>
      </c>
      <c r="B4" t="s">
        <v>32</v>
      </c>
      <c r="C4" t="s">
        <v>87</v>
      </c>
      <c r="D4" t="s">
        <v>34</v>
      </c>
      <c r="E4" t="s">
        <v>35</v>
      </c>
      <c r="F4" t="s">
        <v>36</v>
      </c>
      <c r="G4" t="s">
        <v>88</v>
      </c>
      <c r="H4" t="s">
        <v>89</v>
      </c>
      <c r="I4" t="s">
        <v>39</v>
      </c>
      <c r="J4" t="s">
        <v>90</v>
      </c>
      <c r="K4" t="s">
        <v>91</v>
      </c>
      <c r="L4" s="23" t="s">
        <v>92</v>
      </c>
      <c r="M4" s="23" t="s">
        <v>93</v>
      </c>
      <c r="N4" s="23" t="s">
        <v>94</v>
      </c>
      <c r="O4" s="23" t="s">
        <v>95</v>
      </c>
      <c r="P4" s="23" t="s">
        <v>96</v>
      </c>
      <c r="Q4" s="23" t="s">
        <v>97</v>
      </c>
      <c r="R4" s="23" t="s">
        <v>98</v>
      </c>
      <c r="S4" s="23" t="s">
        <v>99</v>
      </c>
      <c r="T4" s="23" t="s">
        <v>100</v>
      </c>
      <c r="U4" s="23" t="s">
        <v>32</v>
      </c>
      <c r="V4" s="23" t="s">
        <v>94</v>
      </c>
      <c r="W4" s="23" t="s">
        <v>101</v>
      </c>
      <c r="X4" s="23" t="s">
        <v>102</v>
      </c>
      <c r="Y4" s="23" t="s">
        <v>103</v>
      </c>
      <c r="Z4" s="23" t="s">
        <v>104</v>
      </c>
      <c r="AA4" s="23" t="s">
        <v>105</v>
      </c>
      <c r="AB4" s="23" t="s">
        <v>106</v>
      </c>
      <c r="AC4" s="23" t="s">
        <v>80</v>
      </c>
      <c r="AD4" s="23" t="s">
        <v>77</v>
      </c>
      <c r="AE4" s="23" t="s">
        <v>107</v>
      </c>
    </row>
    <row r="5" spans="1:32" hidden="1" x14ac:dyDescent="0.25">
      <c r="A5">
        <v>4</v>
      </c>
      <c r="B5" t="s">
        <v>32</v>
      </c>
      <c r="C5" t="s">
        <v>108</v>
      </c>
      <c r="D5" t="s">
        <v>34</v>
      </c>
      <c r="E5" t="s">
        <v>35</v>
      </c>
      <c r="F5" t="s">
        <v>36</v>
      </c>
      <c r="G5" t="s">
        <v>109</v>
      </c>
      <c r="H5" t="s">
        <v>110</v>
      </c>
      <c r="I5" t="s">
        <v>39</v>
      </c>
      <c r="J5" t="s">
        <v>111</v>
      </c>
      <c r="K5" t="s">
        <v>112</v>
      </c>
      <c r="L5" s="23" t="s">
        <v>113</v>
      </c>
      <c r="M5" s="23" t="s">
        <v>104</v>
      </c>
      <c r="N5" s="23" t="s">
        <v>114</v>
      </c>
      <c r="O5" s="23" t="s">
        <v>115</v>
      </c>
      <c r="P5" s="23" t="s">
        <v>116</v>
      </c>
      <c r="Q5" s="23" t="s">
        <v>98</v>
      </c>
      <c r="R5" s="23" t="s">
        <v>104</v>
      </c>
      <c r="S5" s="23" t="s">
        <v>117</v>
      </c>
      <c r="T5" s="23" t="s">
        <v>118</v>
      </c>
      <c r="U5" s="23" t="s">
        <v>94</v>
      </c>
      <c r="V5" s="23" t="s">
        <v>114</v>
      </c>
      <c r="W5" s="23" t="s">
        <v>119</v>
      </c>
      <c r="X5" s="23" t="s">
        <v>120</v>
      </c>
      <c r="Y5" s="23" t="s">
        <v>114</v>
      </c>
      <c r="Z5" s="23" t="s">
        <v>114</v>
      </c>
      <c r="AA5" s="23" t="s">
        <v>120</v>
      </c>
      <c r="AB5" s="23" t="s">
        <v>121</v>
      </c>
      <c r="AC5" s="23" t="s">
        <v>122</v>
      </c>
      <c r="AD5" s="23" t="s">
        <v>104</v>
      </c>
      <c r="AE5" s="23" t="s">
        <v>123</v>
      </c>
    </row>
    <row r="6" spans="1:32" hidden="1" x14ac:dyDescent="0.25">
      <c r="A6">
        <v>5</v>
      </c>
      <c r="B6" t="s">
        <v>32</v>
      </c>
      <c r="C6" t="s">
        <v>124</v>
      </c>
      <c r="D6" t="s">
        <v>34</v>
      </c>
      <c r="E6" t="s">
        <v>35</v>
      </c>
      <c r="F6" t="s">
        <v>36</v>
      </c>
      <c r="G6" t="s">
        <v>125</v>
      </c>
      <c r="H6" t="s">
        <v>126</v>
      </c>
      <c r="I6" t="s">
        <v>39</v>
      </c>
      <c r="J6" t="s">
        <v>127</v>
      </c>
      <c r="K6" t="s">
        <v>128</v>
      </c>
      <c r="L6" s="23" t="s">
        <v>129</v>
      </c>
      <c r="M6" s="23" t="s">
        <v>118</v>
      </c>
      <c r="N6" s="23" t="s">
        <v>130</v>
      </c>
      <c r="O6" s="23" t="s">
        <v>131</v>
      </c>
      <c r="P6" s="23" t="s">
        <v>132</v>
      </c>
      <c r="Q6" s="23" t="s">
        <v>44</v>
      </c>
      <c r="R6" s="23" t="s">
        <v>133</v>
      </c>
      <c r="S6" s="23" t="s">
        <v>134</v>
      </c>
      <c r="T6" s="23" t="s">
        <v>135</v>
      </c>
      <c r="U6" s="23" t="s">
        <v>76</v>
      </c>
      <c r="V6" s="23" t="s">
        <v>130</v>
      </c>
      <c r="W6" s="23" t="s">
        <v>136</v>
      </c>
      <c r="X6" s="23" t="s">
        <v>137</v>
      </c>
      <c r="Y6" s="23" t="s">
        <v>68</v>
      </c>
      <c r="Z6" s="23" t="s">
        <v>138</v>
      </c>
      <c r="AA6" s="23" t="s">
        <v>139</v>
      </c>
      <c r="AB6" s="23" t="s">
        <v>140</v>
      </c>
      <c r="AC6" s="23" t="s">
        <v>141</v>
      </c>
      <c r="AD6" s="23" t="s">
        <v>142</v>
      </c>
      <c r="AE6" s="23" t="s">
        <v>143</v>
      </c>
    </row>
    <row r="7" spans="1:32" hidden="1" x14ac:dyDescent="0.25">
      <c r="A7">
        <v>6</v>
      </c>
      <c r="B7" t="s">
        <v>32</v>
      </c>
      <c r="C7" t="s">
        <v>144</v>
      </c>
      <c r="D7" t="s">
        <v>34</v>
      </c>
      <c r="E7" t="s">
        <v>35</v>
      </c>
      <c r="F7" t="s">
        <v>36</v>
      </c>
      <c r="G7" t="s">
        <v>145</v>
      </c>
      <c r="H7" t="s">
        <v>146</v>
      </c>
      <c r="I7" t="s">
        <v>39</v>
      </c>
      <c r="J7" t="s">
        <v>147</v>
      </c>
      <c r="K7" t="s">
        <v>148</v>
      </c>
      <c r="L7" s="23" t="s">
        <v>149</v>
      </c>
      <c r="M7" s="23" t="s">
        <v>150</v>
      </c>
      <c r="N7" s="23" t="s">
        <v>114</v>
      </c>
      <c r="O7" s="23" t="s">
        <v>151</v>
      </c>
      <c r="P7" s="23" t="s">
        <v>152</v>
      </c>
      <c r="Q7" s="23" t="s">
        <v>153</v>
      </c>
      <c r="R7" s="23" t="s">
        <v>104</v>
      </c>
      <c r="S7" s="23" t="s">
        <v>154</v>
      </c>
      <c r="T7" s="23" t="s">
        <v>155</v>
      </c>
      <c r="U7" s="23" t="s">
        <v>98</v>
      </c>
      <c r="V7" s="23" t="s">
        <v>114</v>
      </c>
      <c r="W7" s="23" t="s">
        <v>156</v>
      </c>
      <c r="X7" s="23" t="s">
        <v>157</v>
      </c>
      <c r="Y7" s="23" t="s">
        <v>158</v>
      </c>
      <c r="Z7" s="23" t="s">
        <v>94</v>
      </c>
      <c r="AA7" s="23" t="s">
        <v>159</v>
      </c>
      <c r="AB7" s="23" t="s">
        <v>160</v>
      </c>
      <c r="AC7" s="23" t="s">
        <v>151</v>
      </c>
      <c r="AD7" s="23" t="s">
        <v>150</v>
      </c>
      <c r="AE7" s="23" t="s">
        <v>161</v>
      </c>
    </row>
    <row r="8" spans="1:32" hidden="1" x14ac:dyDescent="0.25">
      <c r="A8">
        <v>7</v>
      </c>
      <c r="B8" t="s">
        <v>32</v>
      </c>
      <c r="C8" t="s">
        <v>33</v>
      </c>
      <c r="D8" t="s">
        <v>34</v>
      </c>
      <c r="E8" t="s">
        <v>35</v>
      </c>
      <c r="F8" t="s">
        <v>162</v>
      </c>
      <c r="G8" t="s">
        <v>37</v>
      </c>
      <c r="H8" t="s">
        <v>38</v>
      </c>
      <c r="I8" t="s">
        <v>163</v>
      </c>
      <c r="J8" t="s">
        <v>40</v>
      </c>
      <c r="K8" t="s">
        <v>41</v>
      </c>
      <c r="L8" s="23" t="s">
        <v>164</v>
      </c>
      <c r="M8" s="23" t="s">
        <v>165</v>
      </c>
      <c r="N8" s="23" t="s">
        <v>166</v>
      </c>
      <c r="O8" s="23" t="s">
        <v>167</v>
      </c>
      <c r="P8" s="23" t="s">
        <v>168</v>
      </c>
      <c r="Q8" s="23" t="s">
        <v>169</v>
      </c>
      <c r="R8" s="23" t="s">
        <v>170</v>
      </c>
      <c r="S8" s="23" t="s">
        <v>171</v>
      </c>
      <c r="T8" s="23" t="s">
        <v>172</v>
      </c>
      <c r="U8" s="23" t="s">
        <v>173</v>
      </c>
      <c r="V8" s="23" t="s">
        <v>174</v>
      </c>
      <c r="W8" s="23" t="s">
        <v>175</v>
      </c>
      <c r="X8" s="23" t="s">
        <v>176</v>
      </c>
      <c r="Y8" s="23" t="s">
        <v>177</v>
      </c>
      <c r="Z8" s="23" t="s">
        <v>178</v>
      </c>
      <c r="AA8" s="23" t="s">
        <v>179</v>
      </c>
      <c r="AB8" s="23" t="s">
        <v>180</v>
      </c>
      <c r="AC8" s="23" t="s">
        <v>181</v>
      </c>
      <c r="AD8" s="23" t="s">
        <v>182</v>
      </c>
      <c r="AE8" s="23" t="s">
        <v>183</v>
      </c>
    </row>
    <row r="9" spans="1:32" hidden="1" x14ac:dyDescent="0.25">
      <c r="A9">
        <v>8</v>
      </c>
      <c r="B9" t="s">
        <v>32</v>
      </c>
      <c r="C9" t="s">
        <v>62</v>
      </c>
      <c r="D9" t="s">
        <v>34</v>
      </c>
      <c r="E9" t="s">
        <v>35</v>
      </c>
      <c r="F9" t="s">
        <v>162</v>
      </c>
      <c r="G9" t="s">
        <v>63</v>
      </c>
      <c r="H9" t="s">
        <v>64</v>
      </c>
      <c r="I9" t="s">
        <v>163</v>
      </c>
      <c r="J9" t="s">
        <v>65</v>
      </c>
      <c r="K9" t="s">
        <v>66</v>
      </c>
      <c r="L9" s="23" t="s">
        <v>184</v>
      </c>
      <c r="M9" s="23" t="s">
        <v>185</v>
      </c>
      <c r="N9" s="23" t="s">
        <v>103</v>
      </c>
      <c r="O9" s="23" t="s">
        <v>186</v>
      </c>
      <c r="P9" s="23" t="s">
        <v>187</v>
      </c>
      <c r="Q9" s="23" t="s">
        <v>188</v>
      </c>
      <c r="R9" s="23" t="s">
        <v>189</v>
      </c>
      <c r="S9" s="23" t="s">
        <v>190</v>
      </c>
      <c r="T9" s="23" t="s">
        <v>191</v>
      </c>
      <c r="U9" s="23" t="s">
        <v>192</v>
      </c>
      <c r="V9" s="23" t="s">
        <v>193</v>
      </c>
      <c r="W9" s="23" t="s">
        <v>194</v>
      </c>
      <c r="X9" s="23" t="s">
        <v>195</v>
      </c>
      <c r="Y9" s="23" t="s">
        <v>196</v>
      </c>
      <c r="Z9" s="23" t="s">
        <v>197</v>
      </c>
      <c r="AA9" s="23" t="s">
        <v>198</v>
      </c>
      <c r="AB9" s="23" t="s">
        <v>199</v>
      </c>
      <c r="AC9" s="23" t="s">
        <v>200</v>
      </c>
      <c r="AD9" s="23" t="s">
        <v>201</v>
      </c>
      <c r="AE9" s="23" t="s">
        <v>202</v>
      </c>
    </row>
    <row r="10" spans="1:32" hidden="1" x14ac:dyDescent="0.25">
      <c r="A10">
        <v>9</v>
      </c>
      <c r="B10" t="s">
        <v>32</v>
      </c>
      <c r="C10" t="s">
        <v>87</v>
      </c>
      <c r="D10" t="s">
        <v>34</v>
      </c>
      <c r="E10" t="s">
        <v>35</v>
      </c>
      <c r="F10" t="s">
        <v>162</v>
      </c>
      <c r="G10" t="s">
        <v>88</v>
      </c>
      <c r="H10" t="s">
        <v>89</v>
      </c>
      <c r="I10" t="s">
        <v>163</v>
      </c>
      <c r="J10" t="s">
        <v>90</v>
      </c>
      <c r="K10" t="s">
        <v>91</v>
      </c>
      <c r="L10" s="23" t="s">
        <v>152</v>
      </c>
      <c r="M10" s="23" t="s">
        <v>153</v>
      </c>
      <c r="N10" s="23" t="s">
        <v>104</v>
      </c>
      <c r="O10" s="23" t="s">
        <v>154</v>
      </c>
      <c r="P10" s="23" t="s">
        <v>203</v>
      </c>
      <c r="Q10" s="23" t="s">
        <v>68</v>
      </c>
      <c r="R10" s="23" t="s">
        <v>150</v>
      </c>
      <c r="S10" s="23" t="s">
        <v>204</v>
      </c>
      <c r="T10" s="23" t="s">
        <v>205</v>
      </c>
      <c r="U10" s="23" t="s">
        <v>122</v>
      </c>
      <c r="V10" s="23" t="s">
        <v>114</v>
      </c>
      <c r="W10" s="23" t="s">
        <v>141</v>
      </c>
      <c r="X10" s="23" t="s">
        <v>206</v>
      </c>
      <c r="Y10" s="23" t="s">
        <v>130</v>
      </c>
      <c r="Z10" s="23" t="s">
        <v>150</v>
      </c>
      <c r="AA10" s="23" t="s">
        <v>121</v>
      </c>
      <c r="AB10" s="23" t="s">
        <v>207</v>
      </c>
      <c r="AC10" s="23" t="s">
        <v>208</v>
      </c>
      <c r="AD10" s="23" t="s">
        <v>77</v>
      </c>
      <c r="AE10" s="23" t="s">
        <v>209</v>
      </c>
    </row>
    <row r="11" spans="1:32" hidden="1" x14ac:dyDescent="0.25">
      <c r="A11">
        <v>10</v>
      </c>
      <c r="B11" t="s">
        <v>32</v>
      </c>
      <c r="C11" t="s">
        <v>108</v>
      </c>
      <c r="D11" t="s">
        <v>34</v>
      </c>
      <c r="E11" t="s">
        <v>35</v>
      </c>
      <c r="F11" t="s">
        <v>162</v>
      </c>
      <c r="G11" t="s">
        <v>109</v>
      </c>
      <c r="H11" t="s">
        <v>110</v>
      </c>
      <c r="I11" t="s">
        <v>163</v>
      </c>
      <c r="J11" t="s">
        <v>111</v>
      </c>
      <c r="K11" t="s">
        <v>112</v>
      </c>
      <c r="L11" s="23" t="s">
        <v>69</v>
      </c>
      <c r="M11" s="23" t="s">
        <v>94</v>
      </c>
      <c r="N11" s="23" t="s">
        <v>114</v>
      </c>
      <c r="O11" s="23" t="s">
        <v>130</v>
      </c>
      <c r="P11" s="23" t="s">
        <v>116</v>
      </c>
      <c r="Q11" s="23" t="s">
        <v>32</v>
      </c>
      <c r="R11" s="23" t="s">
        <v>94</v>
      </c>
      <c r="S11" s="23" t="s">
        <v>210</v>
      </c>
      <c r="T11" s="23" t="s">
        <v>211</v>
      </c>
      <c r="U11" s="23" t="s">
        <v>114</v>
      </c>
      <c r="V11" s="23" t="s">
        <v>114</v>
      </c>
      <c r="W11" s="23" t="s">
        <v>211</v>
      </c>
      <c r="X11" s="23" t="s">
        <v>211</v>
      </c>
      <c r="Y11" s="23" t="s">
        <v>114</v>
      </c>
      <c r="Z11" s="23" t="s">
        <v>114</v>
      </c>
      <c r="AA11" s="23" t="s">
        <v>211</v>
      </c>
      <c r="AB11" s="23" t="s">
        <v>212</v>
      </c>
      <c r="AC11" s="23" t="s">
        <v>213</v>
      </c>
      <c r="AD11" s="23" t="s">
        <v>94</v>
      </c>
      <c r="AE11" s="23" t="s">
        <v>214</v>
      </c>
    </row>
    <row r="12" spans="1:32" hidden="1" x14ac:dyDescent="0.25">
      <c r="A12">
        <v>11</v>
      </c>
      <c r="B12" t="s">
        <v>32</v>
      </c>
      <c r="C12" t="s">
        <v>124</v>
      </c>
      <c r="D12" t="s">
        <v>34</v>
      </c>
      <c r="E12" t="s">
        <v>35</v>
      </c>
      <c r="F12" t="s">
        <v>162</v>
      </c>
      <c r="G12" t="s">
        <v>125</v>
      </c>
      <c r="H12" t="s">
        <v>126</v>
      </c>
      <c r="I12" t="s">
        <v>163</v>
      </c>
      <c r="J12" t="s">
        <v>127</v>
      </c>
      <c r="K12" t="s">
        <v>128</v>
      </c>
      <c r="L12" s="23" t="s">
        <v>215</v>
      </c>
      <c r="M12" s="23" t="s">
        <v>216</v>
      </c>
      <c r="N12" s="23" t="s">
        <v>217</v>
      </c>
      <c r="O12" s="23" t="s">
        <v>195</v>
      </c>
      <c r="P12" s="23" t="s">
        <v>218</v>
      </c>
      <c r="Q12" s="23" t="s">
        <v>219</v>
      </c>
      <c r="R12" s="23" t="s">
        <v>220</v>
      </c>
      <c r="S12" s="23" t="s">
        <v>221</v>
      </c>
      <c r="T12" s="23" t="s">
        <v>222</v>
      </c>
      <c r="U12" s="23" t="s">
        <v>223</v>
      </c>
      <c r="V12" s="23" t="s">
        <v>153</v>
      </c>
      <c r="W12" s="23" t="s">
        <v>224</v>
      </c>
      <c r="X12" s="23" t="s">
        <v>225</v>
      </c>
      <c r="Y12" s="23" t="s">
        <v>220</v>
      </c>
      <c r="Z12" s="23" t="s">
        <v>226</v>
      </c>
      <c r="AA12" s="23" t="s">
        <v>227</v>
      </c>
      <c r="AB12" s="23" t="s">
        <v>228</v>
      </c>
      <c r="AC12" s="23" t="s">
        <v>229</v>
      </c>
      <c r="AD12" s="23" t="s">
        <v>230</v>
      </c>
      <c r="AE12" s="23" t="s">
        <v>231</v>
      </c>
    </row>
    <row r="13" spans="1:32" hidden="1" x14ac:dyDescent="0.25">
      <c r="A13">
        <v>12</v>
      </c>
      <c r="B13" t="s">
        <v>32</v>
      </c>
      <c r="C13" t="s">
        <v>144</v>
      </c>
      <c r="D13" t="s">
        <v>34</v>
      </c>
      <c r="E13" t="s">
        <v>35</v>
      </c>
      <c r="F13" t="s">
        <v>162</v>
      </c>
      <c r="G13" t="s">
        <v>145</v>
      </c>
      <c r="H13" t="s">
        <v>146</v>
      </c>
      <c r="I13" t="s">
        <v>163</v>
      </c>
      <c r="J13" t="s">
        <v>147</v>
      </c>
      <c r="K13" t="s">
        <v>148</v>
      </c>
      <c r="L13" s="23" t="s">
        <v>81</v>
      </c>
      <c r="M13" s="23" t="s">
        <v>104</v>
      </c>
      <c r="N13" s="23" t="s">
        <v>114</v>
      </c>
      <c r="O13" s="23" t="s">
        <v>211</v>
      </c>
      <c r="P13" s="23" t="s">
        <v>52</v>
      </c>
      <c r="Q13" s="23" t="s">
        <v>32</v>
      </c>
      <c r="R13" s="23" t="s">
        <v>94</v>
      </c>
      <c r="S13" s="23" t="s">
        <v>232</v>
      </c>
      <c r="T13" s="23" t="s">
        <v>119</v>
      </c>
      <c r="U13" s="23" t="s">
        <v>104</v>
      </c>
      <c r="V13" s="23" t="s">
        <v>104</v>
      </c>
      <c r="W13" s="23" t="s">
        <v>185</v>
      </c>
      <c r="X13" s="23" t="s">
        <v>223</v>
      </c>
      <c r="Y13" s="23" t="s">
        <v>98</v>
      </c>
      <c r="Z13" s="23" t="s">
        <v>114</v>
      </c>
      <c r="AA13" s="23" t="s">
        <v>233</v>
      </c>
      <c r="AB13" s="23" t="s">
        <v>234</v>
      </c>
      <c r="AC13" s="23" t="s">
        <v>69</v>
      </c>
      <c r="AD13" s="23" t="s">
        <v>150</v>
      </c>
      <c r="AE13" s="23" t="s">
        <v>235</v>
      </c>
    </row>
    <row r="14" spans="1:32" hidden="1" x14ac:dyDescent="0.25">
      <c r="A14">
        <v>13</v>
      </c>
      <c r="B14" t="s">
        <v>213</v>
      </c>
      <c r="C14" t="s">
        <v>236</v>
      </c>
      <c r="D14" t="s">
        <v>237</v>
      </c>
      <c r="E14" t="s">
        <v>35</v>
      </c>
      <c r="F14" t="s">
        <v>36</v>
      </c>
      <c r="G14" t="s">
        <v>238</v>
      </c>
      <c r="H14" t="s">
        <v>239</v>
      </c>
      <c r="I14" t="s">
        <v>240</v>
      </c>
      <c r="J14" t="s">
        <v>241</v>
      </c>
      <c r="K14" t="s">
        <v>242</v>
      </c>
      <c r="L14" s="23" t="s">
        <v>243</v>
      </c>
      <c r="M14" s="23" t="s">
        <v>98</v>
      </c>
      <c r="N14" s="23" t="s">
        <v>114</v>
      </c>
      <c r="O14" s="23" t="s">
        <v>103</v>
      </c>
      <c r="P14" s="23" t="s">
        <v>97</v>
      </c>
      <c r="Q14" s="23" t="s">
        <v>32</v>
      </c>
      <c r="R14" s="23" t="s">
        <v>244</v>
      </c>
      <c r="S14" s="23" t="s">
        <v>245</v>
      </c>
      <c r="T14" s="23" t="s">
        <v>246</v>
      </c>
      <c r="U14" s="23" t="s">
        <v>114</v>
      </c>
      <c r="V14" s="23" t="s">
        <v>114</v>
      </c>
      <c r="W14" s="23" t="s">
        <v>246</v>
      </c>
      <c r="X14" s="23" t="s">
        <v>103</v>
      </c>
      <c r="Y14" s="23" t="s">
        <v>104</v>
      </c>
      <c r="Z14" s="23" t="s">
        <v>150</v>
      </c>
      <c r="AA14" s="23" t="s">
        <v>247</v>
      </c>
      <c r="AB14" s="23" t="s">
        <v>248</v>
      </c>
      <c r="AC14" s="23" t="s">
        <v>243</v>
      </c>
      <c r="AD14" s="23" t="s">
        <v>77</v>
      </c>
      <c r="AE14" s="23" t="s">
        <v>188</v>
      </c>
    </row>
    <row r="15" spans="1:32" hidden="1" x14ac:dyDescent="0.25">
      <c r="A15">
        <v>14</v>
      </c>
      <c r="B15" t="s">
        <v>213</v>
      </c>
      <c r="C15" t="s">
        <v>249</v>
      </c>
      <c r="D15" t="s">
        <v>237</v>
      </c>
      <c r="E15" t="s">
        <v>35</v>
      </c>
      <c r="F15" t="s">
        <v>36</v>
      </c>
      <c r="G15" t="s">
        <v>250</v>
      </c>
      <c r="H15" t="s">
        <v>239</v>
      </c>
      <c r="I15" t="s">
        <v>240</v>
      </c>
      <c r="J15" t="s">
        <v>251</v>
      </c>
      <c r="K15" t="s">
        <v>252</v>
      </c>
      <c r="L15" s="23" t="s">
        <v>123</v>
      </c>
      <c r="M15" s="23" t="s">
        <v>253</v>
      </c>
      <c r="N15" s="23" t="s">
        <v>98</v>
      </c>
      <c r="O15" s="23" t="s">
        <v>254</v>
      </c>
      <c r="P15" s="23" t="s">
        <v>255</v>
      </c>
      <c r="Q15" s="23" t="s">
        <v>256</v>
      </c>
      <c r="R15" s="23" t="s">
        <v>257</v>
      </c>
      <c r="S15" s="23" t="s">
        <v>258</v>
      </c>
      <c r="T15" s="23" t="s">
        <v>259</v>
      </c>
      <c r="U15" s="23" t="s">
        <v>103</v>
      </c>
      <c r="V15" s="23" t="s">
        <v>150</v>
      </c>
      <c r="W15" s="23" t="s">
        <v>260</v>
      </c>
      <c r="X15" s="23" t="s">
        <v>261</v>
      </c>
      <c r="Y15" s="23" t="s">
        <v>253</v>
      </c>
      <c r="Z15" s="23" t="s">
        <v>213</v>
      </c>
      <c r="AA15" s="23" t="s">
        <v>262</v>
      </c>
      <c r="AB15" s="23" t="s">
        <v>263</v>
      </c>
      <c r="AC15" s="23" t="s">
        <v>264</v>
      </c>
      <c r="AD15" s="23" t="s">
        <v>151</v>
      </c>
      <c r="AE15" s="23" t="s">
        <v>265</v>
      </c>
    </row>
    <row r="16" spans="1:32" hidden="1" x14ac:dyDescent="0.25">
      <c r="A16">
        <v>15</v>
      </c>
      <c r="B16" t="s">
        <v>213</v>
      </c>
      <c r="C16" t="s">
        <v>266</v>
      </c>
      <c r="D16" t="s">
        <v>237</v>
      </c>
      <c r="E16" t="s">
        <v>35</v>
      </c>
      <c r="F16" t="s">
        <v>36</v>
      </c>
      <c r="G16" t="s">
        <v>267</v>
      </c>
      <c r="H16" t="s">
        <v>268</v>
      </c>
      <c r="I16" t="s">
        <v>240</v>
      </c>
      <c r="J16" t="s">
        <v>269</v>
      </c>
      <c r="K16" t="s">
        <v>270</v>
      </c>
      <c r="L16" s="23" t="s">
        <v>271</v>
      </c>
      <c r="M16" s="23" t="s">
        <v>80</v>
      </c>
      <c r="N16" s="23" t="s">
        <v>103</v>
      </c>
      <c r="O16" s="23" t="s">
        <v>272</v>
      </c>
      <c r="P16" s="23" t="s">
        <v>273</v>
      </c>
      <c r="Q16" s="23" t="s">
        <v>274</v>
      </c>
      <c r="R16" s="23" t="s">
        <v>275</v>
      </c>
      <c r="S16" s="23" t="s">
        <v>276</v>
      </c>
      <c r="T16" s="23" t="s">
        <v>277</v>
      </c>
      <c r="U16" s="23" t="s">
        <v>278</v>
      </c>
      <c r="V16" s="23" t="s">
        <v>243</v>
      </c>
      <c r="W16" s="23" t="s">
        <v>279</v>
      </c>
      <c r="X16" s="23" t="s">
        <v>280</v>
      </c>
      <c r="Y16" s="23" t="s">
        <v>281</v>
      </c>
      <c r="Z16" s="23" t="s">
        <v>282</v>
      </c>
      <c r="AA16" s="23" t="s">
        <v>283</v>
      </c>
      <c r="AB16" s="23" t="s">
        <v>284</v>
      </c>
      <c r="AC16" s="23" t="s">
        <v>285</v>
      </c>
      <c r="AD16" s="23" t="s">
        <v>166</v>
      </c>
      <c r="AE16" s="23" t="s">
        <v>286</v>
      </c>
    </row>
    <row r="17" spans="1:31" hidden="1" x14ac:dyDescent="0.25">
      <c r="A17">
        <v>16</v>
      </c>
      <c r="B17" t="s">
        <v>213</v>
      </c>
      <c r="C17" t="s">
        <v>287</v>
      </c>
      <c r="D17" t="s">
        <v>237</v>
      </c>
      <c r="E17" t="s">
        <v>35</v>
      </c>
      <c r="F17" t="s">
        <v>36</v>
      </c>
      <c r="G17" t="s">
        <v>288</v>
      </c>
      <c r="H17" t="s">
        <v>289</v>
      </c>
      <c r="I17" t="s">
        <v>240</v>
      </c>
      <c r="J17" t="s">
        <v>290</v>
      </c>
      <c r="K17" t="s">
        <v>291</v>
      </c>
      <c r="L17" s="23" t="s">
        <v>292</v>
      </c>
      <c r="M17" s="23" t="s">
        <v>247</v>
      </c>
      <c r="N17" s="23" t="s">
        <v>104</v>
      </c>
      <c r="O17" s="23" t="s">
        <v>293</v>
      </c>
      <c r="P17" s="23" t="s">
        <v>294</v>
      </c>
      <c r="Q17" s="23" t="s">
        <v>295</v>
      </c>
      <c r="R17" s="23" t="s">
        <v>213</v>
      </c>
      <c r="S17" s="23" t="s">
        <v>296</v>
      </c>
      <c r="T17" s="23" t="s">
        <v>206</v>
      </c>
      <c r="U17" s="23" t="s">
        <v>77</v>
      </c>
      <c r="V17" s="23" t="s">
        <v>114</v>
      </c>
      <c r="W17" s="23" t="s">
        <v>43</v>
      </c>
      <c r="X17" s="23" t="s">
        <v>191</v>
      </c>
      <c r="Y17" s="23" t="s">
        <v>297</v>
      </c>
      <c r="Z17" s="23" t="s">
        <v>104</v>
      </c>
      <c r="AA17" s="23" t="s">
        <v>194</v>
      </c>
      <c r="AB17" s="23" t="s">
        <v>298</v>
      </c>
      <c r="AC17" s="23" t="s">
        <v>166</v>
      </c>
      <c r="AD17" s="23" t="s">
        <v>246</v>
      </c>
      <c r="AE17" s="23" t="s">
        <v>299</v>
      </c>
    </row>
    <row r="18" spans="1:31" hidden="1" x14ac:dyDescent="0.25">
      <c r="A18">
        <v>17</v>
      </c>
      <c r="B18" t="s">
        <v>213</v>
      </c>
      <c r="C18" t="s">
        <v>236</v>
      </c>
      <c r="D18" t="s">
        <v>237</v>
      </c>
      <c r="E18" t="s">
        <v>35</v>
      </c>
      <c r="F18" t="s">
        <v>162</v>
      </c>
      <c r="G18" t="s">
        <v>238</v>
      </c>
      <c r="H18" t="s">
        <v>239</v>
      </c>
      <c r="I18" t="s">
        <v>300</v>
      </c>
      <c r="J18" t="s">
        <v>241</v>
      </c>
      <c r="K18" t="s">
        <v>242</v>
      </c>
      <c r="L18" s="23" t="s">
        <v>257</v>
      </c>
      <c r="M18" s="23" t="s">
        <v>150</v>
      </c>
      <c r="N18" s="23" t="s">
        <v>94</v>
      </c>
      <c r="O18" s="23" t="s">
        <v>153</v>
      </c>
      <c r="P18" s="23" t="s">
        <v>68</v>
      </c>
      <c r="Q18" s="23" t="s">
        <v>158</v>
      </c>
      <c r="R18" s="23" t="s">
        <v>114</v>
      </c>
      <c r="S18" s="23" t="s">
        <v>81</v>
      </c>
      <c r="T18" s="23" t="s">
        <v>246</v>
      </c>
      <c r="U18" s="23" t="s">
        <v>114</v>
      </c>
      <c r="V18" s="23" t="s">
        <v>114</v>
      </c>
      <c r="W18" s="23" t="s">
        <v>246</v>
      </c>
      <c r="X18" s="23" t="s">
        <v>253</v>
      </c>
      <c r="Y18" s="23" t="s">
        <v>94</v>
      </c>
      <c r="Z18" s="23" t="s">
        <v>98</v>
      </c>
      <c r="AA18" s="23" t="s">
        <v>297</v>
      </c>
      <c r="AB18" s="23" t="s">
        <v>301</v>
      </c>
      <c r="AC18" s="23" t="s">
        <v>213</v>
      </c>
      <c r="AD18" s="23" t="s">
        <v>244</v>
      </c>
      <c r="AE18" s="23" t="s">
        <v>302</v>
      </c>
    </row>
    <row r="19" spans="1:31" hidden="1" x14ac:dyDescent="0.25">
      <c r="A19">
        <v>18</v>
      </c>
      <c r="B19" t="s">
        <v>213</v>
      </c>
      <c r="C19" t="s">
        <v>249</v>
      </c>
      <c r="D19" t="s">
        <v>237</v>
      </c>
      <c r="E19" t="s">
        <v>35</v>
      </c>
      <c r="F19" t="s">
        <v>162</v>
      </c>
      <c r="G19" t="s">
        <v>250</v>
      </c>
      <c r="H19" t="s">
        <v>239</v>
      </c>
      <c r="I19" t="s">
        <v>300</v>
      </c>
      <c r="J19" t="s">
        <v>251</v>
      </c>
      <c r="K19" t="s">
        <v>252</v>
      </c>
      <c r="L19" s="23" t="s">
        <v>303</v>
      </c>
      <c r="M19" s="23" t="s">
        <v>217</v>
      </c>
      <c r="N19" s="23" t="s">
        <v>98</v>
      </c>
      <c r="O19" s="23" t="s">
        <v>304</v>
      </c>
      <c r="P19" s="23" t="s">
        <v>305</v>
      </c>
      <c r="Q19" s="23" t="s">
        <v>113</v>
      </c>
      <c r="R19" s="23" t="s">
        <v>93</v>
      </c>
      <c r="S19" s="23" t="s">
        <v>306</v>
      </c>
      <c r="T19" s="23" t="s">
        <v>307</v>
      </c>
      <c r="U19" s="23" t="s">
        <v>243</v>
      </c>
      <c r="V19" s="23" t="s">
        <v>244</v>
      </c>
      <c r="W19" s="23" t="s">
        <v>308</v>
      </c>
      <c r="X19" s="23" t="s">
        <v>309</v>
      </c>
      <c r="Y19" s="23" t="s">
        <v>246</v>
      </c>
      <c r="Z19" s="23" t="s">
        <v>32</v>
      </c>
      <c r="AA19" s="23" t="s">
        <v>310</v>
      </c>
      <c r="AB19" s="23" t="s">
        <v>311</v>
      </c>
      <c r="AC19" s="23" t="s">
        <v>312</v>
      </c>
      <c r="AD19" s="23" t="s">
        <v>253</v>
      </c>
      <c r="AE19" s="23" t="s">
        <v>313</v>
      </c>
    </row>
    <row r="20" spans="1:31" hidden="1" x14ac:dyDescent="0.25">
      <c r="A20">
        <v>19</v>
      </c>
      <c r="B20" t="s">
        <v>213</v>
      </c>
      <c r="C20" t="s">
        <v>266</v>
      </c>
      <c r="D20" t="s">
        <v>237</v>
      </c>
      <c r="E20" t="s">
        <v>35</v>
      </c>
      <c r="F20" t="s">
        <v>162</v>
      </c>
      <c r="G20" t="s">
        <v>267</v>
      </c>
      <c r="H20" t="s">
        <v>268</v>
      </c>
      <c r="I20" t="s">
        <v>300</v>
      </c>
      <c r="J20" t="s">
        <v>269</v>
      </c>
      <c r="K20" t="s">
        <v>270</v>
      </c>
      <c r="L20" s="23" t="s">
        <v>314</v>
      </c>
      <c r="M20" s="23" t="s">
        <v>315</v>
      </c>
      <c r="N20" s="23" t="s">
        <v>32</v>
      </c>
      <c r="O20" s="23" t="s">
        <v>316</v>
      </c>
      <c r="P20" s="23" t="s">
        <v>317</v>
      </c>
      <c r="Q20" s="23" t="s">
        <v>318</v>
      </c>
      <c r="R20" s="23" t="s">
        <v>319</v>
      </c>
      <c r="S20" s="23" t="s">
        <v>320</v>
      </c>
      <c r="T20" s="23" t="s">
        <v>321</v>
      </c>
      <c r="U20" s="23" t="s">
        <v>322</v>
      </c>
      <c r="V20" s="23" t="s">
        <v>197</v>
      </c>
      <c r="W20" s="23" t="s">
        <v>323</v>
      </c>
      <c r="X20" s="23" t="s">
        <v>324</v>
      </c>
      <c r="Y20" s="23" t="s">
        <v>322</v>
      </c>
      <c r="Z20" s="23" t="s">
        <v>130</v>
      </c>
      <c r="AA20" s="23" t="s">
        <v>325</v>
      </c>
      <c r="AB20" s="23" t="s">
        <v>326</v>
      </c>
      <c r="AC20" s="23" t="s">
        <v>327</v>
      </c>
      <c r="AD20" s="23" t="s">
        <v>259</v>
      </c>
      <c r="AE20" s="23" t="s">
        <v>328</v>
      </c>
    </row>
    <row r="21" spans="1:31" hidden="1" x14ac:dyDescent="0.25">
      <c r="A21">
        <v>20</v>
      </c>
      <c r="B21" t="s">
        <v>213</v>
      </c>
      <c r="C21" t="s">
        <v>287</v>
      </c>
      <c r="D21" t="s">
        <v>237</v>
      </c>
      <c r="E21" t="s">
        <v>35</v>
      </c>
      <c r="F21" t="s">
        <v>162</v>
      </c>
      <c r="G21" t="s">
        <v>288</v>
      </c>
      <c r="H21" t="s">
        <v>289</v>
      </c>
      <c r="I21" t="s">
        <v>300</v>
      </c>
      <c r="J21" t="s">
        <v>290</v>
      </c>
      <c r="K21" t="s">
        <v>291</v>
      </c>
      <c r="L21" s="23" t="s">
        <v>329</v>
      </c>
      <c r="M21" s="23" t="s">
        <v>257</v>
      </c>
      <c r="N21" s="23" t="s">
        <v>98</v>
      </c>
      <c r="O21" s="23" t="s">
        <v>330</v>
      </c>
      <c r="P21" s="23" t="s">
        <v>331</v>
      </c>
      <c r="Q21" s="23" t="s">
        <v>120</v>
      </c>
      <c r="R21" s="23" t="s">
        <v>77</v>
      </c>
      <c r="S21" s="23" t="s">
        <v>332</v>
      </c>
      <c r="T21" s="23" t="s">
        <v>333</v>
      </c>
      <c r="U21" s="23" t="s">
        <v>69</v>
      </c>
      <c r="V21" s="23" t="s">
        <v>114</v>
      </c>
      <c r="W21" s="23" t="s">
        <v>334</v>
      </c>
      <c r="X21" s="23" t="s">
        <v>335</v>
      </c>
      <c r="Y21" s="23" t="s">
        <v>336</v>
      </c>
      <c r="Z21" s="23" t="s">
        <v>104</v>
      </c>
      <c r="AA21" s="23" t="s">
        <v>337</v>
      </c>
      <c r="AB21" s="23" t="s">
        <v>338</v>
      </c>
      <c r="AC21" s="23" t="s">
        <v>174</v>
      </c>
      <c r="AD21" s="23" t="s">
        <v>246</v>
      </c>
      <c r="AE21" s="23" t="s">
        <v>339</v>
      </c>
    </row>
    <row r="22" spans="1:31" hidden="1" x14ac:dyDescent="0.25">
      <c r="A22">
        <v>21</v>
      </c>
      <c r="B22" t="s">
        <v>93</v>
      </c>
      <c r="C22" t="s">
        <v>340</v>
      </c>
      <c r="D22" t="s">
        <v>341</v>
      </c>
      <c r="E22" t="s">
        <v>35</v>
      </c>
      <c r="F22" t="s">
        <v>36</v>
      </c>
      <c r="G22" t="s">
        <v>342</v>
      </c>
      <c r="H22" t="s">
        <v>343</v>
      </c>
      <c r="I22" t="s">
        <v>39</v>
      </c>
      <c r="J22" t="s">
        <v>344</v>
      </c>
      <c r="K22" t="s">
        <v>345</v>
      </c>
      <c r="L22" s="23" t="s">
        <v>346</v>
      </c>
      <c r="M22" s="23" t="s">
        <v>51</v>
      </c>
      <c r="N22" s="23" t="s">
        <v>347</v>
      </c>
      <c r="O22" s="23" t="s">
        <v>348</v>
      </c>
      <c r="P22" s="23" t="s">
        <v>349</v>
      </c>
      <c r="Q22" s="23" t="s">
        <v>350</v>
      </c>
      <c r="R22" s="23" t="s">
        <v>157</v>
      </c>
      <c r="S22" s="23" t="s">
        <v>351</v>
      </c>
      <c r="T22" s="23" t="s">
        <v>352</v>
      </c>
      <c r="U22" s="23" t="s">
        <v>80</v>
      </c>
      <c r="V22" s="23" t="s">
        <v>122</v>
      </c>
      <c r="W22" s="23" t="s">
        <v>353</v>
      </c>
      <c r="X22" s="23" t="s">
        <v>354</v>
      </c>
      <c r="Y22" s="23" t="s">
        <v>309</v>
      </c>
      <c r="Z22" s="23" t="s">
        <v>118</v>
      </c>
      <c r="AA22" s="23" t="s">
        <v>355</v>
      </c>
      <c r="AB22" s="23" t="s">
        <v>356</v>
      </c>
      <c r="AC22" s="23" t="s">
        <v>357</v>
      </c>
      <c r="AD22" s="23" t="s">
        <v>358</v>
      </c>
      <c r="AE22" s="23" t="s">
        <v>359</v>
      </c>
    </row>
    <row r="23" spans="1:31" hidden="1" x14ac:dyDescent="0.25">
      <c r="A23">
        <v>22</v>
      </c>
      <c r="B23" t="s">
        <v>193</v>
      </c>
      <c r="C23" t="s">
        <v>360</v>
      </c>
      <c r="D23" t="s">
        <v>341</v>
      </c>
      <c r="E23" t="s">
        <v>35</v>
      </c>
      <c r="F23" t="s">
        <v>36</v>
      </c>
      <c r="G23" t="s">
        <v>361</v>
      </c>
      <c r="H23" t="s">
        <v>362</v>
      </c>
      <c r="I23" t="s">
        <v>39</v>
      </c>
      <c r="J23" t="s">
        <v>363</v>
      </c>
      <c r="K23" t="s">
        <v>364</v>
      </c>
      <c r="L23" s="23" t="s">
        <v>365</v>
      </c>
      <c r="M23" s="23" t="s">
        <v>366</v>
      </c>
      <c r="N23" s="23" t="s">
        <v>32</v>
      </c>
      <c r="O23" s="23" t="s">
        <v>367</v>
      </c>
      <c r="P23" s="23" t="s">
        <v>368</v>
      </c>
      <c r="Q23" s="23" t="s">
        <v>369</v>
      </c>
      <c r="R23" s="23" t="s">
        <v>297</v>
      </c>
      <c r="S23" s="23" t="s">
        <v>370</v>
      </c>
      <c r="T23" s="23" t="s">
        <v>371</v>
      </c>
      <c r="U23" s="23" t="s">
        <v>72</v>
      </c>
      <c r="V23" s="23" t="s">
        <v>32</v>
      </c>
      <c r="W23" s="23" t="s">
        <v>372</v>
      </c>
      <c r="X23" s="23" t="s">
        <v>373</v>
      </c>
      <c r="Y23" s="23" t="s">
        <v>374</v>
      </c>
      <c r="Z23" s="23" t="s">
        <v>246</v>
      </c>
      <c r="AA23" s="23" t="s">
        <v>375</v>
      </c>
      <c r="AB23" s="23" t="s">
        <v>376</v>
      </c>
      <c r="AC23" s="23" t="s">
        <v>377</v>
      </c>
      <c r="AD23" s="23" t="s">
        <v>295</v>
      </c>
      <c r="AE23" s="23" t="s">
        <v>378</v>
      </c>
    </row>
    <row r="24" spans="1:31" hidden="1" x14ac:dyDescent="0.25">
      <c r="A24">
        <v>23</v>
      </c>
      <c r="B24" t="s">
        <v>193</v>
      </c>
      <c r="C24" t="s">
        <v>379</v>
      </c>
      <c r="D24" t="s">
        <v>341</v>
      </c>
      <c r="E24" t="s">
        <v>35</v>
      </c>
      <c r="F24" t="s">
        <v>36</v>
      </c>
      <c r="G24" t="s">
        <v>380</v>
      </c>
      <c r="H24" t="s">
        <v>381</v>
      </c>
      <c r="I24" t="s">
        <v>39</v>
      </c>
      <c r="J24" t="s">
        <v>382</v>
      </c>
      <c r="K24" t="s">
        <v>383</v>
      </c>
      <c r="L24" s="23" t="s">
        <v>384</v>
      </c>
      <c r="M24" s="23" t="s">
        <v>297</v>
      </c>
      <c r="N24" s="23" t="s">
        <v>122</v>
      </c>
      <c r="O24" s="23" t="s">
        <v>385</v>
      </c>
      <c r="P24" s="23" t="s">
        <v>386</v>
      </c>
      <c r="Q24" s="23" t="s">
        <v>301</v>
      </c>
      <c r="R24" s="23" t="s">
        <v>213</v>
      </c>
      <c r="S24" s="23" t="s">
        <v>387</v>
      </c>
      <c r="T24" s="23" t="s">
        <v>388</v>
      </c>
      <c r="U24" s="23" t="s">
        <v>103</v>
      </c>
      <c r="V24" s="23" t="s">
        <v>94</v>
      </c>
      <c r="W24" s="23" t="s">
        <v>389</v>
      </c>
      <c r="X24" s="23" t="s">
        <v>169</v>
      </c>
      <c r="Y24" s="23" t="s">
        <v>97</v>
      </c>
      <c r="Z24" s="23" t="s">
        <v>122</v>
      </c>
      <c r="AA24" s="23" t="s">
        <v>390</v>
      </c>
      <c r="AB24" s="23" t="s">
        <v>391</v>
      </c>
      <c r="AC24" s="23" t="s">
        <v>392</v>
      </c>
      <c r="AD24" s="23" t="s">
        <v>336</v>
      </c>
      <c r="AE24" s="23" t="s">
        <v>393</v>
      </c>
    </row>
    <row r="25" spans="1:31" hidden="1" x14ac:dyDescent="0.25">
      <c r="A25">
        <v>24</v>
      </c>
      <c r="B25" t="s">
        <v>193</v>
      </c>
      <c r="C25" t="s">
        <v>394</v>
      </c>
      <c r="D25" t="s">
        <v>341</v>
      </c>
      <c r="E25" t="s">
        <v>35</v>
      </c>
      <c r="F25" t="s">
        <v>36</v>
      </c>
      <c r="G25" t="s">
        <v>395</v>
      </c>
      <c r="H25" t="s">
        <v>396</v>
      </c>
      <c r="I25" t="s">
        <v>39</v>
      </c>
      <c r="J25" t="s">
        <v>397</v>
      </c>
      <c r="K25" t="s">
        <v>398</v>
      </c>
      <c r="L25" s="23" t="s">
        <v>399</v>
      </c>
      <c r="M25" s="23" t="s">
        <v>400</v>
      </c>
      <c r="N25" s="23" t="s">
        <v>92</v>
      </c>
      <c r="O25" s="23" t="s">
        <v>401</v>
      </c>
      <c r="P25" s="23" t="s">
        <v>402</v>
      </c>
      <c r="Q25" s="23" t="s">
        <v>403</v>
      </c>
      <c r="R25" s="23" t="s">
        <v>404</v>
      </c>
      <c r="S25" s="23" t="s">
        <v>405</v>
      </c>
      <c r="T25" s="23" t="s">
        <v>406</v>
      </c>
      <c r="U25" s="23" t="s">
        <v>407</v>
      </c>
      <c r="V25" s="23" t="s">
        <v>408</v>
      </c>
      <c r="W25" s="23" t="s">
        <v>409</v>
      </c>
      <c r="X25" s="23" t="s">
        <v>410</v>
      </c>
      <c r="Y25" s="23" t="s">
        <v>411</v>
      </c>
      <c r="Z25" s="23" t="s">
        <v>412</v>
      </c>
      <c r="AA25" s="23" t="s">
        <v>413</v>
      </c>
      <c r="AB25" s="23" t="s">
        <v>414</v>
      </c>
      <c r="AC25" s="23" t="s">
        <v>415</v>
      </c>
      <c r="AD25" s="23" t="s">
        <v>416</v>
      </c>
      <c r="AE25" s="23" t="s">
        <v>417</v>
      </c>
    </row>
    <row r="26" spans="1:31" hidden="1" x14ac:dyDescent="0.25">
      <c r="A26">
        <v>25</v>
      </c>
      <c r="B26" t="s">
        <v>193</v>
      </c>
      <c r="C26" t="s">
        <v>418</v>
      </c>
      <c r="D26" t="s">
        <v>341</v>
      </c>
      <c r="E26" t="s">
        <v>35</v>
      </c>
      <c r="F26" t="s">
        <v>36</v>
      </c>
      <c r="G26" t="s">
        <v>109</v>
      </c>
      <c r="H26" t="s">
        <v>419</v>
      </c>
      <c r="I26" t="s">
        <v>39</v>
      </c>
      <c r="J26" t="s">
        <v>420</v>
      </c>
      <c r="K26" t="s">
        <v>421</v>
      </c>
      <c r="L26" s="23" t="s">
        <v>422</v>
      </c>
      <c r="M26" s="23" t="s">
        <v>256</v>
      </c>
      <c r="N26" s="23" t="s">
        <v>69</v>
      </c>
      <c r="O26" s="23" t="s">
        <v>423</v>
      </c>
      <c r="P26" s="23" t="s">
        <v>424</v>
      </c>
      <c r="Q26" s="23" t="s">
        <v>425</v>
      </c>
      <c r="R26" s="23" t="s">
        <v>426</v>
      </c>
      <c r="S26" s="23" t="s">
        <v>427</v>
      </c>
      <c r="T26" s="23" t="s">
        <v>428</v>
      </c>
      <c r="U26" s="23" t="s">
        <v>103</v>
      </c>
      <c r="V26" s="23" t="s">
        <v>104</v>
      </c>
      <c r="W26" s="23" t="s">
        <v>429</v>
      </c>
      <c r="X26" s="23" t="s">
        <v>430</v>
      </c>
      <c r="Y26" s="23" t="s">
        <v>120</v>
      </c>
      <c r="Z26" s="23" t="s">
        <v>69</v>
      </c>
      <c r="AA26" s="23" t="s">
        <v>431</v>
      </c>
      <c r="AB26" s="23" t="s">
        <v>432</v>
      </c>
      <c r="AC26" s="23" t="s">
        <v>433</v>
      </c>
      <c r="AD26" s="23" t="s">
        <v>208</v>
      </c>
      <c r="AE26" s="23" t="s">
        <v>434</v>
      </c>
    </row>
    <row r="27" spans="1:31" hidden="1" x14ac:dyDescent="0.25">
      <c r="A27">
        <v>26</v>
      </c>
      <c r="B27" t="s">
        <v>193</v>
      </c>
      <c r="C27" t="s">
        <v>435</v>
      </c>
      <c r="D27" t="s">
        <v>341</v>
      </c>
      <c r="E27" t="s">
        <v>35</v>
      </c>
      <c r="F27" t="s">
        <v>36</v>
      </c>
      <c r="G27" t="s">
        <v>436</v>
      </c>
      <c r="H27" t="s">
        <v>437</v>
      </c>
      <c r="I27" t="s">
        <v>39</v>
      </c>
      <c r="J27" t="s">
        <v>438</v>
      </c>
      <c r="K27" t="s">
        <v>439</v>
      </c>
      <c r="L27" s="23" t="s">
        <v>98</v>
      </c>
      <c r="M27" s="23" t="s">
        <v>114</v>
      </c>
      <c r="N27" s="23" t="s">
        <v>114</v>
      </c>
      <c r="O27" s="23" t="s">
        <v>98</v>
      </c>
      <c r="P27" s="23" t="s">
        <v>103</v>
      </c>
      <c r="Q27" s="23" t="s">
        <v>104</v>
      </c>
      <c r="R27" s="23" t="s">
        <v>94</v>
      </c>
      <c r="S27" s="23" t="s">
        <v>347</v>
      </c>
      <c r="T27" s="23" t="s">
        <v>213</v>
      </c>
      <c r="U27" s="23" t="s">
        <v>94</v>
      </c>
      <c r="V27" s="23" t="s">
        <v>114</v>
      </c>
      <c r="W27" s="23" t="s">
        <v>193</v>
      </c>
      <c r="X27" s="23" t="s">
        <v>257</v>
      </c>
      <c r="Y27" s="23" t="s">
        <v>114</v>
      </c>
      <c r="Z27" s="23" t="s">
        <v>114</v>
      </c>
      <c r="AA27" s="23" t="s">
        <v>257</v>
      </c>
      <c r="AB27" s="23" t="s">
        <v>426</v>
      </c>
      <c r="AC27" s="23" t="s">
        <v>150</v>
      </c>
      <c r="AD27" s="23" t="s">
        <v>94</v>
      </c>
      <c r="AE27" s="23" t="s">
        <v>155</v>
      </c>
    </row>
    <row r="28" spans="1:31" hidden="1" x14ac:dyDescent="0.25">
      <c r="A28">
        <v>27</v>
      </c>
      <c r="B28" t="s">
        <v>193</v>
      </c>
      <c r="C28" t="s">
        <v>440</v>
      </c>
      <c r="D28" t="s">
        <v>341</v>
      </c>
      <c r="E28" t="s">
        <v>35</v>
      </c>
      <c r="F28" t="s">
        <v>36</v>
      </c>
      <c r="G28" t="s">
        <v>441</v>
      </c>
      <c r="H28" t="s">
        <v>437</v>
      </c>
      <c r="I28" t="s">
        <v>39</v>
      </c>
      <c r="J28" t="s">
        <v>438</v>
      </c>
      <c r="K28" t="s">
        <v>442</v>
      </c>
      <c r="L28" s="23" t="s">
        <v>443</v>
      </c>
      <c r="M28" s="23" t="s">
        <v>444</v>
      </c>
      <c r="N28" s="23" t="s">
        <v>103</v>
      </c>
      <c r="O28" s="23" t="s">
        <v>445</v>
      </c>
      <c r="P28" s="23" t="s">
        <v>446</v>
      </c>
      <c r="Q28" s="23" t="s">
        <v>358</v>
      </c>
      <c r="R28" s="23" t="s">
        <v>253</v>
      </c>
      <c r="S28" s="23" t="s">
        <v>447</v>
      </c>
      <c r="T28" s="23" t="s">
        <v>448</v>
      </c>
      <c r="U28" s="23" t="s">
        <v>247</v>
      </c>
      <c r="V28" s="23" t="s">
        <v>94</v>
      </c>
      <c r="W28" s="23" t="s">
        <v>449</v>
      </c>
      <c r="X28" s="23" t="s">
        <v>450</v>
      </c>
      <c r="Y28" s="23" t="s">
        <v>451</v>
      </c>
      <c r="Z28" s="23" t="s">
        <v>151</v>
      </c>
      <c r="AA28" s="23" t="s">
        <v>452</v>
      </c>
      <c r="AB28" s="23" t="s">
        <v>453</v>
      </c>
      <c r="AC28" s="23" t="s">
        <v>454</v>
      </c>
      <c r="AD28" s="23" t="s">
        <v>455</v>
      </c>
      <c r="AE28" s="23" t="s">
        <v>456</v>
      </c>
    </row>
    <row r="29" spans="1:31" hidden="1" x14ac:dyDescent="0.25">
      <c r="A29">
        <v>28</v>
      </c>
      <c r="B29" t="s">
        <v>193</v>
      </c>
      <c r="C29" t="s">
        <v>457</v>
      </c>
      <c r="D29" t="s">
        <v>341</v>
      </c>
      <c r="E29" t="s">
        <v>35</v>
      </c>
      <c r="F29" t="s">
        <v>36</v>
      </c>
      <c r="G29" t="s">
        <v>458</v>
      </c>
      <c r="H29" t="s">
        <v>459</v>
      </c>
      <c r="I29" t="s">
        <v>39</v>
      </c>
      <c r="J29" t="s">
        <v>460</v>
      </c>
      <c r="K29" t="s">
        <v>461</v>
      </c>
      <c r="L29" s="23" t="s">
        <v>165</v>
      </c>
      <c r="M29" s="23" t="s">
        <v>226</v>
      </c>
      <c r="N29" s="23" t="s">
        <v>98</v>
      </c>
      <c r="O29" s="23" t="s">
        <v>462</v>
      </c>
      <c r="P29" s="23" t="s">
        <v>463</v>
      </c>
      <c r="Q29" s="23" t="s">
        <v>220</v>
      </c>
      <c r="R29" s="23" t="s">
        <v>98</v>
      </c>
      <c r="S29" s="23" t="s">
        <v>464</v>
      </c>
      <c r="T29" s="23" t="s">
        <v>465</v>
      </c>
      <c r="U29" s="23" t="s">
        <v>192</v>
      </c>
      <c r="V29" s="23" t="s">
        <v>94</v>
      </c>
      <c r="W29" s="23" t="s">
        <v>466</v>
      </c>
      <c r="X29" s="23" t="s">
        <v>467</v>
      </c>
      <c r="Y29" s="23" t="s">
        <v>468</v>
      </c>
      <c r="Z29" s="23" t="s">
        <v>158</v>
      </c>
      <c r="AA29" s="23" t="s">
        <v>469</v>
      </c>
      <c r="AB29" s="23" t="s">
        <v>470</v>
      </c>
      <c r="AC29" s="23" t="s">
        <v>206</v>
      </c>
      <c r="AD29" s="23" t="s">
        <v>243</v>
      </c>
      <c r="AE29" s="23" t="s">
        <v>471</v>
      </c>
    </row>
    <row r="30" spans="1:31" hidden="1" x14ac:dyDescent="0.25">
      <c r="A30">
        <v>29</v>
      </c>
      <c r="B30" t="s">
        <v>193</v>
      </c>
      <c r="C30" t="s">
        <v>472</v>
      </c>
      <c r="D30" t="s">
        <v>341</v>
      </c>
      <c r="E30" t="s">
        <v>35</v>
      </c>
      <c r="F30" t="s">
        <v>36</v>
      </c>
      <c r="G30" t="s">
        <v>473</v>
      </c>
      <c r="H30" t="s">
        <v>474</v>
      </c>
      <c r="I30" t="s">
        <v>39</v>
      </c>
      <c r="J30" t="s">
        <v>475</v>
      </c>
      <c r="K30" t="s">
        <v>476</v>
      </c>
      <c r="L30" s="23" t="s">
        <v>76</v>
      </c>
      <c r="M30" s="23" t="s">
        <v>150</v>
      </c>
      <c r="N30" s="23" t="s">
        <v>114</v>
      </c>
      <c r="O30" s="23" t="s">
        <v>119</v>
      </c>
      <c r="P30" s="23" t="s">
        <v>477</v>
      </c>
      <c r="Q30" s="23" t="s">
        <v>244</v>
      </c>
      <c r="R30" s="23" t="s">
        <v>94</v>
      </c>
      <c r="S30" s="23" t="s">
        <v>319</v>
      </c>
      <c r="T30" s="23" t="s">
        <v>278</v>
      </c>
      <c r="U30" s="23" t="s">
        <v>158</v>
      </c>
      <c r="V30" s="23" t="s">
        <v>114</v>
      </c>
      <c r="W30" s="23" t="s">
        <v>155</v>
      </c>
      <c r="X30" s="23" t="s">
        <v>113</v>
      </c>
      <c r="Y30" s="23" t="s">
        <v>158</v>
      </c>
      <c r="Z30" s="23" t="s">
        <v>94</v>
      </c>
      <c r="AA30" s="23" t="s">
        <v>256</v>
      </c>
      <c r="AB30" s="23" t="s">
        <v>478</v>
      </c>
      <c r="AC30" s="23" t="s">
        <v>479</v>
      </c>
      <c r="AD30" s="23" t="s">
        <v>104</v>
      </c>
      <c r="AE30" s="23" t="s">
        <v>480</v>
      </c>
    </row>
    <row r="31" spans="1:31" hidden="1" x14ac:dyDescent="0.25">
      <c r="A31">
        <v>30</v>
      </c>
      <c r="B31" t="s">
        <v>193</v>
      </c>
      <c r="C31" t="s">
        <v>481</v>
      </c>
      <c r="D31" t="s">
        <v>341</v>
      </c>
      <c r="E31" t="s">
        <v>35</v>
      </c>
      <c r="F31" t="s">
        <v>36</v>
      </c>
      <c r="G31" t="s">
        <v>482</v>
      </c>
      <c r="H31" t="s">
        <v>483</v>
      </c>
      <c r="I31" t="s">
        <v>39</v>
      </c>
      <c r="J31" t="s">
        <v>484</v>
      </c>
      <c r="K31" t="s">
        <v>485</v>
      </c>
      <c r="L31" s="23" t="s">
        <v>51</v>
      </c>
      <c r="M31" s="23" t="s">
        <v>130</v>
      </c>
      <c r="N31" s="23" t="s">
        <v>114</v>
      </c>
      <c r="O31" s="23" t="s">
        <v>466</v>
      </c>
      <c r="P31" s="23" t="s">
        <v>486</v>
      </c>
      <c r="Q31" s="23" t="s">
        <v>487</v>
      </c>
      <c r="R31" s="23" t="s">
        <v>244</v>
      </c>
      <c r="S31" s="23" t="s">
        <v>488</v>
      </c>
      <c r="T31" s="23" t="s">
        <v>281</v>
      </c>
      <c r="U31" s="23" t="s">
        <v>77</v>
      </c>
      <c r="V31" s="23" t="s">
        <v>114</v>
      </c>
      <c r="W31" s="23" t="s">
        <v>489</v>
      </c>
      <c r="X31" s="23" t="s">
        <v>51</v>
      </c>
      <c r="Y31" s="23" t="s">
        <v>257</v>
      </c>
      <c r="Z31" s="23" t="s">
        <v>94</v>
      </c>
      <c r="AA31" s="23" t="s">
        <v>490</v>
      </c>
      <c r="AB31" s="23" t="s">
        <v>491</v>
      </c>
      <c r="AC31" s="23" t="s">
        <v>492</v>
      </c>
      <c r="AD31" s="23" t="s">
        <v>158</v>
      </c>
      <c r="AE31" s="23" t="s">
        <v>493</v>
      </c>
    </row>
    <row r="32" spans="1:31" hidden="1" x14ac:dyDescent="0.25">
      <c r="A32">
        <v>31</v>
      </c>
      <c r="B32" t="s">
        <v>93</v>
      </c>
      <c r="C32" t="s">
        <v>340</v>
      </c>
      <c r="D32" t="s">
        <v>341</v>
      </c>
      <c r="E32" t="s">
        <v>35</v>
      </c>
      <c r="F32" t="s">
        <v>162</v>
      </c>
      <c r="G32" t="s">
        <v>342</v>
      </c>
      <c r="H32" t="s">
        <v>343</v>
      </c>
      <c r="I32" t="s">
        <v>163</v>
      </c>
      <c r="J32" t="s">
        <v>344</v>
      </c>
      <c r="K32" t="s">
        <v>345</v>
      </c>
      <c r="L32" s="23" t="s">
        <v>494</v>
      </c>
      <c r="M32" s="23" t="s">
        <v>495</v>
      </c>
      <c r="N32" s="23" t="s">
        <v>479</v>
      </c>
      <c r="O32" s="23" t="s">
        <v>496</v>
      </c>
      <c r="P32" s="23" t="s">
        <v>497</v>
      </c>
      <c r="Q32" s="23" t="s">
        <v>498</v>
      </c>
      <c r="R32" s="23" t="s">
        <v>295</v>
      </c>
      <c r="S32" s="23" t="s">
        <v>499</v>
      </c>
      <c r="T32" s="23" t="s">
        <v>500</v>
      </c>
      <c r="U32" s="23" t="s">
        <v>501</v>
      </c>
      <c r="V32" s="23" t="s">
        <v>93</v>
      </c>
      <c r="W32" s="23" t="s">
        <v>502</v>
      </c>
      <c r="X32" s="23" t="s">
        <v>503</v>
      </c>
      <c r="Y32" s="23" t="s">
        <v>329</v>
      </c>
      <c r="Z32" s="23" t="s">
        <v>192</v>
      </c>
      <c r="AA32" s="23" t="s">
        <v>504</v>
      </c>
      <c r="AB32" s="23" t="s">
        <v>505</v>
      </c>
      <c r="AC32" s="23" t="s">
        <v>506</v>
      </c>
      <c r="AD32" s="23" t="s">
        <v>507</v>
      </c>
      <c r="AE32" s="23" t="s">
        <v>508</v>
      </c>
    </row>
    <row r="33" spans="1:31" hidden="1" x14ac:dyDescent="0.25">
      <c r="A33">
        <v>32</v>
      </c>
      <c r="B33" t="s">
        <v>193</v>
      </c>
      <c r="C33" t="s">
        <v>360</v>
      </c>
      <c r="D33" t="s">
        <v>341</v>
      </c>
      <c r="E33" t="s">
        <v>35</v>
      </c>
      <c r="F33" t="s">
        <v>162</v>
      </c>
      <c r="G33" t="s">
        <v>361</v>
      </c>
      <c r="H33" t="s">
        <v>362</v>
      </c>
      <c r="I33" t="s">
        <v>163</v>
      </c>
      <c r="J33" t="s">
        <v>363</v>
      </c>
      <c r="K33" t="s">
        <v>364</v>
      </c>
      <c r="L33" s="23" t="s">
        <v>509</v>
      </c>
      <c r="M33" s="23" t="s">
        <v>319</v>
      </c>
      <c r="N33" s="23" t="s">
        <v>122</v>
      </c>
      <c r="O33" s="23" t="s">
        <v>510</v>
      </c>
      <c r="P33" s="23" t="s">
        <v>511</v>
      </c>
      <c r="Q33" s="23" t="s">
        <v>512</v>
      </c>
      <c r="R33" s="23" t="s">
        <v>149</v>
      </c>
      <c r="S33" s="23" t="s">
        <v>513</v>
      </c>
      <c r="T33" s="23" t="s">
        <v>514</v>
      </c>
      <c r="U33" s="23" t="s">
        <v>226</v>
      </c>
      <c r="V33" s="23" t="s">
        <v>158</v>
      </c>
      <c r="W33" s="23" t="s">
        <v>515</v>
      </c>
      <c r="X33" s="23" t="s">
        <v>516</v>
      </c>
      <c r="Y33" s="23" t="s">
        <v>517</v>
      </c>
      <c r="Z33" s="23" t="s">
        <v>213</v>
      </c>
      <c r="AA33" s="23" t="s">
        <v>518</v>
      </c>
      <c r="AB33" s="23" t="s">
        <v>519</v>
      </c>
      <c r="AC33" s="23" t="s">
        <v>520</v>
      </c>
      <c r="AD33" s="23" t="s">
        <v>155</v>
      </c>
      <c r="AE33" s="23" t="s">
        <v>521</v>
      </c>
    </row>
    <row r="34" spans="1:31" hidden="1" x14ac:dyDescent="0.25">
      <c r="A34">
        <v>33</v>
      </c>
      <c r="B34" t="s">
        <v>193</v>
      </c>
      <c r="C34" t="s">
        <v>379</v>
      </c>
      <c r="D34" t="s">
        <v>341</v>
      </c>
      <c r="E34" t="s">
        <v>35</v>
      </c>
      <c r="F34" t="s">
        <v>162</v>
      </c>
      <c r="G34" t="s">
        <v>380</v>
      </c>
      <c r="H34" t="s">
        <v>381</v>
      </c>
      <c r="I34" t="s">
        <v>163</v>
      </c>
      <c r="J34" t="s">
        <v>382</v>
      </c>
      <c r="K34" t="s">
        <v>383</v>
      </c>
      <c r="L34" s="23" t="s">
        <v>522</v>
      </c>
      <c r="M34" s="23" t="s">
        <v>81</v>
      </c>
      <c r="N34" s="23" t="s">
        <v>158</v>
      </c>
      <c r="O34" s="23" t="s">
        <v>523</v>
      </c>
      <c r="P34" s="23" t="s">
        <v>524</v>
      </c>
      <c r="Q34" s="23" t="s">
        <v>525</v>
      </c>
      <c r="R34" s="23" t="s">
        <v>257</v>
      </c>
      <c r="S34" s="23" t="s">
        <v>526</v>
      </c>
      <c r="T34" s="23" t="s">
        <v>527</v>
      </c>
      <c r="U34" s="23" t="s">
        <v>282</v>
      </c>
      <c r="V34" s="23" t="s">
        <v>104</v>
      </c>
      <c r="W34" s="23" t="s">
        <v>528</v>
      </c>
      <c r="X34" s="23" t="s">
        <v>529</v>
      </c>
      <c r="Y34" s="23" t="s">
        <v>278</v>
      </c>
      <c r="Z34" s="23" t="s">
        <v>114</v>
      </c>
      <c r="AA34" s="23" t="s">
        <v>530</v>
      </c>
      <c r="AB34" s="23" t="s">
        <v>531</v>
      </c>
      <c r="AC34" s="23" t="s">
        <v>532</v>
      </c>
      <c r="AD34" s="23" t="s">
        <v>479</v>
      </c>
      <c r="AE34" s="23" t="s">
        <v>533</v>
      </c>
    </row>
    <row r="35" spans="1:31" hidden="1" x14ac:dyDescent="0.25">
      <c r="A35">
        <v>34</v>
      </c>
      <c r="B35" t="s">
        <v>193</v>
      </c>
      <c r="C35" t="s">
        <v>394</v>
      </c>
      <c r="D35" t="s">
        <v>341</v>
      </c>
      <c r="E35" t="s">
        <v>35</v>
      </c>
      <c r="F35" t="s">
        <v>162</v>
      </c>
      <c r="G35" t="s">
        <v>395</v>
      </c>
      <c r="H35" t="s">
        <v>396</v>
      </c>
      <c r="I35" t="s">
        <v>163</v>
      </c>
      <c r="J35" t="s">
        <v>397</v>
      </c>
      <c r="K35" t="s">
        <v>398</v>
      </c>
      <c r="L35" s="23" t="s">
        <v>534</v>
      </c>
      <c r="M35" s="23" t="s">
        <v>384</v>
      </c>
      <c r="N35" s="23" t="s">
        <v>535</v>
      </c>
      <c r="O35" s="23" t="s">
        <v>536</v>
      </c>
      <c r="P35" s="23" t="s">
        <v>537</v>
      </c>
      <c r="Q35" s="23" t="s">
        <v>538</v>
      </c>
      <c r="R35" s="23" t="s">
        <v>539</v>
      </c>
      <c r="S35" s="23" t="s">
        <v>540</v>
      </c>
      <c r="T35" s="23" t="s">
        <v>541</v>
      </c>
      <c r="U35" s="23" t="s">
        <v>542</v>
      </c>
      <c r="V35" s="23" t="s">
        <v>173</v>
      </c>
      <c r="W35" s="23" t="s">
        <v>543</v>
      </c>
      <c r="X35" s="23" t="s">
        <v>544</v>
      </c>
      <c r="Y35" s="23" t="s">
        <v>545</v>
      </c>
      <c r="Z35" s="23" t="s">
        <v>546</v>
      </c>
      <c r="AA35" s="23" t="s">
        <v>547</v>
      </c>
      <c r="AB35" s="23" t="s">
        <v>548</v>
      </c>
      <c r="AC35" s="23" t="s">
        <v>549</v>
      </c>
      <c r="AD35" s="23" t="s">
        <v>550</v>
      </c>
      <c r="AE35" s="23" t="s">
        <v>551</v>
      </c>
    </row>
    <row r="36" spans="1:31" hidden="1" x14ac:dyDescent="0.25">
      <c r="A36">
        <v>35</v>
      </c>
      <c r="B36" t="s">
        <v>193</v>
      </c>
      <c r="C36" t="s">
        <v>418</v>
      </c>
      <c r="D36" t="s">
        <v>341</v>
      </c>
      <c r="E36" t="s">
        <v>35</v>
      </c>
      <c r="F36" t="s">
        <v>162</v>
      </c>
      <c r="G36" t="s">
        <v>109</v>
      </c>
      <c r="H36" t="s">
        <v>419</v>
      </c>
      <c r="I36" t="s">
        <v>163</v>
      </c>
      <c r="J36" t="s">
        <v>420</v>
      </c>
      <c r="K36" t="s">
        <v>421</v>
      </c>
      <c r="L36" s="23" t="s">
        <v>552</v>
      </c>
      <c r="M36" s="23" t="s">
        <v>275</v>
      </c>
      <c r="N36" s="23" t="s">
        <v>246</v>
      </c>
      <c r="O36" s="23" t="s">
        <v>553</v>
      </c>
      <c r="P36" s="23" t="s">
        <v>554</v>
      </c>
      <c r="Q36" s="23" t="s">
        <v>555</v>
      </c>
      <c r="R36" s="23" t="s">
        <v>556</v>
      </c>
      <c r="S36" s="23" t="s">
        <v>557</v>
      </c>
      <c r="T36" s="23" t="s">
        <v>558</v>
      </c>
      <c r="U36" s="23" t="s">
        <v>559</v>
      </c>
      <c r="V36" s="23" t="s">
        <v>32</v>
      </c>
      <c r="W36" s="23" t="s">
        <v>560</v>
      </c>
      <c r="X36" s="23" t="s">
        <v>561</v>
      </c>
      <c r="Y36" s="23" t="s">
        <v>562</v>
      </c>
      <c r="Z36" s="23" t="s">
        <v>158</v>
      </c>
      <c r="AA36" s="23" t="s">
        <v>563</v>
      </c>
      <c r="AB36" s="23" t="s">
        <v>564</v>
      </c>
      <c r="AC36" s="23" t="s">
        <v>565</v>
      </c>
      <c r="AD36" s="23" t="s">
        <v>208</v>
      </c>
      <c r="AE36" s="23" t="s">
        <v>566</v>
      </c>
    </row>
    <row r="37" spans="1:31" hidden="1" x14ac:dyDescent="0.25">
      <c r="A37">
        <v>36</v>
      </c>
      <c r="B37" t="s">
        <v>193</v>
      </c>
      <c r="C37" t="s">
        <v>435</v>
      </c>
      <c r="D37" t="s">
        <v>341</v>
      </c>
      <c r="E37" t="s">
        <v>35</v>
      </c>
      <c r="F37" t="s">
        <v>162</v>
      </c>
      <c r="G37" t="s">
        <v>436</v>
      </c>
      <c r="H37" t="s">
        <v>437</v>
      </c>
      <c r="I37" t="s">
        <v>163</v>
      </c>
      <c r="J37" t="s">
        <v>438</v>
      </c>
      <c r="K37" t="s">
        <v>439</v>
      </c>
      <c r="L37" s="23" t="s">
        <v>77</v>
      </c>
      <c r="M37" s="23" t="s">
        <v>104</v>
      </c>
      <c r="N37" s="23" t="s">
        <v>114</v>
      </c>
      <c r="O37" s="23" t="s">
        <v>213</v>
      </c>
      <c r="P37" s="23" t="s">
        <v>217</v>
      </c>
      <c r="Q37" s="23" t="s">
        <v>94</v>
      </c>
      <c r="R37" s="23" t="s">
        <v>114</v>
      </c>
      <c r="S37" s="23" t="s">
        <v>347</v>
      </c>
      <c r="T37" s="23" t="s">
        <v>77</v>
      </c>
      <c r="U37" s="23" t="s">
        <v>94</v>
      </c>
      <c r="V37" s="23" t="s">
        <v>114</v>
      </c>
      <c r="W37" s="23" t="s">
        <v>32</v>
      </c>
      <c r="X37" s="23" t="s">
        <v>213</v>
      </c>
      <c r="Y37" s="23" t="s">
        <v>114</v>
      </c>
      <c r="Z37" s="23" t="s">
        <v>94</v>
      </c>
      <c r="AA37" s="23" t="s">
        <v>193</v>
      </c>
      <c r="AB37" s="23" t="s">
        <v>97</v>
      </c>
      <c r="AC37" s="23" t="s">
        <v>98</v>
      </c>
      <c r="AD37" s="23" t="s">
        <v>94</v>
      </c>
      <c r="AE37" s="23" t="s">
        <v>556</v>
      </c>
    </row>
    <row r="38" spans="1:31" hidden="1" x14ac:dyDescent="0.25">
      <c r="A38">
        <v>37</v>
      </c>
      <c r="B38" t="s">
        <v>193</v>
      </c>
      <c r="C38" t="s">
        <v>440</v>
      </c>
      <c r="D38" t="s">
        <v>341</v>
      </c>
      <c r="E38" t="s">
        <v>35</v>
      </c>
      <c r="F38" t="s">
        <v>162</v>
      </c>
      <c r="G38" t="s">
        <v>441</v>
      </c>
      <c r="H38" t="s">
        <v>437</v>
      </c>
      <c r="I38" t="s">
        <v>163</v>
      </c>
      <c r="J38" t="s">
        <v>438</v>
      </c>
      <c r="K38" t="s">
        <v>442</v>
      </c>
      <c r="L38" s="23" t="s">
        <v>522</v>
      </c>
      <c r="M38" s="23" t="s">
        <v>68</v>
      </c>
      <c r="N38" s="23" t="s">
        <v>193</v>
      </c>
      <c r="O38" s="23" t="s">
        <v>567</v>
      </c>
      <c r="P38" s="23" t="s">
        <v>568</v>
      </c>
      <c r="Q38" s="23" t="s">
        <v>569</v>
      </c>
      <c r="R38" s="23" t="s">
        <v>570</v>
      </c>
      <c r="S38" s="23" t="s">
        <v>571</v>
      </c>
      <c r="T38" s="23" t="s">
        <v>572</v>
      </c>
      <c r="U38" s="23" t="s">
        <v>185</v>
      </c>
      <c r="V38" s="23" t="s">
        <v>158</v>
      </c>
      <c r="W38" s="23" t="s">
        <v>573</v>
      </c>
      <c r="X38" s="23" t="s">
        <v>524</v>
      </c>
      <c r="Y38" s="23" t="s">
        <v>574</v>
      </c>
      <c r="Z38" s="23" t="s">
        <v>244</v>
      </c>
      <c r="AA38" s="23" t="s">
        <v>575</v>
      </c>
      <c r="AB38" s="23" t="s">
        <v>576</v>
      </c>
      <c r="AC38" s="23" t="s">
        <v>577</v>
      </c>
      <c r="AD38" s="23" t="s">
        <v>157</v>
      </c>
      <c r="AE38" s="23" t="s">
        <v>578</v>
      </c>
    </row>
    <row r="39" spans="1:31" hidden="1" x14ac:dyDescent="0.25">
      <c r="A39">
        <v>38</v>
      </c>
      <c r="B39" t="s">
        <v>193</v>
      </c>
      <c r="C39" t="s">
        <v>457</v>
      </c>
      <c r="D39" t="s">
        <v>341</v>
      </c>
      <c r="E39" t="s">
        <v>35</v>
      </c>
      <c r="F39" t="s">
        <v>162</v>
      </c>
      <c r="G39" t="s">
        <v>458</v>
      </c>
      <c r="H39" t="s">
        <v>459</v>
      </c>
      <c r="I39" t="s">
        <v>163</v>
      </c>
      <c r="J39" t="s">
        <v>460</v>
      </c>
      <c r="K39" t="s">
        <v>461</v>
      </c>
      <c r="L39" s="23" t="s">
        <v>579</v>
      </c>
      <c r="M39" s="23" t="s">
        <v>93</v>
      </c>
      <c r="N39" s="23" t="s">
        <v>94</v>
      </c>
      <c r="O39" s="23" t="s">
        <v>580</v>
      </c>
      <c r="P39" s="23" t="s">
        <v>581</v>
      </c>
      <c r="Q39" s="23" t="s">
        <v>68</v>
      </c>
      <c r="R39" s="23" t="s">
        <v>244</v>
      </c>
      <c r="S39" s="23" t="s">
        <v>582</v>
      </c>
      <c r="T39" s="23" t="s">
        <v>583</v>
      </c>
      <c r="U39" s="23" t="s">
        <v>243</v>
      </c>
      <c r="V39" s="23" t="s">
        <v>94</v>
      </c>
      <c r="W39" s="23" t="s">
        <v>584</v>
      </c>
      <c r="X39" s="23" t="s">
        <v>585</v>
      </c>
      <c r="Y39" s="23" t="s">
        <v>217</v>
      </c>
      <c r="Z39" s="23" t="s">
        <v>104</v>
      </c>
      <c r="AA39" s="23" t="s">
        <v>586</v>
      </c>
      <c r="AB39" s="23" t="s">
        <v>587</v>
      </c>
      <c r="AC39" s="23" t="s">
        <v>588</v>
      </c>
      <c r="AD39" s="23" t="s">
        <v>32</v>
      </c>
      <c r="AE39" s="23" t="s">
        <v>589</v>
      </c>
    </row>
    <row r="40" spans="1:31" hidden="1" x14ac:dyDescent="0.25">
      <c r="A40">
        <v>39</v>
      </c>
      <c r="B40" t="s">
        <v>193</v>
      </c>
      <c r="C40" t="s">
        <v>472</v>
      </c>
      <c r="D40" t="s">
        <v>341</v>
      </c>
      <c r="E40" t="s">
        <v>35</v>
      </c>
      <c r="F40" t="s">
        <v>162</v>
      </c>
      <c r="G40" t="s">
        <v>473</v>
      </c>
      <c r="H40" t="s">
        <v>474</v>
      </c>
      <c r="I40" t="s">
        <v>163</v>
      </c>
      <c r="J40" t="s">
        <v>475</v>
      </c>
      <c r="K40" t="s">
        <v>476</v>
      </c>
      <c r="L40" s="23" t="s">
        <v>119</v>
      </c>
      <c r="M40" s="23" t="s">
        <v>104</v>
      </c>
      <c r="N40" s="23" t="s">
        <v>114</v>
      </c>
      <c r="O40" s="23" t="s">
        <v>138</v>
      </c>
      <c r="P40" s="23" t="s">
        <v>590</v>
      </c>
      <c r="Q40" s="23" t="s">
        <v>193</v>
      </c>
      <c r="R40" s="23" t="s">
        <v>94</v>
      </c>
      <c r="S40" s="23" t="s">
        <v>591</v>
      </c>
      <c r="T40" s="23" t="s">
        <v>297</v>
      </c>
      <c r="U40" s="23" t="s">
        <v>122</v>
      </c>
      <c r="V40" s="23" t="s">
        <v>114</v>
      </c>
      <c r="W40" s="23" t="s">
        <v>278</v>
      </c>
      <c r="X40" s="23" t="s">
        <v>233</v>
      </c>
      <c r="Y40" s="23" t="s">
        <v>150</v>
      </c>
      <c r="Z40" s="23" t="s">
        <v>114</v>
      </c>
      <c r="AA40" s="23" t="s">
        <v>487</v>
      </c>
      <c r="AB40" s="23" t="s">
        <v>592</v>
      </c>
      <c r="AC40" s="23" t="s">
        <v>282</v>
      </c>
      <c r="AD40" s="23" t="s">
        <v>94</v>
      </c>
      <c r="AE40" s="23" t="s">
        <v>593</v>
      </c>
    </row>
    <row r="41" spans="1:31" hidden="1" x14ac:dyDescent="0.25">
      <c r="A41">
        <v>40</v>
      </c>
      <c r="B41" t="s">
        <v>193</v>
      </c>
      <c r="C41" t="s">
        <v>481</v>
      </c>
      <c r="D41" t="s">
        <v>341</v>
      </c>
      <c r="E41" t="s">
        <v>35</v>
      </c>
      <c r="F41" t="s">
        <v>162</v>
      </c>
      <c r="G41" t="s">
        <v>482</v>
      </c>
      <c r="H41" t="s">
        <v>483</v>
      </c>
      <c r="I41" t="s">
        <v>163</v>
      </c>
      <c r="J41" t="s">
        <v>484</v>
      </c>
      <c r="K41" t="s">
        <v>485</v>
      </c>
      <c r="L41" s="23" t="s">
        <v>208</v>
      </c>
      <c r="M41" s="23" t="s">
        <v>192</v>
      </c>
      <c r="N41" s="23" t="s">
        <v>114</v>
      </c>
      <c r="O41" s="23" t="s">
        <v>594</v>
      </c>
      <c r="P41" s="23" t="s">
        <v>595</v>
      </c>
      <c r="Q41" s="23" t="s">
        <v>562</v>
      </c>
      <c r="R41" s="23" t="s">
        <v>32</v>
      </c>
      <c r="S41" s="23" t="s">
        <v>596</v>
      </c>
      <c r="T41" s="23" t="s">
        <v>597</v>
      </c>
      <c r="U41" s="23" t="s">
        <v>149</v>
      </c>
      <c r="V41" s="23" t="s">
        <v>150</v>
      </c>
      <c r="W41" s="23" t="s">
        <v>598</v>
      </c>
      <c r="X41" s="23" t="s">
        <v>230</v>
      </c>
      <c r="Y41" s="23" t="s">
        <v>217</v>
      </c>
      <c r="Z41" s="23" t="s">
        <v>94</v>
      </c>
      <c r="AA41" s="23" t="s">
        <v>599</v>
      </c>
      <c r="AB41" s="23" t="s">
        <v>600</v>
      </c>
      <c r="AC41" s="23" t="s">
        <v>601</v>
      </c>
      <c r="AD41" s="23" t="s">
        <v>93</v>
      </c>
      <c r="AE41" s="23" t="s">
        <v>602</v>
      </c>
    </row>
    <row r="42" spans="1:31" hidden="1" x14ac:dyDescent="0.25">
      <c r="A42">
        <v>41</v>
      </c>
      <c r="B42" t="s">
        <v>93</v>
      </c>
      <c r="C42" t="s">
        <v>340</v>
      </c>
      <c r="D42" t="s">
        <v>603</v>
      </c>
      <c r="E42" t="s">
        <v>35</v>
      </c>
      <c r="F42" t="s">
        <v>36</v>
      </c>
      <c r="G42" t="s">
        <v>342</v>
      </c>
      <c r="H42" t="s">
        <v>343</v>
      </c>
      <c r="I42" t="s">
        <v>39</v>
      </c>
      <c r="J42" t="s">
        <v>344</v>
      </c>
      <c r="K42" t="s">
        <v>345</v>
      </c>
      <c r="L42" s="23" t="s">
        <v>346</v>
      </c>
      <c r="M42" s="23" t="s">
        <v>51</v>
      </c>
      <c r="N42" s="23" t="s">
        <v>347</v>
      </c>
      <c r="O42" s="23" t="s">
        <v>348</v>
      </c>
      <c r="P42" s="23" t="s">
        <v>349</v>
      </c>
      <c r="Q42" s="23" t="s">
        <v>350</v>
      </c>
      <c r="R42" s="23" t="s">
        <v>157</v>
      </c>
      <c r="S42" s="23" t="s">
        <v>351</v>
      </c>
      <c r="T42" s="23" t="s">
        <v>352</v>
      </c>
      <c r="U42" s="23" t="s">
        <v>80</v>
      </c>
      <c r="V42" s="23" t="s">
        <v>122</v>
      </c>
      <c r="W42" s="23" t="s">
        <v>353</v>
      </c>
      <c r="X42" s="23" t="s">
        <v>354</v>
      </c>
      <c r="Y42" s="23" t="s">
        <v>309</v>
      </c>
      <c r="Z42" s="23" t="s">
        <v>118</v>
      </c>
      <c r="AA42" s="23" t="s">
        <v>355</v>
      </c>
      <c r="AB42" s="23" t="s">
        <v>356</v>
      </c>
      <c r="AC42" s="23" t="s">
        <v>357</v>
      </c>
      <c r="AD42" s="23" t="s">
        <v>358</v>
      </c>
      <c r="AE42" s="23" t="s">
        <v>359</v>
      </c>
    </row>
    <row r="43" spans="1:31" hidden="1" x14ac:dyDescent="0.25">
      <c r="A43">
        <v>42</v>
      </c>
      <c r="B43" t="s">
        <v>93</v>
      </c>
      <c r="C43" t="s">
        <v>604</v>
      </c>
      <c r="D43" t="s">
        <v>603</v>
      </c>
      <c r="E43" t="s">
        <v>35</v>
      </c>
      <c r="F43" t="s">
        <v>36</v>
      </c>
      <c r="G43" t="s">
        <v>395</v>
      </c>
      <c r="H43" t="s">
        <v>343</v>
      </c>
      <c r="I43" t="s">
        <v>39</v>
      </c>
      <c r="J43" t="s">
        <v>605</v>
      </c>
      <c r="K43" t="s">
        <v>606</v>
      </c>
      <c r="L43" s="23" t="s">
        <v>607</v>
      </c>
      <c r="M43" s="23" t="s">
        <v>285</v>
      </c>
      <c r="N43" s="23" t="s">
        <v>608</v>
      </c>
      <c r="O43" s="23" t="s">
        <v>609</v>
      </c>
      <c r="P43" s="23" t="s">
        <v>610</v>
      </c>
      <c r="Q43" s="23" t="s">
        <v>611</v>
      </c>
      <c r="R43" s="23" t="s">
        <v>612</v>
      </c>
      <c r="S43" s="23" t="s">
        <v>613</v>
      </c>
      <c r="T43" s="23" t="s">
        <v>614</v>
      </c>
      <c r="U43" s="23" t="s">
        <v>615</v>
      </c>
      <c r="V43" s="23" t="s">
        <v>142</v>
      </c>
      <c r="W43" s="23" t="s">
        <v>616</v>
      </c>
      <c r="X43" s="23" t="s">
        <v>617</v>
      </c>
      <c r="Y43" s="23" t="s">
        <v>618</v>
      </c>
      <c r="Z43" s="23" t="s">
        <v>619</v>
      </c>
      <c r="AA43" s="23" t="s">
        <v>620</v>
      </c>
      <c r="AB43" s="23" t="s">
        <v>621</v>
      </c>
      <c r="AC43" s="23" t="s">
        <v>622</v>
      </c>
      <c r="AD43" s="23" t="s">
        <v>623</v>
      </c>
      <c r="AE43" s="23" t="s">
        <v>624</v>
      </c>
    </row>
    <row r="44" spans="1:31" hidden="1" x14ac:dyDescent="0.25">
      <c r="A44">
        <v>43</v>
      </c>
      <c r="B44" t="s">
        <v>93</v>
      </c>
      <c r="C44" t="s">
        <v>625</v>
      </c>
      <c r="D44" t="s">
        <v>603</v>
      </c>
      <c r="E44" t="s">
        <v>35</v>
      </c>
      <c r="F44" t="s">
        <v>36</v>
      </c>
      <c r="G44" t="s">
        <v>626</v>
      </c>
      <c r="H44" t="s">
        <v>627</v>
      </c>
      <c r="I44" t="s">
        <v>39</v>
      </c>
      <c r="J44" t="s">
        <v>605</v>
      </c>
      <c r="K44" t="s">
        <v>606</v>
      </c>
      <c r="L44" s="23" t="s">
        <v>628</v>
      </c>
      <c r="M44" s="23" t="s">
        <v>629</v>
      </c>
      <c r="N44" s="23" t="s">
        <v>556</v>
      </c>
      <c r="O44" s="23" t="s">
        <v>630</v>
      </c>
      <c r="P44" s="23" t="s">
        <v>631</v>
      </c>
      <c r="Q44" s="23" t="s">
        <v>632</v>
      </c>
      <c r="R44" s="23" t="s">
        <v>633</v>
      </c>
      <c r="S44" s="23" t="s">
        <v>634</v>
      </c>
      <c r="T44" s="23" t="s">
        <v>635</v>
      </c>
      <c r="U44" s="23" t="s">
        <v>259</v>
      </c>
      <c r="V44" s="23" t="s">
        <v>479</v>
      </c>
      <c r="W44" s="23" t="s">
        <v>636</v>
      </c>
      <c r="X44" s="23" t="s">
        <v>637</v>
      </c>
      <c r="Y44" s="23" t="s">
        <v>638</v>
      </c>
      <c r="Z44" s="23" t="s">
        <v>639</v>
      </c>
      <c r="AA44" s="23" t="s">
        <v>640</v>
      </c>
      <c r="AB44" s="23" t="s">
        <v>641</v>
      </c>
      <c r="AC44" s="23" t="s">
        <v>571</v>
      </c>
      <c r="AD44" s="23" t="s">
        <v>642</v>
      </c>
      <c r="AE44" s="23" t="s">
        <v>643</v>
      </c>
    </row>
    <row r="45" spans="1:31" hidden="1" x14ac:dyDescent="0.25">
      <c r="A45">
        <v>44</v>
      </c>
      <c r="B45" t="s">
        <v>93</v>
      </c>
      <c r="C45" t="s">
        <v>644</v>
      </c>
      <c r="D45" t="s">
        <v>603</v>
      </c>
      <c r="E45" t="s">
        <v>35</v>
      </c>
      <c r="F45" t="s">
        <v>36</v>
      </c>
      <c r="G45" t="s">
        <v>645</v>
      </c>
      <c r="H45" t="s">
        <v>646</v>
      </c>
      <c r="I45" t="s">
        <v>39</v>
      </c>
      <c r="J45" t="s">
        <v>647</v>
      </c>
      <c r="K45" t="s">
        <v>648</v>
      </c>
      <c r="L45" s="23" t="s">
        <v>649</v>
      </c>
      <c r="M45" s="23" t="s">
        <v>650</v>
      </c>
      <c r="N45" s="23" t="s">
        <v>651</v>
      </c>
      <c r="O45" s="23" t="s">
        <v>652</v>
      </c>
      <c r="P45" s="23" t="s">
        <v>653</v>
      </c>
      <c r="Q45" s="23" t="s">
        <v>654</v>
      </c>
      <c r="R45" s="23" t="s">
        <v>655</v>
      </c>
      <c r="S45" s="23" t="s">
        <v>656</v>
      </c>
      <c r="T45" s="23" t="s">
        <v>657</v>
      </c>
      <c r="U45" s="23" t="s">
        <v>658</v>
      </c>
      <c r="V45" s="23" t="s">
        <v>659</v>
      </c>
      <c r="W45" s="23" t="s">
        <v>660</v>
      </c>
      <c r="X45" s="23" t="s">
        <v>661</v>
      </c>
      <c r="Y45" s="23" t="s">
        <v>662</v>
      </c>
      <c r="Z45" s="23" t="s">
        <v>663</v>
      </c>
      <c r="AA45" s="23" t="s">
        <v>664</v>
      </c>
      <c r="AB45" s="23" t="s">
        <v>665</v>
      </c>
      <c r="AC45" s="23" t="s">
        <v>666</v>
      </c>
      <c r="AD45" s="23" t="s">
        <v>667</v>
      </c>
      <c r="AE45" s="23" t="s">
        <v>668</v>
      </c>
    </row>
    <row r="46" spans="1:31" hidden="1" x14ac:dyDescent="0.25">
      <c r="A46">
        <v>45</v>
      </c>
      <c r="B46" t="s">
        <v>93</v>
      </c>
      <c r="C46" t="s">
        <v>669</v>
      </c>
      <c r="D46" t="s">
        <v>603</v>
      </c>
      <c r="E46" t="s">
        <v>35</v>
      </c>
      <c r="F46" t="s">
        <v>36</v>
      </c>
      <c r="G46" t="s">
        <v>670</v>
      </c>
      <c r="H46" t="s">
        <v>343</v>
      </c>
      <c r="I46" t="s">
        <v>39</v>
      </c>
      <c r="J46" t="s">
        <v>671</v>
      </c>
      <c r="K46" t="s">
        <v>672</v>
      </c>
      <c r="L46" s="23" t="s">
        <v>673</v>
      </c>
      <c r="M46" s="23" t="s">
        <v>639</v>
      </c>
      <c r="N46" s="23" t="s">
        <v>196</v>
      </c>
      <c r="O46" s="23" t="s">
        <v>674</v>
      </c>
      <c r="P46" s="23" t="s">
        <v>675</v>
      </c>
      <c r="Q46" s="23" t="s">
        <v>136</v>
      </c>
      <c r="R46" s="23" t="s">
        <v>676</v>
      </c>
      <c r="S46" s="23" t="s">
        <v>677</v>
      </c>
      <c r="T46" s="23" t="s">
        <v>678</v>
      </c>
      <c r="U46" s="23" t="s">
        <v>322</v>
      </c>
      <c r="V46" s="23" t="s">
        <v>246</v>
      </c>
      <c r="W46" s="23" t="s">
        <v>679</v>
      </c>
      <c r="X46" s="23" t="s">
        <v>680</v>
      </c>
      <c r="Y46" s="23" t="s">
        <v>681</v>
      </c>
      <c r="Z46" s="23" t="s">
        <v>211</v>
      </c>
      <c r="AA46" s="23" t="s">
        <v>682</v>
      </c>
      <c r="AB46" s="23" t="s">
        <v>683</v>
      </c>
      <c r="AC46" s="23" t="s">
        <v>684</v>
      </c>
      <c r="AD46" s="23" t="s">
        <v>123</v>
      </c>
      <c r="AE46" s="23" t="s">
        <v>685</v>
      </c>
    </row>
    <row r="47" spans="1:31" hidden="1" x14ac:dyDescent="0.25">
      <c r="A47">
        <v>46</v>
      </c>
      <c r="B47" t="s">
        <v>93</v>
      </c>
      <c r="C47" t="s">
        <v>686</v>
      </c>
      <c r="D47" t="s">
        <v>603</v>
      </c>
      <c r="E47" t="s">
        <v>35</v>
      </c>
      <c r="F47" t="s">
        <v>36</v>
      </c>
      <c r="G47" t="s">
        <v>687</v>
      </c>
      <c r="H47" t="s">
        <v>343</v>
      </c>
      <c r="I47" t="s">
        <v>300</v>
      </c>
      <c r="J47" t="s">
        <v>688</v>
      </c>
      <c r="K47" t="s">
        <v>689</v>
      </c>
      <c r="L47" s="23" t="s">
        <v>690</v>
      </c>
      <c r="M47" s="23" t="s">
        <v>691</v>
      </c>
      <c r="N47" s="23" t="s">
        <v>562</v>
      </c>
      <c r="O47" s="23" t="s">
        <v>692</v>
      </c>
      <c r="P47" s="23" t="s">
        <v>693</v>
      </c>
      <c r="Q47" s="23" t="s">
        <v>694</v>
      </c>
      <c r="R47" s="23" t="s">
        <v>695</v>
      </c>
      <c r="S47" s="23" t="s">
        <v>696</v>
      </c>
      <c r="T47" s="23" t="s">
        <v>697</v>
      </c>
      <c r="U47" s="23" t="s">
        <v>698</v>
      </c>
      <c r="V47" s="23" t="s">
        <v>97</v>
      </c>
      <c r="W47" s="23" t="s">
        <v>699</v>
      </c>
      <c r="X47" s="23" t="s">
        <v>221</v>
      </c>
      <c r="Y47" s="23" t="s">
        <v>700</v>
      </c>
      <c r="Z47" s="23" t="s">
        <v>248</v>
      </c>
      <c r="AA47" s="23" t="s">
        <v>701</v>
      </c>
      <c r="AB47" s="23" t="s">
        <v>702</v>
      </c>
      <c r="AC47" s="23" t="s">
        <v>703</v>
      </c>
      <c r="AD47" s="23" t="s">
        <v>704</v>
      </c>
      <c r="AE47" s="23" t="s">
        <v>705</v>
      </c>
    </row>
    <row r="48" spans="1:31" hidden="1" x14ac:dyDescent="0.25">
      <c r="A48">
        <v>47</v>
      </c>
      <c r="B48" t="s">
        <v>93</v>
      </c>
      <c r="C48" t="s">
        <v>706</v>
      </c>
      <c r="D48" t="s">
        <v>603</v>
      </c>
      <c r="E48" t="s">
        <v>35</v>
      </c>
      <c r="F48" t="s">
        <v>36</v>
      </c>
      <c r="G48" t="s">
        <v>707</v>
      </c>
      <c r="H48" t="s">
        <v>343</v>
      </c>
      <c r="I48" t="s">
        <v>39</v>
      </c>
      <c r="J48" t="s">
        <v>708</v>
      </c>
      <c r="K48" t="s">
        <v>709</v>
      </c>
      <c r="L48" s="23" t="s">
        <v>710</v>
      </c>
      <c r="M48" s="23" t="s">
        <v>495</v>
      </c>
      <c r="N48" s="23" t="s">
        <v>76</v>
      </c>
      <c r="O48" s="23" t="s">
        <v>711</v>
      </c>
      <c r="P48" s="23" t="s">
        <v>712</v>
      </c>
      <c r="Q48" s="23" t="s">
        <v>713</v>
      </c>
      <c r="R48" s="23" t="s">
        <v>714</v>
      </c>
      <c r="S48" s="23" t="s">
        <v>715</v>
      </c>
      <c r="T48" s="23" t="s">
        <v>716</v>
      </c>
      <c r="U48" s="23" t="s">
        <v>322</v>
      </c>
      <c r="V48" s="23" t="s">
        <v>122</v>
      </c>
      <c r="W48" s="23" t="s">
        <v>717</v>
      </c>
      <c r="X48" s="23" t="s">
        <v>718</v>
      </c>
      <c r="Y48" s="23" t="s">
        <v>719</v>
      </c>
      <c r="Z48" s="23" t="s">
        <v>68</v>
      </c>
      <c r="AA48" s="23" t="s">
        <v>720</v>
      </c>
      <c r="AB48" s="23" t="s">
        <v>721</v>
      </c>
      <c r="AC48" s="23" t="s">
        <v>722</v>
      </c>
      <c r="AD48" s="23" t="s">
        <v>723</v>
      </c>
      <c r="AE48" s="23" t="s">
        <v>724</v>
      </c>
    </row>
    <row r="49" spans="1:31" hidden="1" x14ac:dyDescent="0.25">
      <c r="A49">
        <v>48</v>
      </c>
      <c r="B49" t="s">
        <v>93</v>
      </c>
      <c r="C49" t="s">
        <v>725</v>
      </c>
      <c r="D49" t="s">
        <v>603</v>
      </c>
      <c r="E49" t="s">
        <v>35</v>
      </c>
      <c r="F49" t="s">
        <v>36</v>
      </c>
      <c r="G49" t="s">
        <v>726</v>
      </c>
      <c r="H49" t="s">
        <v>343</v>
      </c>
      <c r="I49" t="s">
        <v>39</v>
      </c>
      <c r="J49" t="s">
        <v>727</v>
      </c>
      <c r="K49" t="s">
        <v>728</v>
      </c>
      <c r="L49" s="23" t="s">
        <v>729</v>
      </c>
      <c r="M49" s="23" t="s">
        <v>72</v>
      </c>
      <c r="N49" s="23" t="s">
        <v>193</v>
      </c>
      <c r="O49" s="23" t="s">
        <v>730</v>
      </c>
      <c r="P49" s="23" t="s">
        <v>731</v>
      </c>
      <c r="Q49" s="23" t="s">
        <v>732</v>
      </c>
      <c r="R49" s="23" t="s">
        <v>282</v>
      </c>
      <c r="S49" s="23" t="s">
        <v>733</v>
      </c>
      <c r="T49" s="23" t="s">
        <v>734</v>
      </c>
      <c r="U49" s="23" t="s">
        <v>487</v>
      </c>
      <c r="V49" s="23" t="s">
        <v>98</v>
      </c>
      <c r="W49" s="23" t="s">
        <v>735</v>
      </c>
      <c r="X49" s="23" t="s">
        <v>736</v>
      </c>
      <c r="Y49" s="23" t="s">
        <v>166</v>
      </c>
      <c r="Z49" s="23" t="s">
        <v>158</v>
      </c>
      <c r="AA49" s="23" t="s">
        <v>737</v>
      </c>
      <c r="AB49" s="23" t="s">
        <v>738</v>
      </c>
      <c r="AC49" s="23" t="s">
        <v>739</v>
      </c>
      <c r="AD49" s="23" t="s">
        <v>315</v>
      </c>
      <c r="AE49" s="23" t="s">
        <v>740</v>
      </c>
    </row>
    <row r="50" spans="1:31" hidden="1" x14ac:dyDescent="0.25">
      <c r="A50">
        <v>49</v>
      </c>
      <c r="B50" t="s">
        <v>93</v>
      </c>
      <c r="C50" t="s">
        <v>340</v>
      </c>
      <c r="D50" t="s">
        <v>603</v>
      </c>
      <c r="E50" t="s">
        <v>35</v>
      </c>
      <c r="F50" t="s">
        <v>162</v>
      </c>
      <c r="G50" t="s">
        <v>342</v>
      </c>
      <c r="H50" t="s">
        <v>343</v>
      </c>
      <c r="I50" t="s">
        <v>163</v>
      </c>
      <c r="J50" t="s">
        <v>344</v>
      </c>
      <c r="K50" t="s">
        <v>345</v>
      </c>
      <c r="L50" s="23" t="s">
        <v>494</v>
      </c>
      <c r="M50" s="23" t="s">
        <v>495</v>
      </c>
      <c r="N50" s="23" t="s">
        <v>479</v>
      </c>
      <c r="O50" s="23" t="s">
        <v>496</v>
      </c>
      <c r="P50" s="23" t="s">
        <v>497</v>
      </c>
      <c r="Q50" s="23" t="s">
        <v>498</v>
      </c>
      <c r="R50" s="23" t="s">
        <v>295</v>
      </c>
      <c r="S50" s="23" t="s">
        <v>499</v>
      </c>
      <c r="T50" s="23" t="s">
        <v>500</v>
      </c>
      <c r="U50" s="23" t="s">
        <v>501</v>
      </c>
      <c r="V50" s="23" t="s">
        <v>93</v>
      </c>
      <c r="W50" s="23" t="s">
        <v>502</v>
      </c>
      <c r="X50" s="23" t="s">
        <v>503</v>
      </c>
      <c r="Y50" s="23" t="s">
        <v>329</v>
      </c>
      <c r="Z50" s="23" t="s">
        <v>192</v>
      </c>
      <c r="AA50" s="23" t="s">
        <v>504</v>
      </c>
      <c r="AB50" s="23" t="s">
        <v>505</v>
      </c>
      <c r="AC50" s="23" t="s">
        <v>506</v>
      </c>
      <c r="AD50" s="23" t="s">
        <v>507</v>
      </c>
      <c r="AE50" s="23" t="s">
        <v>508</v>
      </c>
    </row>
    <row r="51" spans="1:31" hidden="1" x14ac:dyDescent="0.25">
      <c r="A51">
        <v>50</v>
      </c>
      <c r="B51" t="s">
        <v>93</v>
      </c>
      <c r="C51" t="s">
        <v>604</v>
      </c>
      <c r="D51" t="s">
        <v>603</v>
      </c>
      <c r="E51" t="s">
        <v>35</v>
      </c>
      <c r="F51" t="s">
        <v>162</v>
      </c>
      <c r="G51" t="s">
        <v>395</v>
      </c>
      <c r="H51" t="s">
        <v>343</v>
      </c>
      <c r="I51" t="s">
        <v>163</v>
      </c>
      <c r="J51" t="s">
        <v>741</v>
      </c>
      <c r="K51" t="s">
        <v>742</v>
      </c>
      <c r="L51" s="23" t="s">
        <v>743</v>
      </c>
      <c r="M51" s="23" t="s">
        <v>335</v>
      </c>
      <c r="N51" s="23" t="s">
        <v>608</v>
      </c>
      <c r="O51" s="23" t="s">
        <v>744</v>
      </c>
      <c r="P51" s="23" t="s">
        <v>745</v>
      </c>
      <c r="Q51" s="23" t="s">
        <v>746</v>
      </c>
      <c r="R51" s="23" t="s">
        <v>747</v>
      </c>
      <c r="S51" s="23" t="s">
        <v>748</v>
      </c>
      <c r="T51" s="23" t="s">
        <v>749</v>
      </c>
      <c r="U51" s="23" t="s">
        <v>750</v>
      </c>
      <c r="V51" s="23" t="s">
        <v>593</v>
      </c>
      <c r="W51" s="23" t="s">
        <v>751</v>
      </c>
      <c r="X51" s="23" t="s">
        <v>752</v>
      </c>
      <c r="Y51" s="23" t="s">
        <v>753</v>
      </c>
      <c r="Z51" s="23" t="s">
        <v>600</v>
      </c>
      <c r="AA51" s="23" t="s">
        <v>754</v>
      </c>
      <c r="AB51" s="23" t="s">
        <v>755</v>
      </c>
      <c r="AC51" s="23" t="s">
        <v>756</v>
      </c>
      <c r="AD51" s="23" t="s">
        <v>757</v>
      </c>
      <c r="AE51" s="23" t="s">
        <v>758</v>
      </c>
    </row>
    <row r="52" spans="1:31" hidden="1" x14ac:dyDescent="0.25">
      <c r="A52">
        <v>51</v>
      </c>
      <c r="B52" t="s">
        <v>93</v>
      </c>
      <c r="C52" t="s">
        <v>625</v>
      </c>
      <c r="D52" t="s">
        <v>603</v>
      </c>
      <c r="E52" t="s">
        <v>35</v>
      </c>
      <c r="F52" t="s">
        <v>162</v>
      </c>
      <c r="G52" t="s">
        <v>626</v>
      </c>
      <c r="H52" t="s">
        <v>627</v>
      </c>
      <c r="I52" t="s">
        <v>163</v>
      </c>
      <c r="J52" t="s">
        <v>741</v>
      </c>
      <c r="K52" t="s">
        <v>742</v>
      </c>
      <c r="L52" s="23" t="s">
        <v>759</v>
      </c>
      <c r="M52" s="23" t="s">
        <v>760</v>
      </c>
      <c r="N52" s="23" t="s">
        <v>574</v>
      </c>
      <c r="O52" s="23" t="s">
        <v>761</v>
      </c>
      <c r="P52" s="23" t="s">
        <v>762</v>
      </c>
      <c r="Q52" s="23" t="s">
        <v>763</v>
      </c>
      <c r="R52" s="23" t="s">
        <v>764</v>
      </c>
      <c r="S52" s="23" t="s">
        <v>765</v>
      </c>
      <c r="T52" s="23" t="s">
        <v>766</v>
      </c>
      <c r="U52" s="23" t="s">
        <v>767</v>
      </c>
      <c r="V52" s="23" t="s">
        <v>768</v>
      </c>
      <c r="W52" s="23" t="s">
        <v>769</v>
      </c>
      <c r="X52" s="23" t="s">
        <v>770</v>
      </c>
      <c r="Y52" s="23" t="s">
        <v>771</v>
      </c>
      <c r="Z52" s="23" t="s">
        <v>772</v>
      </c>
      <c r="AA52" s="23" t="s">
        <v>773</v>
      </c>
      <c r="AB52" s="23" t="s">
        <v>774</v>
      </c>
      <c r="AC52" s="23" t="s">
        <v>775</v>
      </c>
      <c r="AD52" s="23" t="s">
        <v>776</v>
      </c>
      <c r="AE52" s="23" t="s">
        <v>777</v>
      </c>
    </row>
    <row r="53" spans="1:31" hidden="1" x14ac:dyDescent="0.25">
      <c r="A53">
        <v>52</v>
      </c>
      <c r="B53" t="s">
        <v>93</v>
      </c>
      <c r="C53" t="s">
        <v>644</v>
      </c>
      <c r="D53" t="s">
        <v>603</v>
      </c>
      <c r="E53" t="s">
        <v>35</v>
      </c>
      <c r="F53" t="s">
        <v>162</v>
      </c>
      <c r="G53" t="s">
        <v>645</v>
      </c>
      <c r="H53" t="s">
        <v>778</v>
      </c>
      <c r="I53" t="s">
        <v>163</v>
      </c>
      <c r="J53" t="s">
        <v>779</v>
      </c>
      <c r="K53" t="s">
        <v>780</v>
      </c>
      <c r="L53" s="23" t="s">
        <v>781</v>
      </c>
      <c r="M53" s="23" t="s">
        <v>782</v>
      </c>
      <c r="N53" s="23" t="s">
        <v>783</v>
      </c>
      <c r="O53" s="23" t="s">
        <v>784</v>
      </c>
      <c r="P53" s="23" t="s">
        <v>785</v>
      </c>
      <c r="Q53" s="23" t="s">
        <v>786</v>
      </c>
      <c r="R53" s="23" t="s">
        <v>787</v>
      </c>
      <c r="S53" s="23" t="s">
        <v>788</v>
      </c>
      <c r="T53" s="23" t="s">
        <v>789</v>
      </c>
      <c r="U53" s="23" t="s">
        <v>790</v>
      </c>
      <c r="V53" s="23" t="s">
        <v>51</v>
      </c>
      <c r="W53" s="23" t="s">
        <v>791</v>
      </c>
      <c r="X53" s="23" t="s">
        <v>792</v>
      </c>
      <c r="Y53" s="23" t="s">
        <v>793</v>
      </c>
      <c r="Z53" s="23" t="s">
        <v>794</v>
      </c>
      <c r="AA53" s="23" t="s">
        <v>795</v>
      </c>
      <c r="AB53" s="23" t="s">
        <v>796</v>
      </c>
      <c r="AC53" s="23" t="s">
        <v>797</v>
      </c>
      <c r="AD53" s="23" t="s">
        <v>798</v>
      </c>
      <c r="AE53" s="23" t="s">
        <v>799</v>
      </c>
    </row>
    <row r="54" spans="1:31" hidden="1" x14ac:dyDescent="0.25">
      <c r="A54">
        <v>53</v>
      </c>
      <c r="B54" t="s">
        <v>93</v>
      </c>
      <c r="C54" t="s">
        <v>669</v>
      </c>
      <c r="D54" t="s">
        <v>603</v>
      </c>
      <c r="E54" t="s">
        <v>35</v>
      </c>
      <c r="F54" t="s">
        <v>162</v>
      </c>
      <c r="G54" t="s">
        <v>670</v>
      </c>
      <c r="H54" t="s">
        <v>343</v>
      </c>
      <c r="I54" t="s">
        <v>163</v>
      </c>
      <c r="J54" t="s">
        <v>671</v>
      </c>
      <c r="K54" t="s">
        <v>672</v>
      </c>
      <c r="L54" s="23" t="s">
        <v>800</v>
      </c>
      <c r="M54" s="23" t="s">
        <v>801</v>
      </c>
      <c r="N54" s="23" t="s">
        <v>574</v>
      </c>
      <c r="O54" s="23" t="s">
        <v>802</v>
      </c>
      <c r="P54" s="23" t="s">
        <v>803</v>
      </c>
      <c r="Q54" s="23" t="s">
        <v>804</v>
      </c>
      <c r="R54" s="23" t="s">
        <v>805</v>
      </c>
      <c r="S54" s="23" t="s">
        <v>806</v>
      </c>
      <c r="T54" s="23" t="s">
        <v>807</v>
      </c>
      <c r="U54" s="23" t="s">
        <v>601</v>
      </c>
      <c r="V54" s="23" t="s">
        <v>153</v>
      </c>
      <c r="W54" s="23" t="s">
        <v>339</v>
      </c>
      <c r="X54" s="23" t="s">
        <v>808</v>
      </c>
      <c r="Y54" s="23" t="s">
        <v>809</v>
      </c>
      <c r="Z54" s="23" t="s">
        <v>216</v>
      </c>
      <c r="AA54" s="23" t="s">
        <v>810</v>
      </c>
      <c r="AB54" s="23" t="s">
        <v>811</v>
      </c>
      <c r="AC54" s="23" t="s">
        <v>812</v>
      </c>
      <c r="AD54" s="23" t="s">
        <v>695</v>
      </c>
      <c r="AE54" s="23" t="s">
        <v>813</v>
      </c>
    </row>
    <row r="55" spans="1:31" hidden="1" x14ac:dyDescent="0.25">
      <c r="A55">
        <v>54</v>
      </c>
      <c r="B55" t="s">
        <v>93</v>
      </c>
      <c r="C55" t="s">
        <v>686</v>
      </c>
      <c r="D55" t="s">
        <v>603</v>
      </c>
      <c r="E55" t="s">
        <v>35</v>
      </c>
      <c r="F55" t="s">
        <v>162</v>
      </c>
      <c r="G55" t="s">
        <v>687</v>
      </c>
      <c r="H55" t="s">
        <v>343</v>
      </c>
      <c r="I55" t="s">
        <v>240</v>
      </c>
      <c r="J55" t="s">
        <v>688</v>
      </c>
      <c r="K55" t="s">
        <v>689</v>
      </c>
      <c r="L55" s="23" t="s">
        <v>814</v>
      </c>
      <c r="M55" s="23" t="s">
        <v>815</v>
      </c>
      <c r="N55" s="23" t="s">
        <v>216</v>
      </c>
      <c r="O55" s="23" t="s">
        <v>816</v>
      </c>
      <c r="P55" s="23" t="s">
        <v>817</v>
      </c>
      <c r="Q55" s="23" t="s">
        <v>737</v>
      </c>
      <c r="R55" s="23" t="s">
        <v>818</v>
      </c>
      <c r="S55" s="23" t="s">
        <v>819</v>
      </c>
      <c r="T55" s="23" t="s">
        <v>820</v>
      </c>
      <c r="U55" s="23" t="s">
        <v>542</v>
      </c>
      <c r="V55" s="23" t="s">
        <v>278</v>
      </c>
      <c r="W55" s="23" t="s">
        <v>821</v>
      </c>
      <c r="X55" s="23" t="s">
        <v>822</v>
      </c>
      <c r="Y55" s="23" t="s">
        <v>823</v>
      </c>
      <c r="Z55" s="23" t="s">
        <v>185</v>
      </c>
      <c r="AA55" s="23" t="s">
        <v>824</v>
      </c>
      <c r="AB55" s="23" t="s">
        <v>825</v>
      </c>
      <c r="AC55" s="23" t="s">
        <v>826</v>
      </c>
      <c r="AD55" s="23" t="s">
        <v>827</v>
      </c>
      <c r="AE55" s="23" t="s">
        <v>828</v>
      </c>
    </row>
    <row r="56" spans="1:31" hidden="1" x14ac:dyDescent="0.25">
      <c r="A56">
        <v>55</v>
      </c>
      <c r="B56" t="s">
        <v>93</v>
      </c>
      <c r="C56" t="s">
        <v>706</v>
      </c>
      <c r="D56" t="s">
        <v>603</v>
      </c>
      <c r="E56" t="s">
        <v>35</v>
      </c>
      <c r="F56" t="s">
        <v>162</v>
      </c>
      <c r="G56" t="s">
        <v>707</v>
      </c>
      <c r="H56" t="s">
        <v>343</v>
      </c>
      <c r="I56" t="s">
        <v>163</v>
      </c>
      <c r="J56" t="s">
        <v>708</v>
      </c>
      <c r="K56" t="s">
        <v>709</v>
      </c>
      <c r="L56" s="23" t="s">
        <v>325</v>
      </c>
      <c r="M56" s="23" t="s">
        <v>591</v>
      </c>
      <c r="N56" s="23" t="s">
        <v>193</v>
      </c>
      <c r="O56" s="23" t="s">
        <v>829</v>
      </c>
      <c r="P56" s="23" t="s">
        <v>715</v>
      </c>
      <c r="Q56" s="23" t="s">
        <v>830</v>
      </c>
      <c r="R56" s="23" t="s">
        <v>275</v>
      </c>
      <c r="S56" s="23" t="s">
        <v>831</v>
      </c>
      <c r="T56" s="23" t="s">
        <v>832</v>
      </c>
      <c r="U56" s="23" t="s">
        <v>492</v>
      </c>
      <c r="V56" s="23" t="s">
        <v>153</v>
      </c>
      <c r="W56" s="23" t="s">
        <v>833</v>
      </c>
      <c r="X56" s="23" t="s">
        <v>834</v>
      </c>
      <c r="Y56" s="23" t="s">
        <v>407</v>
      </c>
      <c r="Z56" s="23" t="s">
        <v>153</v>
      </c>
      <c r="AA56" s="23" t="s">
        <v>835</v>
      </c>
      <c r="AB56" s="23" t="s">
        <v>836</v>
      </c>
      <c r="AC56" s="23" t="s">
        <v>837</v>
      </c>
      <c r="AD56" s="23" t="s">
        <v>838</v>
      </c>
      <c r="AE56" s="23" t="s">
        <v>839</v>
      </c>
    </row>
    <row r="57" spans="1:31" hidden="1" x14ac:dyDescent="0.25">
      <c r="A57">
        <v>56</v>
      </c>
      <c r="B57" t="s">
        <v>93</v>
      </c>
      <c r="C57" t="s">
        <v>725</v>
      </c>
      <c r="D57" t="s">
        <v>603</v>
      </c>
      <c r="E57" t="s">
        <v>35</v>
      </c>
      <c r="F57" t="s">
        <v>162</v>
      </c>
      <c r="G57" t="s">
        <v>726</v>
      </c>
      <c r="H57" t="s">
        <v>343</v>
      </c>
      <c r="I57" t="s">
        <v>163</v>
      </c>
      <c r="J57" t="s">
        <v>727</v>
      </c>
      <c r="K57" t="s">
        <v>728</v>
      </c>
      <c r="L57" s="23" t="s">
        <v>488</v>
      </c>
      <c r="M57" s="23" t="s">
        <v>588</v>
      </c>
      <c r="N57" s="23" t="s">
        <v>122</v>
      </c>
      <c r="O57" s="23" t="s">
        <v>840</v>
      </c>
      <c r="P57" s="23" t="s">
        <v>571</v>
      </c>
      <c r="Q57" s="23" t="s">
        <v>841</v>
      </c>
      <c r="R57" s="23" t="s">
        <v>151</v>
      </c>
      <c r="S57" s="23" t="s">
        <v>353</v>
      </c>
      <c r="T57" s="23" t="s">
        <v>612</v>
      </c>
      <c r="U57" s="23" t="s">
        <v>444</v>
      </c>
      <c r="V57" s="23" t="s">
        <v>122</v>
      </c>
      <c r="W57" s="23" t="s">
        <v>842</v>
      </c>
      <c r="X57" s="23" t="s">
        <v>843</v>
      </c>
      <c r="Y57" s="23" t="s">
        <v>133</v>
      </c>
      <c r="Z57" s="23" t="s">
        <v>98</v>
      </c>
      <c r="AA57" s="23" t="s">
        <v>844</v>
      </c>
      <c r="AB57" s="23" t="s">
        <v>845</v>
      </c>
      <c r="AC57" s="23" t="s">
        <v>846</v>
      </c>
      <c r="AD57" s="23" t="s">
        <v>97</v>
      </c>
      <c r="AE57" s="23" t="s">
        <v>847</v>
      </c>
    </row>
    <row r="58" spans="1:31" hidden="1" x14ac:dyDescent="0.25">
      <c r="A58">
        <v>57</v>
      </c>
      <c r="B58" t="s">
        <v>246</v>
      </c>
      <c r="C58" t="s">
        <v>848</v>
      </c>
      <c r="D58" t="s">
        <v>849</v>
      </c>
      <c r="E58" t="s">
        <v>35</v>
      </c>
      <c r="F58" t="s">
        <v>36</v>
      </c>
      <c r="G58" t="s">
        <v>850</v>
      </c>
      <c r="H58" t="s">
        <v>851</v>
      </c>
      <c r="I58" t="s">
        <v>39</v>
      </c>
      <c r="J58" t="s">
        <v>852</v>
      </c>
      <c r="K58" t="s">
        <v>853</v>
      </c>
      <c r="L58" s="23" t="s">
        <v>854</v>
      </c>
      <c r="M58" s="23" t="s">
        <v>232</v>
      </c>
      <c r="N58" s="23" t="s">
        <v>153</v>
      </c>
      <c r="O58" s="23" t="s">
        <v>855</v>
      </c>
      <c r="P58" s="23" t="s">
        <v>856</v>
      </c>
      <c r="Q58" s="23" t="s">
        <v>857</v>
      </c>
      <c r="R58" s="23" t="s">
        <v>149</v>
      </c>
      <c r="S58" s="23" t="s">
        <v>858</v>
      </c>
      <c r="T58" s="23" t="s">
        <v>859</v>
      </c>
      <c r="U58" s="23" t="s">
        <v>556</v>
      </c>
      <c r="V58" s="23" t="s">
        <v>98</v>
      </c>
      <c r="W58" s="23" t="s">
        <v>860</v>
      </c>
      <c r="X58" s="23" t="s">
        <v>861</v>
      </c>
      <c r="Y58" s="23" t="s">
        <v>862</v>
      </c>
      <c r="Z58" s="23" t="s">
        <v>76</v>
      </c>
      <c r="AA58" s="23" t="s">
        <v>863</v>
      </c>
      <c r="AB58" s="23" t="s">
        <v>864</v>
      </c>
      <c r="AC58" s="23" t="s">
        <v>865</v>
      </c>
      <c r="AD58" s="23" t="s">
        <v>444</v>
      </c>
      <c r="AE58" s="23" t="s">
        <v>866</v>
      </c>
    </row>
    <row r="59" spans="1:31" hidden="1" x14ac:dyDescent="0.25">
      <c r="A59">
        <v>58</v>
      </c>
      <c r="B59" t="s">
        <v>246</v>
      </c>
      <c r="C59" t="s">
        <v>867</v>
      </c>
      <c r="D59" t="s">
        <v>849</v>
      </c>
      <c r="E59" t="s">
        <v>35</v>
      </c>
      <c r="F59" t="s">
        <v>36</v>
      </c>
      <c r="G59" t="s">
        <v>868</v>
      </c>
      <c r="H59" t="s">
        <v>851</v>
      </c>
      <c r="I59" t="s">
        <v>39</v>
      </c>
      <c r="J59" t="s">
        <v>869</v>
      </c>
      <c r="K59" t="s">
        <v>870</v>
      </c>
      <c r="L59" s="23" t="s">
        <v>871</v>
      </c>
      <c r="M59" s="23" t="s">
        <v>872</v>
      </c>
      <c r="N59" s="23" t="s">
        <v>767</v>
      </c>
      <c r="O59" s="23" t="s">
        <v>873</v>
      </c>
      <c r="P59" s="23" t="s">
        <v>874</v>
      </c>
      <c r="Q59" s="23" t="s">
        <v>875</v>
      </c>
      <c r="R59" s="23" t="s">
        <v>876</v>
      </c>
      <c r="S59" s="23" t="s">
        <v>877</v>
      </c>
      <c r="T59" s="23" t="s">
        <v>878</v>
      </c>
      <c r="U59" s="23" t="s">
        <v>809</v>
      </c>
      <c r="V59" s="23" t="s">
        <v>879</v>
      </c>
      <c r="W59" s="23" t="s">
        <v>880</v>
      </c>
      <c r="X59" s="23" t="s">
        <v>881</v>
      </c>
      <c r="Y59" s="23" t="s">
        <v>882</v>
      </c>
      <c r="Z59" s="23" t="s">
        <v>883</v>
      </c>
      <c r="AA59" s="23" t="s">
        <v>884</v>
      </c>
      <c r="AB59" s="23" t="s">
        <v>885</v>
      </c>
      <c r="AC59" s="23" t="s">
        <v>175</v>
      </c>
      <c r="AD59" s="23" t="s">
        <v>886</v>
      </c>
      <c r="AE59" s="23" t="s">
        <v>887</v>
      </c>
    </row>
    <row r="60" spans="1:31" hidden="1" x14ac:dyDescent="0.25">
      <c r="A60">
        <v>59</v>
      </c>
      <c r="B60" t="s">
        <v>246</v>
      </c>
      <c r="C60" t="s">
        <v>888</v>
      </c>
      <c r="D60" t="s">
        <v>849</v>
      </c>
      <c r="E60" t="s">
        <v>35</v>
      </c>
      <c r="F60" t="s">
        <v>36</v>
      </c>
      <c r="G60" t="s">
        <v>889</v>
      </c>
      <c r="H60" t="s">
        <v>851</v>
      </c>
      <c r="I60" t="s">
        <v>39</v>
      </c>
      <c r="J60" t="s">
        <v>890</v>
      </c>
      <c r="K60" t="s">
        <v>891</v>
      </c>
      <c r="L60" s="23" t="s">
        <v>892</v>
      </c>
      <c r="M60" s="23" t="s">
        <v>248</v>
      </c>
      <c r="N60" s="23" t="s">
        <v>122</v>
      </c>
      <c r="O60" s="23" t="s">
        <v>893</v>
      </c>
      <c r="P60" s="23" t="s">
        <v>894</v>
      </c>
      <c r="Q60" s="23" t="s">
        <v>895</v>
      </c>
      <c r="R60" s="23" t="s">
        <v>213</v>
      </c>
      <c r="S60" s="23" t="s">
        <v>896</v>
      </c>
      <c r="T60" s="23" t="s">
        <v>897</v>
      </c>
      <c r="U60" s="23" t="s">
        <v>68</v>
      </c>
      <c r="V60" s="23" t="s">
        <v>114</v>
      </c>
      <c r="W60" s="23" t="s">
        <v>898</v>
      </c>
      <c r="X60" s="23" t="s">
        <v>899</v>
      </c>
      <c r="Y60" s="23" t="s">
        <v>142</v>
      </c>
      <c r="Z60" s="23" t="s">
        <v>158</v>
      </c>
      <c r="AA60" s="23" t="s">
        <v>900</v>
      </c>
      <c r="AB60" s="23" t="s">
        <v>901</v>
      </c>
      <c r="AC60" s="23" t="s">
        <v>464</v>
      </c>
      <c r="AD60" s="23" t="s">
        <v>282</v>
      </c>
      <c r="AE60" s="23" t="s">
        <v>902</v>
      </c>
    </row>
    <row r="61" spans="1:31" hidden="1" x14ac:dyDescent="0.25">
      <c r="A61">
        <v>60</v>
      </c>
      <c r="B61" t="s">
        <v>246</v>
      </c>
      <c r="C61" t="s">
        <v>903</v>
      </c>
      <c r="D61" t="s">
        <v>849</v>
      </c>
      <c r="E61" t="s">
        <v>35</v>
      </c>
      <c r="F61" t="s">
        <v>36</v>
      </c>
      <c r="G61" t="s">
        <v>904</v>
      </c>
      <c r="H61" t="s">
        <v>851</v>
      </c>
      <c r="I61" t="s">
        <v>39</v>
      </c>
      <c r="J61" t="s">
        <v>905</v>
      </c>
      <c r="K61" t="s">
        <v>906</v>
      </c>
      <c r="L61" s="23" t="s">
        <v>907</v>
      </c>
      <c r="M61" s="23" t="s">
        <v>426</v>
      </c>
      <c r="N61" s="23" t="s">
        <v>244</v>
      </c>
      <c r="O61" s="23" t="s">
        <v>908</v>
      </c>
      <c r="P61" s="23" t="s">
        <v>909</v>
      </c>
      <c r="Q61" s="23" t="s">
        <v>120</v>
      </c>
      <c r="R61" s="23" t="s">
        <v>94</v>
      </c>
      <c r="S61" s="23" t="s">
        <v>910</v>
      </c>
      <c r="T61" s="23" t="s">
        <v>911</v>
      </c>
      <c r="U61" s="23" t="s">
        <v>103</v>
      </c>
      <c r="V61" s="23" t="s">
        <v>114</v>
      </c>
      <c r="W61" s="23" t="s">
        <v>912</v>
      </c>
      <c r="X61" s="23" t="s">
        <v>913</v>
      </c>
      <c r="Y61" s="23" t="s">
        <v>914</v>
      </c>
      <c r="Z61" s="23" t="s">
        <v>114</v>
      </c>
      <c r="AA61" s="23" t="s">
        <v>915</v>
      </c>
      <c r="AB61" s="23" t="s">
        <v>916</v>
      </c>
      <c r="AC61" s="23" t="s">
        <v>917</v>
      </c>
      <c r="AD61" s="23" t="s">
        <v>158</v>
      </c>
      <c r="AE61" s="23" t="s">
        <v>918</v>
      </c>
    </row>
    <row r="62" spans="1:31" hidden="1" x14ac:dyDescent="0.25">
      <c r="A62">
        <v>61</v>
      </c>
      <c r="B62" t="s">
        <v>246</v>
      </c>
      <c r="C62" t="s">
        <v>919</v>
      </c>
      <c r="D62" t="s">
        <v>849</v>
      </c>
      <c r="E62" t="s">
        <v>35</v>
      </c>
      <c r="F62" t="s">
        <v>36</v>
      </c>
      <c r="G62" t="s">
        <v>920</v>
      </c>
      <c r="H62" t="s">
        <v>851</v>
      </c>
      <c r="I62" t="s">
        <v>39</v>
      </c>
      <c r="J62" t="s">
        <v>921</v>
      </c>
      <c r="K62" t="s">
        <v>922</v>
      </c>
      <c r="L62" s="23" t="s">
        <v>923</v>
      </c>
      <c r="M62" s="23" t="s">
        <v>590</v>
      </c>
      <c r="N62" s="23" t="s">
        <v>103</v>
      </c>
      <c r="O62" s="23" t="s">
        <v>924</v>
      </c>
      <c r="P62" s="23" t="s">
        <v>925</v>
      </c>
      <c r="Q62" s="23" t="s">
        <v>608</v>
      </c>
      <c r="R62" s="23" t="s">
        <v>155</v>
      </c>
      <c r="S62" s="23" t="s">
        <v>854</v>
      </c>
      <c r="T62" s="23" t="s">
        <v>926</v>
      </c>
      <c r="U62" s="23" t="s">
        <v>68</v>
      </c>
      <c r="V62" s="23" t="s">
        <v>77</v>
      </c>
      <c r="W62" s="23" t="s">
        <v>927</v>
      </c>
      <c r="X62" s="23" t="s">
        <v>928</v>
      </c>
      <c r="Y62" s="23" t="s">
        <v>929</v>
      </c>
      <c r="Z62" s="23" t="s">
        <v>247</v>
      </c>
      <c r="AA62" s="23" t="s">
        <v>930</v>
      </c>
      <c r="AB62" s="23" t="s">
        <v>931</v>
      </c>
      <c r="AC62" s="23" t="s">
        <v>67</v>
      </c>
      <c r="AD62" s="23" t="s">
        <v>932</v>
      </c>
      <c r="AE62" s="23" t="s">
        <v>933</v>
      </c>
    </row>
    <row r="63" spans="1:31" hidden="1" x14ac:dyDescent="0.25">
      <c r="A63">
        <v>62</v>
      </c>
      <c r="B63" t="s">
        <v>246</v>
      </c>
      <c r="C63" t="s">
        <v>934</v>
      </c>
      <c r="D63" t="s">
        <v>849</v>
      </c>
      <c r="E63" t="s">
        <v>35</v>
      </c>
      <c r="F63" t="s">
        <v>36</v>
      </c>
      <c r="G63" t="s">
        <v>935</v>
      </c>
      <c r="H63" t="s">
        <v>851</v>
      </c>
      <c r="I63" t="s">
        <v>39</v>
      </c>
      <c r="J63" t="s">
        <v>936</v>
      </c>
      <c r="K63" t="s">
        <v>937</v>
      </c>
      <c r="L63" s="23" t="s">
        <v>938</v>
      </c>
      <c r="M63" s="23" t="s">
        <v>278</v>
      </c>
      <c r="N63" s="23" t="s">
        <v>104</v>
      </c>
      <c r="O63" s="23" t="s">
        <v>939</v>
      </c>
      <c r="P63" s="23" t="s">
        <v>940</v>
      </c>
      <c r="Q63" s="23" t="s">
        <v>80</v>
      </c>
      <c r="R63" s="23" t="s">
        <v>104</v>
      </c>
      <c r="S63" s="23" t="s">
        <v>941</v>
      </c>
      <c r="T63" s="23" t="s">
        <v>464</v>
      </c>
      <c r="U63" s="23" t="s">
        <v>130</v>
      </c>
      <c r="V63" s="23" t="s">
        <v>114</v>
      </c>
      <c r="W63" s="23" t="s">
        <v>872</v>
      </c>
      <c r="X63" s="23" t="s">
        <v>942</v>
      </c>
      <c r="Y63" s="23" t="s">
        <v>211</v>
      </c>
      <c r="Z63" s="23" t="s">
        <v>114</v>
      </c>
      <c r="AA63" s="23" t="s">
        <v>943</v>
      </c>
      <c r="AB63" s="23" t="s">
        <v>944</v>
      </c>
      <c r="AC63" s="23" t="s">
        <v>917</v>
      </c>
      <c r="AD63" s="23" t="s">
        <v>98</v>
      </c>
      <c r="AE63" s="23" t="s">
        <v>945</v>
      </c>
    </row>
    <row r="64" spans="1:31" hidden="1" x14ac:dyDescent="0.25">
      <c r="A64">
        <v>63</v>
      </c>
      <c r="B64" t="s">
        <v>246</v>
      </c>
      <c r="C64" t="s">
        <v>946</v>
      </c>
      <c r="D64" t="s">
        <v>849</v>
      </c>
      <c r="E64" t="s">
        <v>35</v>
      </c>
      <c r="F64" t="s">
        <v>36</v>
      </c>
      <c r="G64" t="s">
        <v>670</v>
      </c>
      <c r="H64" t="s">
        <v>851</v>
      </c>
      <c r="I64" t="s">
        <v>39</v>
      </c>
      <c r="J64" t="s">
        <v>947</v>
      </c>
      <c r="K64" t="s">
        <v>948</v>
      </c>
      <c r="L64" s="23" t="s">
        <v>949</v>
      </c>
      <c r="M64" s="23" t="s">
        <v>950</v>
      </c>
      <c r="N64" s="23" t="s">
        <v>574</v>
      </c>
      <c r="O64" s="23" t="s">
        <v>951</v>
      </c>
      <c r="P64" s="23" t="s">
        <v>952</v>
      </c>
      <c r="Q64" s="23" t="s">
        <v>386</v>
      </c>
      <c r="R64" s="23" t="s">
        <v>953</v>
      </c>
      <c r="S64" s="23" t="s">
        <v>954</v>
      </c>
      <c r="T64" s="23" t="s">
        <v>955</v>
      </c>
      <c r="U64" s="23" t="s">
        <v>507</v>
      </c>
      <c r="V64" s="23" t="s">
        <v>153</v>
      </c>
      <c r="W64" s="23" t="s">
        <v>956</v>
      </c>
      <c r="X64" s="23" t="s">
        <v>957</v>
      </c>
      <c r="Y64" s="23" t="s">
        <v>958</v>
      </c>
      <c r="Z64" s="23" t="s">
        <v>312</v>
      </c>
      <c r="AA64" s="23" t="s">
        <v>959</v>
      </c>
      <c r="AB64" s="23" t="s">
        <v>960</v>
      </c>
      <c r="AC64" s="23" t="s">
        <v>352</v>
      </c>
      <c r="AD64" s="23" t="s">
        <v>165</v>
      </c>
      <c r="AE64" s="23" t="s">
        <v>961</v>
      </c>
    </row>
    <row r="65" spans="1:31" hidden="1" x14ac:dyDescent="0.25">
      <c r="A65">
        <v>64</v>
      </c>
      <c r="B65" t="s">
        <v>246</v>
      </c>
      <c r="C65" t="s">
        <v>962</v>
      </c>
      <c r="D65" t="s">
        <v>849</v>
      </c>
      <c r="E65" t="s">
        <v>35</v>
      </c>
      <c r="F65" t="s">
        <v>36</v>
      </c>
      <c r="G65" t="s">
        <v>963</v>
      </c>
      <c r="H65" t="s">
        <v>851</v>
      </c>
      <c r="I65" t="s">
        <v>39</v>
      </c>
      <c r="J65" t="s">
        <v>964</v>
      </c>
      <c r="K65" t="s">
        <v>965</v>
      </c>
      <c r="L65" s="23" t="s">
        <v>966</v>
      </c>
      <c r="M65" s="23" t="s">
        <v>768</v>
      </c>
      <c r="N65" s="23" t="s">
        <v>98</v>
      </c>
      <c r="O65" s="23" t="s">
        <v>967</v>
      </c>
      <c r="P65" s="23" t="s">
        <v>968</v>
      </c>
      <c r="Q65" s="23" t="s">
        <v>723</v>
      </c>
      <c r="R65" s="23" t="s">
        <v>130</v>
      </c>
      <c r="S65" s="23" t="s">
        <v>969</v>
      </c>
      <c r="T65" s="23" t="s">
        <v>560</v>
      </c>
      <c r="U65" s="23" t="s">
        <v>119</v>
      </c>
      <c r="V65" s="23" t="s">
        <v>94</v>
      </c>
      <c r="W65" s="23" t="s">
        <v>970</v>
      </c>
      <c r="X65" s="23" t="s">
        <v>971</v>
      </c>
      <c r="Y65" s="23" t="s">
        <v>972</v>
      </c>
      <c r="Z65" s="23" t="s">
        <v>213</v>
      </c>
      <c r="AA65" s="23" t="s">
        <v>973</v>
      </c>
      <c r="AB65" s="23" t="s">
        <v>974</v>
      </c>
      <c r="AC65" s="23" t="s">
        <v>975</v>
      </c>
      <c r="AD65" s="23" t="s">
        <v>119</v>
      </c>
      <c r="AE65" s="23" t="s">
        <v>976</v>
      </c>
    </row>
    <row r="66" spans="1:31" hidden="1" x14ac:dyDescent="0.25">
      <c r="A66">
        <v>65</v>
      </c>
      <c r="B66" t="s">
        <v>246</v>
      </c>
      <c r="C66" t="s">
        <v>977</v>
      </c>
      <c r="D66" t="s">
        <v>849</v>
      </c>
      <c r="E66" t="s">
        <v>35</v>
      </c>
      <c r="F66" t="s">
        <v>36</v>
      </c>
      <c r="G66" t="s">
        <v>978</v>
      </c>
      <c r="H66" t="s">
        <v>851</v>
      </c>
      <c r="I66" t="s">
        <v>39</v>
      </c>
      <c r="J66" t="s">
        <v>979</v>
      </c>
      <c r="K66" t="s">
        <v>980</v>
      </c>
      <c r="L66" s="23" t="s">
        <v>515</v>
      </c>
      <c r="M66" s="23" t="s">
        <v>981</v>
      </c>
      <c r="N66" s="23" t="s">
        <v>130</v>
      </c>
      <c r="O66" s="23" t="s">
        <v>982</v>
      </c>
      <c r="P66" s="23" t="s">
        <v>983</v>
      </c>
      <c r="Q66" s="23" t="s">
        <v>608</v>
      </c>
      <c r="R66" s="23" t="s">
        <v>113</v>
      </c>
      <c r="S66" s="23" t="s">
        <v>984</v>
      </c>
      <c r="T66" s="23" t="s">
        <v>985</v>
      </c>
      <c r="U66" s="23" t="s">
        <v>245</v>
      </c>
      <c r="V66" s="23" t="s">
        <v>158</v>
      </c>
      <c r="W66" s="23" t="s">
        <v>986</v>
      </c>
      <c r="X66" s="23" t="s">
        <v>987</v>
      </c>
      <c r="Y66" s="23" t="s">
        <v>465</v>
      </c>
      <c r="Z66" s="23" t="s">
        <v>479</v>
      </c>
      <c r="AA66" s="23" t="s">
        <v>988</v>
      </c>
      <c r="AB66" s="23" t="s">
        <v>989</v>
      </c>
      <c r="AC66" s="23" t="s">
        <v>990</v>
      </c>
      <c r="AD66" s="23" t="s">
        <v>991</v>
      </c>
      <c r="AE66" s="23" t="s">
        <v>992</v>
      </c>
    </row>
    <row r="67" spans="1:31" hidden="1" x14ac:dyDescent="0.25">
      <c r="A67">
        <v>66</v>
      </c>
      <c r="B67" t="s">
        <v>246</v>
      </c>
      <c r="C67" t="s">
        <v>993</v>
      </c>
      <c r="D67" t="s">
        <v>849</v>
      </c>
      <c r="E67" t="s">
        <v>35</v>
      </c>
      <c r="F67" t="s">
        <v>36</v>
      </c>
      <c r="G67" t="s">
        <v>994</v>
      </c>
      <c r="H67" t="s">
        <v>851</v>
      </c>
      <c r="I67" t="s">
        <v>39</v>
      </c>
      <c r="J67" t="s">
        <v>995</v>
      </c>
      <c r="K67" t="s">
        <v>996</v>
      </c>
      <c r="L67" s="23" t="s">
        <v>997</v>
      </c>
      <c r="M67" s="23" t="s">
        <v>151</v>
      </c>
      <c r="N67" s="23" t="s">
        <v>98</v>
      </c>
      <c r="O67" s="23" t="s">
        <v>998</v>
      </c>
      <c r="P67" s="23" t="s">
        <v>999</v>
      </c>
      <c r="Q67" s="23" t="s">
        <v>492</v>
      </c>
      <c r="R67" s="23" t="s">
        <v>69</v>
      </c>
      <c r="S67" s="23" t="s">
        <v>1000</v>
      </c>
      <c r="T67" s="23" t="s">
        <v>1001</v>
      </c>
      <c r="U67" s="23" t="s">
        <v>247</v>
      </c>
      <c r="V67" s="23" t="s">
        <v>98</v>
      </c>
      <c r="W67" s="23" t="s">
        <v>1002</v>
      </c>
      <c r="X67" s="23" t="s">
        <v>227</v>
      </c>
      <c r="Y67" s="23" t="s">
        <v>185</v>
      </c>
      <c r="Z67" s="23" t="s">
        <v>98</v>
      </c>
      <c r="AA67" s="23" t="s">
        <v>1003</v>
      </c>
      <c r="AB67" s="23" t="s">
        <v>1004</v>
      </c>
      <c r="AC67" s="23" t="s">
        <v>490</v>
      </c>
      <c r="AD67" s="23" t="s">
        <v>151</v>
      </c>
      <c r="AE67" s="23" t="s">
        <v>1005</v>
      </c>
    </row>
    <row r="68" spans="1:31" hidden="1" x14ac:dyDescent="0.25">
      <c r="A68">
        <v>67</v>
      </c>
      <c r="B68" t="s">
        <v>246</v>
      </c>
      <c r="C68" t="s">
        <v>1006</v>
      </c>
      <c r="D68" t="s">
        <v>849</v>
      </c>
      <c r="E68" t="s">
        <v>35</v>
      </c>
      <c r="F68" t="s">
        <v>36</v>
      </c>
      <c r="G68" t="s">
        <v>1007</v>
      </c>
      <c r="H68" t="s">
        <v>851</v>
      </c>
      <c r="I68" t="s">
        <v>39</v>
      </c>
      <c r="J68" t="s">
        <v>1008</v>
      </c>
      <c r="K68" t="s">
        <v>1009</v>
      </c>
      <c r="L68" s="23" t="s">
        <v>1010</v>
      </c>
      <c r="M68" s="23" t="s">
        <v>264</v>
      </c>
      <c r="N68" s="23" t="s">
        <v>76</v>
      </c>
      <c r="O68" s="23" t="s">
        <v>1011</v>
      </c>
      <c r="P68" s="23" t="s">
        <v>1012</v>
      </c>
      <c r="Q68" s="23" t="s">
        <v>1013</v>
      </c>
      <c r="R68" s="23" t="s">
        <v>1014</v>
      </c>
      <c r="S68" s="23" t="s">
        <v>1015</v>
      </c>
      <c r="T68" s="23" t="s">
        <v>1016</v>
      </c>
      <c r="U68" s="23" t="s">
        <v>517</v>
      </c>
      <c r="V68" s="23" t="s">
        <v>77</v>
      </c>
      <c r="W68" s="23" t="s">
        <v>1017</v>
      </c>
      <c r="X68" s="23" t="s">
        <v>1018</v>
      </c>
      <c r="Y68" s="23" t="s">
        <v>1019</v>
      </c>
      <c r="Z68" s="23" t="s">
        <v>97</v>
      </c>
      <c r="AA68" s="23" t="s">
        <v>1020</v>
      </c>
      <c r="AB68" s="23" t="s">
        <v>1021</v>
      </c>
      <c r="AC68" s="23" t="s">
        <v>1022</v>
      </c>
      <c r="AD68" s="23" t="s">
        <v>142</v>
      </c>
      <c r="AE68" s="23" t="s">
        <v>1023</v>
      </c>
    </row>
    <row r="69" spans="1:31" hidden="1" x14ac:dyDescent="0.25">
      <c r="A69">
        <v>68</v>
      </c>
      <c r="B69" t="s">
        <v>246</v>
      </c>
      <c r="C69" t="s">
        <v>848</v>
      </c>
      <c r="D69" t="s">
        <v>849</v>
      </c>
      <c r="E69" t="s">
        <v>35</v>
      </c>
      <c r="F69" t="s">
        <v>162</v>
      </c>
      <c r="G69" t="s">
        <v>850</v>
      </c>
      <c r="H69" t="s">
        <v>851</v>
      </c>
      <c r="I69" t="s">
        <v>163</v>
      </c>
      <c r="J69" t="s">
        <v>852</v>
      </c>
      <c r="K69" t="s">
        <v>853</v>
      </c>
      <c r="L69" s="23" t="s">
        <v>530</v>
      </c>
      <c r="M69" s="23" t="s">
        <v>1024</v>
      </c>
      <c r="N69" s="23" t="s">
        <v>98</v>
      </c>
      <c r="O69" s="23" t="s">
        <v>865</v>
      </c>
      <c r="P69" s="23" t="s">
        <v>1025</v>
      </c>
      <c r="Q69" s="23" t="s">
        <v>1026</v>
      </c>
      <c r="R69" s="23" t="s">
        <v>93</v>
      </c>
      <c r="S69" s="23" t="s">
        <v>1027</v>
      </c>
      <c r="T69" s="23" t="s">
        <v>1028</v>
      </c>
      <c r="U69" s="23" t="s">
        <v>113</v>
      </c>
      <c r="V69" s="23" t="s">
        <v>244</v>
      </c>
      <c r="W69" s="23" t="s">
        <v>1029</v>
      </c>
      <c r="X69" s="23" t="s">
        <v>971</v>
      </c>
      <c r="Y69" s="23" t="s">
        <v>303</v>
      </c>
      <c r="Z69" s="23" t="s">
        <v>158</v>
      </c>
      <c r="AA69" s="23" t="s">
        <v>1030</v>
      </c>
      <c r="AB69" s="23" t="s">
        <v>1031</v>
      </c>
      <c r="AC69" s="23" t="s">
        <v>177</v>
      </c>
      <c r="AD69" s="23" t="s">
        <v>1032</v>
      </c>
      <c r="AE69" s="23" t="s">
        <v>1033</v>
      </c>
    </row>
    <row r="70" spans="1:31" hidden="1" x14ac:dyDescent="0.25">
      <c r="A70">
        <v>69</v>
      </c>
      <c r="B70" t="s">
        <v>246</v>
      </c>
      <c r="C70" t="s">
        <v>867</v>
      </c>
      <c r="D70" t="s">
        <v>849</v>
      </c>
      <c r="E70" t="s">
        <v>35</v>
      </c>
      <c r="F70" t="s">
        <v>162</v>
      </c>
      <c r="G70" t="s">
        <v>868</v>
      </c>
      <c r="H70" t="s">
        <v>851</v>
      </c>
      <c r="I70" t="s">
        <v>163</v>
      </c>
      <c r="J70" t="s">
        <v>869</v>
      </c>
      <c r="K70" t="s">
        <v>870</v>
      </c>
      <c r="L70" s="23" t="s">
        <v>1034</v>
      </c>
      <c r="M70" s="23" t="s">
        <v>1035</v>
      </c>
      <c r="N70" s="23" t="s">
        <v>512</v>
      </c>
      <c r="O70" s="23" t="s">
        <v>1036</v>
      </c>
      <c r="P70" s="23" t="s">
        <v>1037</v>
      </c>
      <c r="Q70" s="23" t="s">
        <v>1038</v>
      </c>
      <c r="R70" s="23" t="s">
        <v>1039</v>
      </c>
      <c r="S70" s="23" t="s">
        <v>1040</v>
      </c>
      <c r="T70" s="23" t="s">
        <v>1041</v>
      </c>
      <c r="U70" s="23" t="s">
        <v>318</v>
      </c>
      <c r="V70" s="23" t="s">
        <v>230</v>
      </c>
      <c r="W70" s="23" t="s">
        <v>1042</v>
      </c>
      <c r="X70" s="23" t="s">
        <v>1043</v>
      </c>
      <c r="Y70" s="23" t="s">
        <v>1044</v>
      </c>
      <c r="Z70" s="23" t="s">
        <v>691</v>
      </c>
      <c r="AA70" s="23" t="s">
        <v>1045</v>
      </c>
      <c r="AB70" s="23" t="s">
        <v>1046</v>
      </c>
      <c r="AC70" s="23" t="s">
        <v>1047</v>
      </c>
      <c r="AD70" s="23" t="s">
        <v>550</v>
      </c>
      <c r="AE70" s="23" t="s">
        <v>1048</v>
      </c>
    </row>
    <row r="71" spans="1:31" hidden="1" x14ac:dyDescent="0.25">
      <c r="A71">
        <v>70</v>
      </c>
      <c r="B71" t="s">
        <v>246</v>
      </c>
      <c r="C71" t="s">
        <v>888</v>
      </c>
      <c r="D71" t="s">
        <v>849</v>
      </c>
      <c r="E71" t="s">
        <v>35</v>
      </c>
      <c r="F71" t="s">
        <v>162</v>
      </c>
      <c r="G71" t="s">
        <v>889</v>
      </c>
      <c r="H71" t="s">
        <v>851</v>
      </c>
      <c r="I71" t="s">
        <v>163</v>
      </c>
      <c r="J71" t="s">
        <v>890</v>
      </c>
      <c r="K71" t="s">
        <v>891</v>
      </c>
      <c r="L71" s="23" t="s">
        <v>1049</v>
      </c>
      <c r="M71" s="23" t="s">
        <v>574</v>
      </c>
      <c r="N71" s="23" t="s">
        <v>32</v>
      </c>
      <c r="O71" s="23" t="s">
        <v>1050</v>
      </c>
      <c r="P71" s="23" t="s">
        <v>1051</v>
      </c>
      <c r="Q71" s="23" t="s">
        <v>1052</v>
      </c>
      <c r="R71" s="23" t="s">
        <v>118</v>
      </c>
      <c r="S71" s="23" t="s">
        <v>1053</v>
      </c>
      <c r="T71" s="23" t="s">
        <v>1054</v>
      </c>
      <c r="U71" s="23" t="s">
        <v>157</v>
      </c>
      <c r="V71" s="23" t="s">
        <v>122</v>
      </c>
      <c r="W71" s="23" t="s">
        <v>1055</v>
      </c>
      <c r="X71" s="23" t="s">
        <v>1056</v>
      </c>
      <c r="Y71" s="23" t="s">
        <v>772</v>
      </c>
      <c r="Z71" s="23" t="s">
        <v>122</v>
      </c>
      <c r="AA71" s="23" t="s">
        <v>1057</v>
      </c>
      <c r="AB71" s="23" t="s">
        <v>1058</v>
      </c>
      <c r="AC71" s="23" t="s">
        <v>1059</v>
      </c>
      <c r="AD71" s="23" t="s">
        <v>233</v>
      </c>
      <c r="AE71" s="23" t="s">
        <v>1060</v>
      </c>
    </row>
    <row r="72" spans="1:31" hidden="1" x14ac:dyDescent="0.25">
      <c r="A72">
        <v>71</v>
      </c>
      <c r="B72" t="s">
        <v>246</v>
      </c>
      <c r="C72" t="s">
        <v>903</v>
      </c>
      <c r="D72" t="s">
        <v>849</v>
      </c>
      <c r="E72" t="s">
        <v>35</v>
      </c>
      <c r="F72" t="s">
        <v>162</v>
      </c>
      <c r="G72" t="s">
        <v>904</v>
      </c>
      <c r="H72" t="s">
        <v>851</v>
      </c>
      <c r="I72" t="s">
        <v>163</v>
      </c>
      <c r="J72" t="s">
        <v>905</v>
      </c>
      <c r="K72" t="s">
        <v>906</v>
      </c>
      <c r="L72" s="23" t="s">
        <v>1061</v>
      </c>
      <c r="M72" s="23" t="s">
        <v>69</v>
      </c>
      <c r="N72" s="23" t="s">
        <v>104</v>
      </c>
      <c r="O72" s="23" t="s">
        <v>1062</v>
      </c>
      <c r="P72" s="23" t="s">
        <v>1063</v>
      </c>
      <c r="Q72" s="23" t="s">
        <v>477</v>
      </c>
      <c r="R72" s="23" t="s">
        <v>158</v>
      </c>
      <c r="S72" s="23" t="s">
        <v>1064</v>
      </c>
      <c r="T72" s="23" t="s">
        <v>1065</v>
      </c>
      <c r="U72" s="23" t="s">
        <v>118</v>
      </c>
      <c r="V72" s="23" t="s">
        <v>150</v>
      </c>
      <c r="W72" s="23" t="s">
        <v>898</v>
      </c>
      <c r="X72" s="23" t="s">
        <v>942</v>
      </c>
      <c r="Y72" s="23" t="s">
        <v>119</v>
      </c>
      <c r="Z72" s="23" t="s">
        <v>114</v>
      </c>
      <c r="AA72" s="23" t="s">
        <v>1066</v>
      </c>
      <c r="AB72" s="23" t="s">
        <v>1067</v>
      </c>
      <c r="AC72" s="23" t="s">
        <v>601</v>
      </c>
      <c r="AD72" s="23" t="s">
        <v>193</v>
      </c>
      <c r="AE72" s="23" t="s">
        <v>1068</v>
      </c>
    </row>
    <row r="73" spans="1:31" hidden="1" x14ac:dyDescent="0.25">
      <c r="A73">
        <v>72</v>
      </c>
      <c r="B73" t="s">
        <v>246</v>
      </c>
      <c r="C73" t="s">
        <v>919</v>
      </c>
      <c r="D73" t="s">
        <v>849</v>
      </c>
      <c r="E73" t="s">
        <v>35</v>
      </c>
      <c r="F73" t="s">
        <v>162</v>
      </c>
      <c r="G73" t="s">
        <v>920</v>
      </c>
      <c r="H73" t="s">
        <v>851</v>
      </c>
      <c r="I73" t="s">
        <v>163</v>
      </c>
      <c r="J73" t="s">
        <v>921</v>
      </c>
      <c r="K73" t="s">
        <v>922</v>
      </c>
      <c r="L73" s="23" t="s">
        <v>865</v>
      </c>
      <c r="M73" s="23" t="s">
        <v>1069</v>
      </c>
      <c r="N73" s="23" t="s">
        <v>32</v>
      </c>
      <c r="O73" s="23" t="s">
        <v>1070</v>
      </c>
      <c r="P73" s="23" t="s">
        <v>1071</v>
      </c>
      <c r="Q73" s="23" t="s">
        <v>1072</v>
      </c>
      <c r="R73" s="23" t="s">
        <v>196</v>
      </c>
      <c r="S73" s="23" t="s">
        <v>1073</v>
      </c>
      <c r="T73" s="23" t="s">
        <v>1074</v>
      </c>
      <c r="U73" s="23" t="s">
        <v>97</v>
      </c>
      <c r="V73" s="23" t="s">
        <v>77</v>
      </c>
      <c r="W73" s="23" t="s">
        <v>924</v>
      </c>
      <c r="X73" s="23" t="s">
        <v>1075</v>
      </c>
      <c r="Y73" s="23" t="s">
        <v>953</v>
      </c>
      <c r="Z73" s="23" t="s">
        <v>246</v>
      </c>
      <c r="AA73" s="23" t="s">
        <v>1076</v>
      </c>
      <c r="AB73" s="23" t="s">
        <v>1077</v>
      </c>
      <c r="AC73" s="23" t="s">
        <v>704</v>
      </c>
      <c r="AD73" s="23" t="s">
        <v>256</v>
      </c>
      <c r="AE73" s="23" t="s">
        <v>1078</v>
      </c>
    </row>
    <row r="74" spans="1:31" hidden="1" x14ac:dyDescent="0.25">
      <c r="A74">
        <v>73</v>
      </c>
      <c r="B74" t="s">
        <v>246</v>
      </c>
      <c r="C74" t="s">
        <v>934</v>
      </c>
      <c r="D74" t="s">
        <v>849</v>
      </c>
      <c r="E74" t="s">
        <v>35</v>
      </c>
      <c r="F74" t="s">
        <v>162</v>
      </c>
      <c r="G74" t="s">
        <v>935</v>
      </c>
      <c r="H74" t="s">
        <v>851</v>
      </c>
      <c r="I74" t="s">
        <v>163</v>
      </c>
      <c r="J74" t="s">
        <v>936</v>
      </c>
      <c r="K74" t="s">
        <v>937</v>
      </c>
      <c r="L74" s="23" t="s">
        <v>1079</v>
      </c>
      <c r="M74" s="23" t="s">
        <v>243</v>
      </c>
      <c r="N74" s="23" t="s">
        <v>114</v>
      </c>
      <c r="O74" s="23" t="s">
        <v>1080</v>
      </c>
      <c r="P74" s="23" t="s">
        <v>1081</v>
      </c>
      <c r="Q74" s="23" t="s">
        <v>1082</v>
      </c>
      <c r="R74" s="23" t="s">
        <v>150</v>
      </c>
      <c r="S74" s="23" t="s">
        <v>1083</v>
      </c>
      <c r="T74" s="23" t="s">
        <v>1084</v>
      </c>
      <c r="U74" s="23" t="s">
        <v>295</v>
      </c>
      <c r="V74" s="23" t="s">
        <v>94</v>
      </c>
      <c r="W74" s="23" t="s">
        <v>1085</v>
      </c>
      <c r="X74" s="23" t="s">
        <v>1086</v>
      </c>
      <c r="Y74" s="23" t="s">
        <v>556</v>
      </c>
      <c r="Z74" s="23" t="s">
        <v>114</v>
      </c>
      <c r="AA74" s="23" t="s">
        <v>1087</v>
      </c>
      <c r="AB74" s="23" t="s">
        <v>1088</v>
      </c>
      <c r="AC74" s="23" t="s">
        <v>1089</v>
      </c>
      <c r="AD74" s="23" t="s">
        <v>98</v>
      </c>
      <c r="AE74" s="23" t="s">
        <v>1090</v>
      </c>
    </row>
    <row r="75" spans="1:31" hidden="1" x14ac:dyDescent="0.25">
      <c r="A75">
        <v>74</v>
      </c>
      <c r="B75" t="s">
        <v>246</v>
      </c>
      <c r="C75" t="s">
        <v>946</v>
      </c>
      <c r="D75" t="s">
        <v>849</v>
      </c>
      <c r="E75" t="s">
        <v>35</v>
      </c>
      <c r="F75" t="s">
        <v>162</v>
      </c>
      <c r="G75" t="s">
        <v>670</v>
      </c>
      <c r="H75" t="s">
        <v>851</v>
      </c>
      <c r="I75" t="s">
        <v>163</v>
      </c>
      <c r="J75" t="s">
        <v>947</v>
      </c>
      <c r="K75" t="s">
        <v>948</v>
      </c>
      <c r="L75" s="23" t="s">
        <v>1091</v>
      </c>
      <c r="M75" s="23" t="s">
        <v>1092</v>
      </c>
      <c r="N75" s="23" t="s">
        <v>570</v>
      </c>
      <c r="O75" s="23" t="s">
        <v>1093</v>
      </c>
      <c r="P75" s="23" t="s">
        <v>1094</v>
      </c>
      <c r="Q75" s="23" t="s">
        <v>1095</v>
      </c>
      <c r="R75" s="23" t="s">
        <v>1096</v>
      </c>
      <c r="S75" s="23" t="s">
        <v>1097</v>
      </c>
      <c r="T75" s="23" t="s">
        <v>1098</v>
      </c>
      <c r="U75" s="23" t="s">
        <v>234</v>
      </c>
      <c r="V75" s="23" t="s">
        <v>253</v>
      </c>
      <c r="W75" s="23" t="s">
        <v>696</v>
      </c>
      <c r="X75" s="23" t="s">
        <v>1099</v>
      </c>
      <c r="Y75" s="23" t="s">
        <v>1100</v>
      </c>
      <c r="Z75" s="23" t="s">
        <v>455</v>
      </c>
      <c r="AA75" s="23" t="s">
        <v>1101</v>
      </c>
      <c r="AB75" s="23" t="s">
        <v>1102</v>
      </c>
      <c r="AC75" s="23" t="s">
        <v>1103</v>
      </c>
      <c r="AD75" s="23" t="s">
        <v>1104</v>
      </c>
      <c r="AE75" s="23" t="s">
        <v>1105</v>
      </c>
    </row>
    <row r="76" spans="1:31" hidden="1" x14ac:dyDescent="0.25">
      <c r="A76">
        <v>75</v>
      </c>
      <c r="B76" t="s">
        <v>246</v>
      </c>
      <c r="C76" t="s">
        <v>962</v>
      </c>
      <c r="D76" t="s">
        <v>849</v>
      </c>
      <c r="E76" t="s">
        <v>35</v>
      </c>
      <c r="F76" t="s">
        <v>162</v>
      </c>
      <c r="G76" t="s">
        <v>963</v>
      </c>
      <c r="H76" t="s">
        <v>851</v>
      </c>
      <c r="I76" t="s">
        <v>163</v>
      </c>
      <c r="J76" t="s">
        <v>964</v>
      </c>
      <c r="K76" t="s">
        <v>965</v>
      </c>
      <c r="L76" s="23" t="s">
        <v>1106</v>
      </c>
      <c r="M76" s="23" t="s">
        <v>278</v>
      </c>
      <c r="N76" s="23" t="s">
        <v>158</v>
      </c>
      <c r="O76" s="23" t="s">
        <v>1107</v>
      </c>
      <c r="P76" s="23" t="s">
        <v>1108</v>
      </c>
      <c r="Q76" s="23" t="s">
        <v>601</v>
      </c>
      <c r="R76" s="23" t="s">
        <v>243</v>
      </c>
      <c r="S76" s="23" t="s">
        <v>1109</v>
      </c>
      <c r="T76" s="23" t="s">
        <v>415</v>
      </c>
      <c r="U76" s="23" t="s">
        <v>185</v>
      </c>
      <c r="V76" s="23" t="s">
        <v>104</v>
      </c>
      <c r="W76" s="23" t="s">
        <v>1110</v>
      </c>
      <c r="X76" s="23" t="s">
        <v>1111</v>
      </c>
      <c r="Y76" s="23" t="s">
        <v>189</v>
      </c>
      <c r="Z76" s="23" t="s">
        <v>244</v>
      </c>
      <c r="AA76" s="23" t="s">
        <v>1112</v>
      </c>
      <c r="AB76" s="23" t="s">
        <v>1113</v>
      </c>
      <c r="AC76" s="23" t="s">
        <v>1114</v>
      </c>
      <c r="AD76" s="23" t="s">
        <v>1032</v>
      </c>
      <c r="AE76" s="23" t="s">
        <v>1115</v>
      </c>
    </row>
    <row r="77" spans="1:31" hidden="1" x14ac:dyDescent="0.25">
      <c r="A77">
        <v>76</v>
      </c>
      <c r="B77" t="s">
        <v>246</v>
      </c>
      <c r="C77" t="s">
        <v>977</v>
      </c>
      <c r="D77" t="s">
        <v>849</v>
      </c>
      <c r="E77" t="s">
        <v>35</v>
      </c>
      <c r="F77" t="s">
        <v>162</v>
      </c>
      <c r="G77" t="s">
        <v>978</v>
      </c>
      <c r="H77" t="s">
        <v>851</v>
      </c>
      <c r="I77" t="s">
        <v>163</v>
      </c>
      <c r="J77" t="s">
        <v>979</v>
      </c>
      <c r="K77" t="s">
        <v>980</v>
      </c>
      <c r="L77" s="23" t="s">
        <v>1116</v>
      </c>
      <c r="M77" s="23" t="s">
        <v>73</v>
      </c>
      <c r="N77" s="23" t="s">
        <v>69</v>
      </c>
      <c r="O77" s="23" t="s">
        <v>1117</v>
      </c>
      <c r="P77" s="23" t="s">
        <v>1118</v>
      </c>
      <c r="Q77" s="23" t="s">
        <v>1119</v>
      </c>
      <c r="R77" s="23" t="s">
        <v>216</v>
      </c>
      <c r="S77" s="23" t="s">
        <v>1120</v>
      </c>
      <c r="T77" s="23" t="s">
        <v>1121</v>
      </c>
      <c r="U77" s="23" t="s">
        <v>591</v>
      </c>
      <c r="V77" s="23" t="s">
        <v>246</v>
      </c>
      <c r="W77" s="23" t="s">
        <v>971</v>
      </c>
      <c r="X77" s="23" t="s">
        <v>1122</v>
      </c>
      <c r="Y77" s="23" t="s">
        <v>312</v>
      </c>
      <c r="Z77" s="23" t="s">
        <v>122</v>
      </c>
      <c r="AA77" s="23" t="s">
        <v>1123</v>
      </c>
      <c r="AB77" s="23" t="s">
        <v>1124</v>
      </c>
      <c r="AC77" s="23" t="s">
        <v>523</v>
      </c>
      <c r="AD77" s="23" t="s">
        <v>1125</v>
      </c>
      <c r="AE77" s="23" t="s">
        <v>1126</v>
      </c>
    </row>
    <row r="78" spans="1:31" hidden="1" x14ac:dyDescent="0.25">
      <c r="A78">
        <v>77</v>
      </c>
      <c r="B78" t="s">
        <v>246</v>
      </c>
      <c r="C78" t="s">
        <v>993</v>
      </c>
      <c r="D78" t="s">
        <v>849</v>
      </c>
      <c r="E78" t="s">
        <v>35</v>
      </c>
      <c r="F78" t="s">
        <v>162</v>
      </c>
      <c r="G78" t="s">
        <v>994</v>
      </c>
      <c r="H78" t="s">
        <v>851</v>
      </c>
      <c r="I78" t="s">
        <v>163</v>
      </c>
      <c r="J78" t="s">
        <v>995</v>
      </c>
      <c r="K78" t="s">
        <v>996</v>
      </c>
      <c r="L78" s="23" t="s">
        <v>1127</v>
      </c>
      <c r="M78" s="23" t="s">
        <v>217</v>
      </c>
      <c r="N78" s="23" t="s">
        <v>150</v>
      </c>
      <c r="O78" s="23" t="s">
        <v>1128</v>
      </c>
      <c r="P78" s="23" t="s">
        <v>1129</v>
      </c>
      <c r="Q78" s="23" t="s">
        <v>932</v>
      </c>
      <c r="R78" s="23" t="s">
        <v>122</v>
      </c>
      <c r="S78" s="23" t="s">
        <v>1130</v>
      </c>
      <c r="T78" s="23" t="s">
        <v>1131</v>
      </c>
      <c r="U78" s="23" t="s">
        <v>197</v>
      </c>
      <c r="V78" s="23" t="s">
        <v>150</v>
      </c>
      <c r="W78" s="23" t="s">
        <v>1132</v>
      </c>
      <c r="X78" s="23" t="s">
        <v>1133</v>
      </c>
      <c r="Y78" s="23" t="s">
        <v>426</v>
      </c>
      <c r="Z78" s="23" t="s">
        <v>150</v>
      </c>
      <c r="AA78" s="23" t="s">
        <v>729</v>
      </c>
      <c r="AB78" s="23" t="s">
        <v>1005</v>
      </c>
      <c r="AC78" s="23" t="s">
        <v>1134</v>
      </c>
      <c r="AD78" s="23" t="s">
        <v>153</v>
      </c>
      <c r="AE78" s="23" t="s">
        <v>1135</v>
      </c>
    </row>
    <row r="79" spans="1:31" hidden="1" x14ac:dyDescent="0.25">
      <c r="A79">
        <v>78</v>
      </c>
      <c r="B79" t="s">
        <v>246</v>
      </c>
      <c r="C79" t="s">
        <v>1006</v>
      </c>
      <c r="D79" t="s">
        <v>849</v>
      </c>
      <c r="E79" t="s">
        <v>35</v>
      </c>
      <c r="F79" t="s">
        <v>162</v>
      </c>
      <c r="G79" t="s">
        <v>1007</v>
      </c>
      <c r="H79" t="s">
        <v>851</v>
      </c>
      <c r="I79" t="s">
        <v>163</v>
      </c>
      <c r="J79" t="s">
        <v>1008</v>
      </c>
      <c r="K79" t="s">
        <v>1009</v>
      </c>
      <c r="L79" s="23" t="s">
        <v>1136</v>
      </c>
      <c r="M79" s="23" t="s">
        <v>358</v>
      </c>
      <c r="N79" s="23" t="s">
        <v>69</v>
      </c>
      <c r="O79" s="23" t="s">
        <v>1137</v>
      </c>
      <c r="P79" s="23" t="s">
        <v>1138</v>
      </c>
      <c r="Q79" s="23" t="s">
        <v>1139</v>
      </c>
      <c r="R79" s="23" t="s">
        <v>322</v>
      </c>
      <c r="S79" s="23" t="s">
        <v>1140</v>
      </c>
      <c r="T79" s="23" t="s">
        <v>1141</v>
      </c>
      <c r="U79" s="23" t="s">
        <v>1142</v>
      </c>
      <c r="V79" s="23" t="s">
        <v>247</v>
      </c>
      <c r="W79" s="23" t="s">
        <v>143</v>
      </c>
      <c r="X79" s="23" t="s">
        <v>1143</v>
      </c>
      <c r="Y79" s="23" t="s">
        <v>1144</v>
      </c>
      <c r="Z79" s="23" t="s">
        <v>197</v>
      </c>
      <c r="AA79" s="23" t="s">
        <v>1145</v>
      </c>
      <c r="AB79" s="23" t="s">
        <v>1146</v>
      </c>
      <c r="AC79" s="23" t="s">
        <v>684</v>
      </c>
      <c r="AD79" s="23" t="s">
        <v>51</v>
      </c>
      <c r="AE79" s="23" t="s">
        <v>1147</v>
      </c>
    </row>
    <row r="80" spans="1:31" hidden="1" x14ac:dyDescent="0.25">
      <c r="A80">
        <v>79</v>
      </c>
      <c r="B80" t="s">
        <v>243</v>
      </c>
      <c r="C80" t="s">
        <v>1148</v>
      </c>
      <c r="D80" t="s">
        <v>1149</v>
      </c>
      <c r="E80" t="s">
        <v>35</v>
      </c>
      <c r="F80" t="s">
        <v>36</v>
      </c>
      <c r="G80" t="s">
        <v>1150</v>
      </c>
      <c r="H80" t="s">
        <v>1151</v>
      </c>
      <c r="I80" t="s">
        <v>39</v>
      </c>
      <c r="J80" t="s">
        <v>1152</v>
      </c>
      <c r="K80" t="s">
        <v>1153</v>
      </c>
      <c r="L80" s="23" t="s">
        <v>1154</v>
      </c>
      <c r="M80" s="23" t="s">
        <v>1155</v>
      </c>
      <c r="N80" s="23" t="s">
        <v>123</v>
      </c>
      <c r="O80" s="23" t="s">
        <v>1156</v>
      </c>
      <c r="P80" s="23" t="s">
        <v>1157</v>
      </c>
      <c r="Q80" s="23" t="s">
        <v>1158</v>
      </c>
      <c r="R80" s="23" t="s">
        <v>1159</v>
      </c>
      <c r="S80" s="23" t="s">
        <v>1160</v>
      </c>
      <c r="T80" s="23" t="s">
        <v>1161</v>
      </c>
      <c r="U80" s="23" t="s">
        <v>629</v>
      </c>
      <c r="V80" s="23" t="s">
        <v>1162</v>
      </c>
      <c r="W80" s="23" t="s">
        <v>1163</v>
      </c>
      <c r="X80" s="23" t="s">
        <v>1164</v>
      </c>
      <c r="Y80" s="23" t="s">
        <v>1165</v>
      </c>
      <c r="Z80" s="23" t="s">
        <v>1166</v>
      </c>
      <c r="AA80" s="23" t="s">
        <v>1167</v>
      </c>
      <c r="AB80" s="23" t="s">
        <v>1168</v>
      </c>
      <c r="AC80" s="23" t="s">
        <v>1169</v>
      </c>
      <c r="AD80" s="23" t="s">
        <v>1081</v>
      </c>
      <c r="AE80" s="23" t="s">
        <v>1170</v>
      </c>
    </row>
    <row r="81" spans="1:36" hidden="1" x14ac:dyDescent="0.25">
      <c r="A81">
        <v>80</v>
      </c>
      <c r="B81" t="s">
        <v>243</v>
      </c>
      <c r="C81" t="s">
        <v>1171</v>
      </c>
      <c r="D81" t="s">
        <v>1149</v>
      </c>
      <c r="E81" t="s">
        <v>35</v>
      </c>
      <c r="F81" t="s">
        <v>36</v>
      </c>
      <c r="G81" t="s">
        <v>1172</v>
      </c>
      <c r="H81" t="s">
        <v>1173</v>
      </c>
      <c r="I81" t="s">
        <v>39</v>
      </c>
      <c r="J81" t="s">
        <v>1174</v>
      </c>
      <c r="K81" t="s">
        <v>1175</v>
      </c>
      <c r="L81" s="23" t="s">
        <v>1176</v>
      </c>
      <c r="M81" s="23" t="s">
        <v>1177</v>
      </c>
      <c r="N81" s="23" t="s">
        <v>501</v>
      </c>
      <c r="O81" s="23" t="s">
        <v>1178</v>
      </c>
      <c r="P81" s="23" t="s">
        <v>1179</v>
      </c>
      <c r="Q81" s="23" t="s">
        <v>1180</v>
      </c>
      <c r="R81" s="23" t="s">
        <v>1181</v>
      </c>
      <c r="S81" s="23" t="s">
        <v>1182</v>
      </c>
      <c r="T81" s="23" t="s">
        <v>1183</v>
      </c>
      <c r="U81" s="23" t="s">
        <v>1134</v>
      </c>
      <c r="V81" s="23" t="s">
        <v>159</v>
      </c>
      <c r="W81" s="23" t="s">
        <v>1184</v>
      </c>
      <c r="X81" s="23" t="s">
        <v>614</v>
      </c>
      <c r="Y81" s="23" t="s">
        <v>1185</v>
      </c>
      <c r="Z81" s="23" t="s">
        <v>1186</v>
      </c>
      <c r="AA81" s="23" t="s">
        <v>1187</v>
      </c>
      <c r="AB81" s="23" t="s">
        <v>1188</v>
      </c>
      <c r="AC81" s="23" t="s">
        <v>1189</v>
      </c>
      <c r="AD81" s="23" t="s">
        <v>1190</v>
      </c>
      <c r="AE81" s="23" t="s">
        <v>1191</v>
      </c>
    </row>
    <row r="82" spans="1:36" hidden="1" x14ac:dyDescent="0.25">
      <c r="A82">
        <v>81</v>
      </c>
      <c r="B82" t="s">
        <v>243</v>
      </c>
      <c r="C82" t="s">
        <v>1192</v>
      </c>
      <c r="D82" t="s">
        <v>1149</v>
      </c>
      <c r="E82" t="s">
        <v>35</v>
      </c>
      <c r="F82" t="s">
        <v>36</v>
      </c>
      <c r="G82" t="s">
        <v>1193</v>
      </c>
      <c r="H82" t="s">
        <v>1173</v>
      </c>
      <c r="I82" t="s">
        <v>39</v>
      </c>
      <c r="J82" t="s">
        <v>1194</v>
      </c>
      <c r="K82" t="s">
        <v>1195</v>
      </c>
      <c r="L82" s="23" t="s">
        <v>1196</v>
      </c>
      <c r="M82" s="23" t="s">
        <v>295</v>
      </c>
      <c r="N82" s="23" t="s">
        <v>347</v>
      </c>
      <c r="O82" s="23" t="s">
        <v>1197</v>
      </c>
      <c r="P82" s="23" t="s">
        <v>1198</v>
      </c>
      <c r="Q82" s="23" t="s">
        <v>374</v>
      </c>
      <c r="R82" s="23" t="s">
        <v>953</v>
      </c>
      <c r="S82" s="23" t="s">
        <v>893</v>
      </c>
      <c r="T82" s="23" t="s">
        <v>1199</v>
      </c>
      <c r="U82" s="23" t="s">
        <v>192</v>
      </c>
      <c r="V82" s="23" t="s">
        <v>244</v>
      </c>
      <c r="W82" s="23" t="s">
        <v>1200</v>
      </c>
      <c r="X82" s="23" t="s">
        <v>311</v>
      </c>
      <c r="Y82" s="23" t="s">
        <v>1201</v>
      </c>
      <c r="Z82" s="23" t="s">
        <v>282</v>
      </c>
      <c r="AA82" s="23" t="s">
        <v>1202</v>
      </c>
      <c r="AB82" s="23" t="s">
        <v>1203</v>
      </c>
      <c r="AC82" s="23" t="s">
        <v>1204</v>
      </c>
      <c r="AD82" s="23" t="s">
        <v>264</v>
      </c>
      <c r="AE82" s="23" t="s">
        <v>1205</v>
      </c>
    </row>
    <row r="83" spans="1:36" s="1" customFormat="1" hidden="1" x14ac:dyDescent="0.25">
      <c r="A83" s="1">
        <v>82</v>
      </c>
      <c r="B83" s="1" t="s">
        <v>243</v>
      </c>
      <c r="C83" s="1" t="s">
        <v>1206</v>
      </c>
      <c r="D83" s="1" t="s">
        <v>1149</v>
      </c>
      <c r="E83" s="1" t="s">
        <v>35</v>
      </c>
      <c r="F83" s="1" t="s">
        <v>36</v>
      </c>
      <c r="G83" s="1" t="s">
        <v>1207</v>
      </c>
      <c r="H83" s="1" t="s">
        <v>1173</v>
      </c>
      <c r="I83" s="1" t="s">
        <v>39</v>
      </c>
      <c r="J83" s="1" t="s">
        <v>1208</v>
      </c>
      <c r="K83" s="1" t="s">
        <v>1209</v>
      </c>
      <c r="L83" s="24" t="s">
        <v>1210</v>
      </c>
      <c r="M83" s="24" t="s">
        <v>253</v>
      </c>
      <c r="N83" s="24" t="s">
        <v>104</v>
      </c>
      <c r="O83" s="24" t="s">
        <v>1116</v>
      </c>
      <c r="P83" s="24" t="s">
        <v>1211</v>
      </c>
      <c r="Q83" s="24" t="s">
        <v>455</v>
      </c>
      <c r="R83" s="24" t="s">
        <v>114</v>
      </c>
      <c r="S83" s="24" t="s">
        <v>1212</v>
      </c>
      <c r="T83" s="24" t="s">
        <v>1213</v>
      </c>
      <c r="U83" s="24" t="s">
        <v>153</v>
      </c>
      <c r="V83" s="24" t="s">
        <v>114</v>
      </c>
      <c r="W83" s="24" t="s">
        <v>1214</v>
      </c>
      <c r="X83" s="24" t="s">
        <v>1215</v>
      </c>
      <c r="Y83" s="24" t="s">
        <v>297</v>
      </c>
      <c r="Z83" s="24" t="s">
        <v>114</v>
      </c>
      <c r="AA83" s="24" t="s">
        <v>1216</v>
      </c>
      <c r="AB83" s="24" t="s">
        <v>401</v>
      </c>
      <c r="AC83" s="24" t="s">
        <v>465</v>
      </c>
      <c r="AD83" s="24" t="s">
        <v>104</v>
      </c>
      <c r="AE83" s="24" t="s">
        <v>1217</v>
      </c>
      <c r="AF83" s="24" t="s">
        <v>1218</v>
      </c>
      <c r="AI83" s="1">
        <f>_05651c5a_c82e_48f6_9e7c_8df516722191[[#This Row],[2012 Obs. WD Total]]+AE102</f>
        <v>15033</v>
      </c>
      <c r="AJ83" s="1">
        <f>_05651c5a_c82e_48f6_9e7c_8df516722191[[#This Row],[2012 Obs. WD Total]]*100/AI83</f>
        <v>44.216058005720747</v>
      </c>
    </row>
    <row r="84" spans="1:36" hidden="1" x14ac:dyDescent="0.25">
      <c r="A84">
        <v>83</v>
      </c>
      <c r="B84" t="s">
        <v>243</v>
      </c>
      <c r="C84" t="s">
        <v>1219</v>
      </c>
      <c r="D84" t="s">
        <v>1149</v>
      </c>
      <c r="E84" t="s">
        <v>35</v>
      </c>
      <c r="F84" t="s">
        <v>36</v>
      </c>
      <c r="G84" t="s">
        <v>1220</v>
      </c>
      <c r="H84" t="s">
        <v>1221</v>
      </c>
      <c r="I84" t="s">
        <v>39</v>
      </c>
      <c r="J84" t="s">
        <v>1222</v>
      </c>
      <c r="K84" t="s">
        <v>1223</v>
      </c>
      <c r="L84" s="23" t="s">
        <v>1224</v>
      </c>
      <c r="M84" s="23" t="s">
        <v>480</v>
      </c>
      <c r="N84" s="23" t="s">
        <v>257</v>
      </c>
      <c r="O84" s="23" t="s">
        <v>1225</v>
      </c>
      <c r="P84" s="23" t="s">
        <v>1226</v>
      </c>
      <c r="Q84" s="23" t="s">
        <v>1227</v>
      </c>
      <c r="R84" s="23" t="s">
        <v>155</v>
      </c>
      <c r="S84" s="23" t="s">
        <v>1228</v>
      </c>
      <c r="T84" s="23" t="s">
        <v>1229</v>
      </c>
      <c r="U84" s="23" t="s">
        <v>1082</v>
      </c>
      <c r="V84" s="23" t="s">
        <v>244</v>
      </c>
      <c r="W84" s="23" t="s">
        <v>1230</v>
      </c>
      <c r="X84" s="23" t="s">
        <v>1231</v>
      </c>
      <c r="Y84" s="23" t="s">
        <v>809</v>
      </c>
      <c r="Z84" s="23" t="s">
        <v>130</v>
      </c>
      <c r="AA84" s="23" t="s">
        <v>1232</v>
      </c>
      <c r="AB84" s="23" t="s">
        <v>1233</v>
      </c>
      <c r="AC84" s="23" t="s">
        <v>1234</v>
      </c>
      <c r="AD84" s="23" t="s">
        <v>319</v>
      </c>
      <c r="AE84" s="23" t="s">
        <v>1235</v>
      </c>
    </row>
    <row r="85" spans="1:36" hidden="1" x14ac:dyDescent="0.25">
      <c r="A85">
        <v>84</v>
      </c>
      <c r="B85" t="s">
        <v>243</v>
      </c>
      <c r="C85" t="s">
        <v>1236</v>
      </c>
      <c r="D85" t="s">
        <v>1149</v>
      </c>
      <c r="E85" t="s">
        <v>35</v>
      </c>
      <c r="F85" t="s">
        <v>36</v>
      </c>
      <c r="G85" t="s">
        <v>1237</v>
      </c>
      <c r="H85" t="s">
        <v>1221</v>
      </c>
      <c r="I85" t="s">
        <v>39</v>
      </c>
      <c r="J85" t="s">
        <v>1238</v>
      </c>
      <c r="K85" t="s">
        <v>1239</v>
      </c>
      <c r="L85" s="23" t="s">
        <v>1240</v>
      </c>
      <c r="M85" s="23" t="s">
        <v>138</v>
      </c>
      <c r="N85" s="23" t="s">
        <v>98</v>
      </c>
      <c r="O85" s="23" t="s">
        <v>1241</v>
      </c>
      <c r="P85" s="23" t="s">
        <v>1242</v>
      </c>
      <c r="Q85" s="23" t="s">
        <v>220</v>
      </c>
      <c r="R85" s="23" t="s">
        <v>98</v>
      </c>
      <c r="S85" s="23" t="s">
        <v>1243</v>
      </c>
      <c r="T85" s="23" t="s">
        <v>139</v>
      </c>
      <c r="U85" s="23" t="s">
        <v>77</v>
      </c>
      <c r="V85" s="23" t="s">
        <v>114</v>
      </c>
      <c r="W85" s="23" t="s">
        <v>1244</v>
      </c>
      <c r="X85" s="23" t="s">
        <v>1245</v>
      </c>
      <c r="Y85" s="23" t="s">
        <v>81</v>
      </c>
      <c r="Z85" s="23" t="s">
        <v>94</v>
      </c>
      <c r="AA85" s="23" t="s">
        <v>1246</v>
      </c>
      <c r="AB85" s="23" t="s">
        <v>1247</v>
      </c>
      <c r="AC85" s="23" t="s">
        <v>805</v>
      </c>
      <c r="AD85" s="23" t="s">
        <v>32</v>
      </c>
      <c r="AE85" s="23" t="s">
        <v>1248</v>
      </c>
    </row>
    <row r="86" spans="1:36" hidden="1" x14ac:dyDescent="0.25">
      <c r="A86">
        <v>85</v>
      </c>
      <c r="B86" t="s">
        <v>243</v>
      </c>
      <c r="C86" t="s">
        <v>1249</v>
      </c>
      <c r="D86" t="s">
        <v>1149</v>
      </c>
      <c r="E86" t="s">
        <v>35</v>
      </c>
      <c r="F86" t="s">
        <v>36</v>
      </c>
      <c r="G86" t="s">
        <v>1250</v>
      </c>
      <c r="H86" t="s">
        <v>1251</v>
      </c>
      <c r="I86" t="s">
        <v>39</v>
      </c>
      <c r="J86" t="s">
        <v>1252</v>
      </c>
      <c r="K86" t="s">
        <v>1253</v>
      </c>
      <c r="L86" s="23" t="s">
        <v>1254</v>
      </c>
      <c r="M86" s="23" t="s">
        <v>1255</v>
      </c>
      <c r="N86" s="23" t="s">
        <v>119</v>
      </c>
      <c r="O86" s="23" t="s">
        <v>1256</v>
      </c>
      <c r="P86" s="23" t="s">
        <v>1257</v>
      </c>
      <c r="Q86" s="23" t="s">
        <v>1258</v>
      </c>
      <c r="R86" s="23" t="s">
        <v>281</v>
      </c>
      <c r="S86" s="23" t="s">
        <v>1259</v>
      </c>
      <c r="T86" s="23" t="s">
        <v>1260</v>
      </c>
      <c r="U86" s="23" t="s">
        <v>408</v>
      </c>
      <c r="V86" s="23" t="s">
        <v>243</v>
      </c>
      <c r="W86" s="23" t="s">
        <v>1261</v>
      </c>
      <c r="X86" s="23" t="s">
        <v>1262</v>
      </c>
      <c r="Y86" s="23" t="s">
        <v>1263</v>
      </c>
      <c r="Z86" s="23" t="s">
        <v>455</v>
      </c>
      <c r="AA86" s="23" t="s">
        <v>1264</v>
      </c>
      <c r="AB86" s="23" t="s">
        <v>1265</v>
      </c>
      <c r="AC86" s="23" t="s">
        <v>1266</v>
      </c>
      <c r="AD86" s="23" t="s">
        <v>1267</v>
      </c>
      <c r="AE86" s="23" t="s">
        <v>1268</v>
      </c>
    </row>
    <row r="87" spans="1:36" hidden="1" x14ac:dyDescent="0.25">
      <c r="A87">
        <v>86</v>
      </c>
      <c r="B87" t="s">
        <v>243</v>
      </c>
      <c r="C87" t="s">
        <v>1269</v>
      </c>
      <c r="D87" t="s">
        <v>1149</v>
      </c>
      <c r="E87" t="s">
        <v>35</v>
      </c>
      <c r="F87" t="s">
        <v>36</v>
      </c>
      <c r="G87" t="s">
        <v>1270</v>
      </c>
      <c r="H87" t="s">
        <v>1271</v>
      </c>
      <c r="I87" t="s">
        <v>39</v>
      </c>
      <c r="J87" t="s">
        <v>1272</v>
      </c>
      <c r="K87" t="s">
        <v>1272</v>
      </c>
      <c r="L87" s="23" t="s">
        <v>1272</v>
      </c>
      <c r="M87" s="23" t="s">
        <v>1272</v>
      </c>
      <c r="N87" s="23" t="s">
        <v>1272</v>
      </c>
      <c r="O87" s="23" t="s">
        <v>1272</v>
      </c>
      <c r="P87" s="23" t="s">
        <v>1272</v>
      </c>
      <c r="Q87" s="23" t="s">
        <v>1272</v>
      </c>
      <c r="R87" s="23" t="s">
        <v>1272</v>
      </c>
      <c r="S87" s="23" t="s">
        <v>1272</v>
      </c>
      <c r="T87" s="23" t="s">
        <v>1272</v>
      </c>
      <c r="U87" s="23" t="s">
        <v>1272</v>
      </c>
      <c r="V87" s="23" t="s">
        <v>1272</v>
      </c>
      <c r="W87" s="23" t="s">
        <v>1272</v>
      </c>
      <c r="X87" s="23" t="s">
        <v>1272</v>
      </c>
      <c r="Y87" s="23" t="s">
        <v>1272</v>
      </c>
      <c r="Z87" s="23" t="s">
        <v>1272</v>
      </c>
      <c r="AA87" s="23" t="s">
        <v>1272</v>
      </c>
      <c r="AB87" s="23" t="s">
        <v>1272</v>
      </c>
      <c r="AC87" s="23" t="s">
        <v>1272</v>
      </c>
      <c r="AD87" s="23" t="s">
        <v>1272</v>
      </c>
      <c r="AE87" s="23" t="s">
        <v>1272</v>
      </c>
      <c r="AI87">
        <f>COLUMN(L83)</f>
        <v>12</v>
      </c>
    </row>
    <row r="88" spans="1:36" hidden="1" x14ac:dyDescent="0.25">
      <c r="A88">
        <v>87</v>
      </c>
      <c r="B88" t="s">
        <v>243</v>
      </c>
      <c r="C88" t="s">
        <v>1273</v>
      </c>
      <c r="D88" t="s">
        <v>1149</v>
      </c>
      <c r="E88" t="s">
        <v>35</v>
      </c>
      <c r="F88" t="s">
        <v>36</v>
      </c>
      <c r="G88" t="s">
        <v>1274</v>
      </c>
      <c r="H88" t="s">
        <v>1271</v>
      </c>
      <c r="I88" t="s">
        <v>39</v>
      </c>
      <c r="J88" t="s">
        <v>1272</v>
      </c>
      <c r="K88" t="s">
        <v>1272</v>
      </c>
      <c r="L88" s="23" t="s">
        <v>1272</v>
      </c>
      <c r="M88" s="23" t="s">
        <v>1272</v>
      </c>
      <c r="N88" s="23" t="s">
        <v>1272</v>
      </c>
      <c r="O88" s="23" t="s">
        <v>1272</v>
      </c>
      <c r="P88" s="23" t="s">
        <v>1272</v>
      </c>
      <c r="Q88" s="23" t="s">
        <v>1272</v>
      </c>
      <c r="R88" s="23" t="s">
        <v>1272</v>
      </c>
      <c r="S88" s="23" t="s">
        <v>1272</v>
      </c>
      <c r="T88" s="23" t="s">
        <v>1272</v>
      </c>
      <c r="U88" s="23" t="s">
        <v>1272</v>
      </c>
      <c r="V88" s="23" t="s">
        <v>1272</v>
      </c>
      <c r="W88" s="23" t="s">
        <v>1272</v>
      </c>
      <c r="X88" s="23" t="s">
        <v>1272</v>
      </c>
      <c r="Y88" s="23" t="s">
        <v>1272</v>
      </c>
      <c r="Z88" s="23" t="s">
        <v>1272</v>
      </c>
      <c r="AA88" s="23" t="s">
        <v>1272</v>
      </c>
      <c r="AB88" s="23" t="s">
        <v>1272</v>
      </c>
      <c r="AC88" s="23" t="s">
        <v>1272</v>
      </c>
      <c r="AD88" s="23" t="s">
        <v>1272</v>
      </c>
      <c r="AE88" s="23" t="s">
        <v>1272</v>
      </c>
    </row>
    <row r="89" spans="1:36" hidden="1" x14ac:dyDescent="0.25">
      <c r="A89">
        <v>88</v>
      </c>
      <c r="B89" t="s">
        <v>243</v>
      </c>
      <c r="C89" t="s">
        <v>1275</v>
      </c>
      <c r="D89" t="s">
        <v>1149</v>
      </c>
      <c r="E89" t="s">
        <v>35</v>
      </c>
      <c r="F89" t="s">
        <v>36</v>
      </c>
      <c r="G89" t="s">
        <v>1276</v>
      </c>
      <c r="H89" t="s">
        <v>1221</v>
      </c>
      <c r="I89" t="s">
        <v>39</v>
      </c>
      <c r="J89" t="s">
        <v>1277</v>
      </c>
      <c r="K89" t="s">
        <v>1278</v>
      </c>
      <c r="L89" s="23" t="s">
        <v>1279</v>
      </c>
      <c r="M89" s="23" t="s">
        <v>149</v>
      </c>
      <c r="N89" s="23" t="s">
        <v>104</v>
      </c>
      <c r="O89" s="23" t="s">
        <v>1280</v>
      </c>
      <c r="P89" s="23" t="s">
        <v>316</v>
      </c>
      <c r="Q89" s="23" t="s">
        <v>487</v>
      </c>
      <c r="R89" s="23" t="s">
        <v>150</v>
      </c>
      <c r="S89" s="23" t="s">
        <v>1281</v>
      </c>
      <c r="T89" s="23" t="s">
        <v>1282</v>
      </c>
      <c r="U89" s="23" t="s">
        <v>257</v>
      </c>
      <c r="V89" s="23" t="s">
        <v>114</v>
      </c>
      <c r="W89" s="23" t="s">
        <v>1283</v>
      </c>
      <c r="X89" s="23" t="s">
        <v>47</v>
      </c>
      <c r="Y89" s="23" t="s">
        <v>185</v>
      </c>
      <c r="Z89" s="23" t="s">
        <v>114</v>
      </c>
      <c r="AA89" s="23" t="s">
        <v>1284</v>
      </c>
      <c r="AB89" s="23" t="s">
        <v>1285</v>
      </c>
      <c r="AC89" s="23" t="s">
        <v>929</v>
      </c>
      <c r="AD89" s="23" t="s">
        <v>244</v>
      </c>
      <c r="AE89" s="23" t="s">
        <v>1286</v>
      </c>
    </row>
    <row r="90" spans="1:36" hidden="1" x14ac:dyDescent="0.25">
      <c r="A90">
        <v>89</v>
      </c>
      <c r="B90" t="s">
        <v>243</v>
      </c>
      <c r="C90" t="s">
        <v>1287</v>
      </c>
      <c r="D90" t="s">
        <v>1149</v>
      </c>
      <c r="E90" t="s">
        <v>35</v>
      </c>
      <c r="F90" t="s">
        <v>36</v>
      </c>
      <c r="G90" t="s">
        <v>1288</v>
      </c>
      <c r="H90" t="s">
        <v>1221</v>
      </c>
      <c r="I90" t="s">
        <v>39</v>
      </c>
      <c r="J90" t="s">
        <v>1289</v>
      </c>
      <c r="K90" t="s">
        <v>1290</v>
      </c>
      <c r="L90" s="23" t="s">
        <v>1291</v>
      </c>
      <c r="M90" s="23" t="s">
        <v>243</v>
      </c>
      <c r="N90" s="23" t="s">
        <v>94</v>
      </c>
      <c r="O90" s="23" t="s">
        <v>1292</v>
      </c>
      <c r="P90" s="23" t="s">
        <v>1293</v>
      </c>
      <c r="Q90" s="23" t="s">
        <v>69</v>
      </c>
      <c r="R90" s="23" t="s">
        <v>114</v>
      </c>
      <c r="S90" s="23" t="s">
        <v>1294</v>
      </c>
      <c r="T90" s="23" t="s">
        <v>975</v>
      </c>
      <c r="U90" s="23" t="s">
        <v>98</v>
      </c>
      <c r="V90" s="23" t="s">
        <v>114</v>
      </c>
      <c r="W90" s="23" t="s">
        <v>1295</v>
      </c>
      <c r="X90" s="23" t="s">
        <v>1296</v>
      </c>
      <c r="Y90" s="23" t="s">
        <v>98</v>
      </c>
      <c r="Z90" s="23" t="s">
        <v>114</v>
      </c>
      <c r="AA90" s="23" t="s">
        <v>1297</v>
      </c>
      <c r="AB90" s="23" t="s">
        <v>1298</v>
      </c>
      <c r="AC90" s="23" t="s">
        <v>68</v>
      </c>
      <c r="AD90" s="23" t="s">
        <v>94</v>
      </c>
      <c r="AE90" s="23" t="s">
        <v>1299</v>
      </c>
    </row>
    <row r="91" spans="1:36" hidden="1" x14ac:dyDescent="0.25">
      <c r="A91">
        <v>90</v>
      </c>
      <c r="B91" t="s">
        <v>243</v>
      </c>
      <c r="C91" t="s">
        <v>1300</v>
      </c>
      <c r="D91" t="s">
        <v>1149</v>
      </c>
      <c r="E91" t="s">
        <v>35</v>
      </c>
      <c r="F91" t="s">
        <v>36</v>
      </c>
      <c r="G91" t="s">
        <v>1301</v>
      </c>
      <c r="H91" t="s">
        <v>1221</v>
      </c>
      <c r="I91" t="s">
        <v>39</v>
      </c>
      <c r="J91" t="s">
        <v>1302</v>
      </c>
      <c r="K91" t="s">
        <v>1303</v>
      </c>
      <c r="L91" s="23" t="s">
        <v>1304</v>
      </c>
      <c r="M91" s="23" t="s">
        <v>1305</v>
      </c>
      <c r="N91" s="23" t="s">
        <v>130</v>
      </c>
      <c r="O91" s="23" t="s">
        <v>1306</v>
      </c>
      <c r="P91" s="23" t="s">
        <v>1307</v>
      </c>
      <c r="Q91" s="23" t="s">
        <v>1295</v>
      </c>
      <c r="R91" s="23" t="s">
        <v>193</v>
      </c>
      <c r="S91" s="23" t="s">
        <v>1308</v>
      </c>
      <c r="T91" s="23" t="s">
        <v>1309</v>
      </c>
      <c r="U91" s="23" t="s">
        <v>1024</v>
      </c>
      <c r="V91" s="23" t="s">
        <v>114</v>
      </c>
      <c r="W91" s="23" t="s">
        <v>1310</v>
      </c>
      <c r="X91" s="23" t="s">
        <v>1311</v>
      </c>
      <c r="Y91" s="23" t="s">
        <v>1312</v>
      </c>
      <c r="Z91" s="23" t="s">
        <v>32</v>
      </c>
      <c r="AA91" s="23" t="s">
        <v>1313</v>
      </c>
      <c r="AB91" s="23" t="s">
        <v>1314</v>
      </c>
      <c r="AC91" s="23" t="s">
        <v>1315</v>
      </c>
      <c r="AD91" s="23" t="s">
        <v>1316</v>
      </c>
      <c r="AE91" s="23" t="s">
        <v>1317</v>
      </c>
    </row>
    <row r="92" spans="1:36" hidden="1" x14ac:dyDescent="0.25">
      <c r="A92">
        <v>91</v>
      </c>
      <c r="B92" t="s">
        <v>243</v>
      </c>
      <c r="C92" t="s">
        <v>1318</v>
      </c>
      <c r="D92" t="s">
        <v>1149</v>
      </c>
      <c r="E92" t="s">
        <v>35</v>
      </c>
      <c r="F92" t="s">
        <v>36</v>
      </c>
      <c r="G92" t="s">
        <v>1319</v>
      </c>
      <c r="H92" t="s">
        <v>1221</v>
      </c>
      <c r="I92" t="s">
        <v>39</v>
      </c>
      <c r="J92" t="s">
        <v>1320</v>
      </c>
      <c r="K92" t="s">
        <v>1321</v>
      </c>
      <c r="L92" s="23" t="s">
        <v>1322</v>
      </c>
      <c r="M92" s="23" t="s">
        <v>259</v>
      </c>
      <c r="N92" s="23" t="s">
        <v>103</v>
      </c>
      <c r="O92" s="23" t="s">
        <v>1323</v>
      </c>
      <c r="P92" s="23" t="s">
        <v>1324</v>
      </c>
      <c r="Q92" s="23" t="s">
        <v>1325</v>
      </c>
      <c r="R92" s="23" t="s">
        <v>1316</v>
      </c>
      <c r="S92" s="23" t="s">
        <v>1326</v>
      </c>
      <c r="T92" s="23" t="s">
        <v>1327</v>
      </c>
      <c r="U92" s="23" t="s">
        <v>588</v>
      </c>
      <c r="V92" s="23" t="s">
        <v>150</v>
      </c>
      <c r="W92" s="23" t="s">
        <v>1328</v>
      </c>
      <c r="X92" s="23" t="s">
        <v>1329</v>
      </c>
      <c r="Y92" s="23" t="s">
        <v>593</v>
      </c>
      <c r="Z92" s="23" t="s">
        <v>77</v>
      </c>
      <c r="AA92" s="23" t="s">
        <v>1330</v>
      </c>
      <c r="AB92" s="23" t="s">
        <v>1331</v>
      </c>
      <c r="AC92" s="23" t="s">
        <v>1332</v>
      </c>
      <c r="AD92" s="23" t="s">
        <v>295</v>
      </c>
      <c r="AE92" s="23" t="s">
        <v>1333</v>
      </c>
    </row>
    <row r="93" spans="1:36" hidden="1" x14ac:dyDescent="0.25">
      <c r="A93">
        <v>92</v>
      </c>
      <c r="B93" t="s">
        <v>243</v>
      </c>
      <c r="C93" t="s">
        <v>1334</v>
      </c>
      <c r="D93" t="s">
        <v>1149</v>
      </c>
      <c r="E93" t="s">
        <v>35</v>
      </c>
      <c r="F93" t="s">
        <v>36</v>
      </c>
      <c r="G93" t="s">
        <v>707</v>
      </c>
      <c r="H93" t="s">
        <v>1221</v>
      </c>
      <c r="I93" t="s">
        <v>39</v>
      </c>
      <c r="J93" t="s">
        <v>1335</v>
      </c>
      <c r="K93" t="s">
        <v>1336</v>
      </c>
      <c r="L93" s="23" t="s">
        <v>1337</v>
      </c>
      <c r="M93" s="23" t="s">
        <v>507</v>
      </c>
      <c r="N93" s="23" t="s">
        <v>151</v>
      </c>
      <c r="O93" s="23" t="s">
        <v>1338</v>
      </c>
      <c r="P93" s="23" t="s">
        <v>1339</v>
      </c>
      <c r="Q93" s="23" t="s">
        <v>1340</v>
      </c>
      <c r="R93" s="23" t="s">
        <v>216</v>
      </c>
      <c r="S93" s="23" t="s">
        <v>1341</v>
      </c>
      <c r="T93" s="23" t="s">
        <v>1342</v>
      </c>
      <c r="U93" s="23" t="s">
        <v>72</v>
      </c>
      <c r="V93" s="23" t="s">
        <v>153</v>
      </c>
      <c r="W93" s="23" t="s">
        <v>1343</v>
      </c>
      <c r="X93" s="23" t="s">
        <v>1344</v>
      </c>
      <c r="Y93" s="23" t="s">
        <v>1345</v>
      </c>
      <c r="Z93" s="23" t="s">
        <v>223</v>
      </c>
      <c r="AA93" s="23" t="s">
        <v>1346</v>
      </c>
      <c r="AB93" s="23" t="s">
        <v>1347</v>
      </c>
      <c r="AC93" s="23" t="s">
        <v>1348</v>
      </c>
      <c r="AD93" s="23" t="s">
        <v>879</v>
      </c>
      <c r="AE93" s="23" t="s">
        <v>1349</v>
      </c>
    </row>
    <row r="94" spans="1:36" hidden="1" x14ac:dyDescent="0.25">
      <c r="A94">
        <v>93</v>
      </c>
      <c r="B94" t="s">
        <v>243</v>
      </c>
      <c r="C94" t="s">
        <v>1350</v>
      </c>
      <c r="D94" t="s">
        <v>1149</v>
      </c>
      <c r="E94" t="s">
        <v>35</v>
      </c>
      <c r="F94" t="s">
        <v>36</v>
      </c>
      <c r="G94" t="s">
        <v>1351</v>
      </c>
      <c r="H94" t="s">
        <v>1221</v>
      </c>
      <c r="I94" t="s">
        <v>39</v>
      </c>
      <c r="J94" t="s">
        <v>1352</v>
      </c>
      <c r="K94" t="s">
        <v>1353</v>
      </c>
      <c r="L94" s="23" t="s">
        <v>1354</v>
      </c>
      <c r="M94" s="23" t="s">
        <v>336</v>
      </c>
      <c r="N94" s="23" t="s">
        <v>104</v>
      </c>
      <c r="O94" s="23" t="s">
        <v>840</v>
      </c>
      <c r="P94" s="23" t="s">
        <v>1355</v>
      </c>
      <c r="Q94" s="23" t="s">
        <v>517</v>
      </c>
      <c r="R94" s="23" t="s">
        <v>104</v>
      </c>
      <c r="S94" s="23" t="s">
        <v>1356</v>
      </c>
      <c r="T94" s="23" t="s">
        <v>1357</v>
      </c>
      <c r="U94" s="23" t="s">
        <v>69</v>
      </c>
      <c r="V94" s="23" t="s">
        <v>114</v>
      </c>
      <c r="W94" s="23" t="s">
        <v>1358</v>
      </c>
      <c r="X94" s="23" t="s">
        <v>1359</v>
      </c>
      <c r="Y94" s="23" t="s">
        <v>130</v>
      </c>
      <c r="Z94" s="23" t="s">
        <v>114</v>
      </c>
      <c r="AA94" s="23" t="s">
        <v>1360</v>
      </c>
      <c r="AB94" s="23" t="s">
        <v>1361</v>
      </c>
      <c r="AC94" s="23" t="s">
        <v>1362</v>
      </c>
      <c r="AD94" s="23" t="s">
        <v>98</v>
      </c>
      <c r="AE94" s="23" t="s">
        <v>984</v>
      </c>
    </row>
    <row r="95" spans="1:36" hidden="1" x14ac:dyDescent="0.25">
      <c r="A95">
        <v>94</v>
      </c>
      <c r="B95" t="s">
        <v>243</v>
      </c>
      <c r="C95" t="s">
        <v>1363</v>
      </c>
      <c r="D95" t="s">
        <v>1149</v>
      </c>
      <c r="E95" t="s">
        <v>35</v>
      </c>
      <c r="F95" t="s">
        <v>36</v>
      </c>
      <c r="G95" t="s">
        <v>1364</v>
      </c>
      <c r="H95" t="s">
        <v>1221</v>
      </c>
      <c r="I95" t="s">
        <v>39</v>
      </c>
      <c r="J95" t="s">
        <v>1365</v>
      </c>
      <c r="K95" t="s">
        <v>1366</v>
      </c>
      <c r="L95" s="23" t="s">
        <v>1367</v>
      </c>
      <c r="M95" s="23" t="s">
        <v>278</v>
      </c>
      <c r="N95" s="23" t="s">
        <v>244</v>
      </c>
      <c r="O95" s="23" t="s">
        <v>1368</v>
      </c>
      <c r="P95" s="23" t="s">
        <v>1369</v>
      </c>
      <c r="Q95" s="23" t="s">
        <v>322</v>
      </c>
      <c r="R95" s="23" t="s">
        <v>150</v>
      </c>
      <c r="S95" s="23" t="s">
        <v>1370</v>
      </c>
      <c r="T95" s="23" t="s">
        <v>1371</v>
      </c>
      <c r="U95" s="23" t="s">
        <v>479</v>
      </c>
      <c r="V95" s="23" t="s">
        <v>114</v>
      </c>
      <c r="W95" s="23" t="s">
        <v>470</v>
      </c>
      <c r="X95" s="23" t="s">
        <v>1372</v>
      </c>
      <c r="Y95" s="23" t="s">
        <v>196</v>
      </c>
      <c r="Z95" s="23" t="s">
        <v>104</v>
      </c>
      <c r="AA95" s="23" t="s">
        <v>324</v>
      </c>
      <c r="AB95" s="23" t="s">
        <v>1373</v>
      </c>
      <c r="AC95" s="23" t="s">
        <v>1134</v>
      </c>
      <c r="AD95" s="23" t="s">
        <v>213</v>
      </c>
      <c r="AE95" s="23" t="s">
        <v>1374</v>
      </c>
    </row>
    <row r="96" spans="1:36" hidden="1" x14ac:dyDescent="0.25">
      <c r="A96">
        <v>95</v>
      </c>
      <c r="B96" t="s">
        <v>243</v>
      </c>
      <c r="C96" t="s">
        <v>1375</v>
      </c>
      <c r="D96" t="s">
        <v>1149</v>
      </c>
      <c r="E96" t="s">
        <v>35</v>
      </c>
      <c r="F96" t="s">
        <v>36</v>
      </c>
      <c r="G96" t="s">
        <v>1376</v>
      </c>
      <c r="H96" t="s">
        <v>1221</v>
      </c>
      <c r="I96" t="s">
        <v>39</v>
      </c>
      <c r="J96" t="s">
        <v>1377</v>
      </c>
      <c r="K96" t="s">
        <v>1378</v>
      </c>
      <c r="L96" s="23" t="s">
        <v>1379</v>
      </c>
      <c r="M96" s="23" t="s">
        <v>81</v>
      </c>
      <c r="N96" s="23" t="s">
        <v>246</v>
      </c>
      <c r="O96" s="23" t="s">
        <v>1380</v>
      </c>
      <c r="P96" s="23" t="s">
        <v>1381</v>
      </c>
      <c r="Q96" s="23" t="s">
        <v>639</v>
      </c>
      <c r="R96" s="23" t="s">
        <v>69</v>
      </c>
      <c r="S96" s="23" t="s">
        <v>1382</v>
      </c>
      <c r="T96" s="23" t="s">
        <v>1383</v>
      </c>
      <c r="U96" s="23" t="s">
        <v>336</v>
      </c>
      <c r="V96" s="23" t="s">
        <v>104</v>
      </c>
      <c r="W96" s="23" t="s">
        <v>1384</v>
      </c>
      <c r="X96" s="23" t="s">
        <v>1385</v>
      </c>
      <c r="Y96" s="23" t="s">
        <v>295</v>
      </c>
      <c r="Z96" s="23" t="s">
        <v>244</v>
      </c>
      <c r="AA96" s="23" t="s">
        <v>1386</v>
      </c>
      <c r="AB96" s="23" t="s">
        <v>1387</v>
      </c>
      <c r="AC96" s="23" t="s">
        <v>1388</v>
      </c>
      <c r="AD96" s="23" t="s">
        <v>1316</v>
      </c>
      <c r="AE96" s="23" t="s">
        <v>1389</v>
      </c>
    </row>
    <row r="97" spans="1:32" hidden="1" x14ac:dyDescent="0.25">
      <c r="A97">
        <v>96</v>
      </c>
      <c r="B97" t="s">
        <v>243</v>
      </c>
      <c r="C97" t="s">
        <v>1390</v>
      </c>
      <c r="D97" t="s">
        <v>1149</v>
      </c>
      <c r="E97" t="s">
        <v>35</v>
      </c>
      <c r="F97" t="s">
        <v>36</v>
      </c>
      <c r="G97" t="s">
        <v>1391</v>
      </c>
      <c r="H97" t="s">
        <v>1392</v>
      </c>
      <c r="I97" t="s">
        <v>39</v>
      </c>
      <c r="J97" t="s">
        <v>1393</v>
      </c>
      <c r="K97" t="s">
        <v>1394</v>
      </c>
      <c r="L97" s="23" t="s">
        <v>1395</v>
      </c>
      <c r="M97" s="23" t="s">
        <v>953</v>
      </c>
      <c r="N97" s="23" t="s">
        <v>213</v>
      </c>
      <c r="O97" s="23" t="s">
        <v>1396</v>
      </c>
      <c r="P97" s="23" t="s">
        <v>1397</v>
      </c>
      <c r="Q97" s="23" t="s">
        <v>1267</v>
      </c>
      <c r="R97" s="23" t="s">
        <v>151</v>
      </c>
      <c r="S97" s="23" t="s">
        <v>1398</v>
      </c>
      <c r="T97" s="23" t="s">
        <v>1399</v>
      </c>
      <c r="U97" s="23" t="s">
        <v>1400</v>
      </c>
      <c r="V97" s="23" t="s">
        <v>98</v>
      </c>
      <c r="W97" s="23" t="s">
        <v>1401</v>
      </c>
      <c r="X97" s="23" t="s">
        <v>1402</v>
      </c>
      <c r="Y97" s="23" t="s">
        <v>1403</v>
      </c>
      <c r="Z97" s="23" t="s">
        <v>336</v>
      </c>
      <c r="AA97" s="23" t="s">
        <v>1404</v>
      </c>
      <c r="AB97" s="23" t="s">
        <v>1405</v>
      </c>
      <c r="AC97" s="23" t="s">
        <v>1166</v>
      </c>
      <c r="AD97" s="23" t="s">
        <v>295</v>
      </c>
      <c r="AE97" s="23" t="s">
        <v>1406</v>
      </c>
    </row>
    <row r="98" spans="1:32" hidden="1" x14ac:dyDescent="0.25">
      <c r="A98">
        <v>97</v>
      </c>
      <c r="B98" t="s">
        <v>243</v>
      </c>
      <c r="C98" t="s">
        <v>1407</v>
      </c>
      <c r="D98" t="s">
        <v>1149</v>
      </c>
      <c r="E98" t="s">
        <v>35</v>
      </c>
      <c r="F98" t="s">
        <v>36</v>
      </c>
      <c r="G98" t="s">
        <v>1408</v>
      </c>
      <c r="H98" t="s">
        <v>1409</v>
      </c>
      <c r="I98" t="s">
        <v>39</v>
      </c>
      <c r="J98" t="s">
        <v>1410</v>
      </c>
      <c r="K98" t="s">
        <v>1411</v>
      </c>
      <c r="L98" s="23" t="s">
        <v>1412</v>
      </c>
      <c r="M98" s="23" t="s">
        <v>119</v>
      </c>
      <c r="N98" s="23" t="s">
        <v>94</v>
      </c>
      <c r="O98" s="23" t="s">
        <v>47</v>
      </c>
      <c r="P98" s="23" t="s">
        <v>1413</v>
      </c>
      <c r="Q98" s="23" t="s">
        <v>468</v>
      </c>
      <c r="R98" s="23" t="s">
        <v>150</v>
      </c>
      <c r="S98" s="23" t="s">
        <v>575</v>
      </c>
      <c r="T98" s="23" t="s">
        <v>771</v>
      </c>
      <c r="U98" s="23" t="s">
        <v>103</v>
      </c>
      <c r="V98" s="23" t="s">
        <v>94</v>
      </c>
      <c r="W98" s="23" t="s">
        <v>1414</v>
      </c>
      <c r="X98" s="23" t="s">
        <v>1415</v>
      </c>
      <c r="Y98" s="23" t="s">
        <v>68</v>
      </c>
      <c r="Z98" s="23" t="s">
        <v>94</v>
      </c>
      <c r="AA98" s="23" t="s">
        <v>1416</v>
      </c>
      <c r="AB98" s="23" t="s">
        <v>1417</v>
      </c>
      <c r="AC98" s="23" t="s">
        <v>1418</v>
      </c>
      <c r="AD98" s="23" t="s">
        <v>158</v>
      </c>
      <c r="AE98" s="23" t="s">
        <v>1419</v>
      </c>
    </row>
    <row r="99" spans="1:32" hidden="1" x14ac:dyDescent="0.25">
      <c r="A99">
        <v>98</v>
      </c>
      <c r="B99" t="s">
        <v>243</v>
      </c>
      <c r="C99" t="s">
        <v>1148</v>
      </c>
      <c r="D99" t="s">
        <v>1149</v>
      </c>
      <c r="E99" t="s">
        <v>35</v>
      </c>
      <c r="F99" t="s">
        <v>162</v>
      </c>
      <c r="G99" t="s">
        <v>1150</v>
      </c>
      <c r="H99" t="s">
        <v>1151</v>
      </c>
      <c r="I99" t="s">
        <v>163</v>
      </c>
      <c r="J99" t="s">
        <v>1152</v>
      </c>
      <c r="K99" t="s">
        <v>1153</v>
      </c>
      <c r="L99" s="23" t="s">
        <v>1420</v>
      </c>
      <c r="M99" s="23" t="s">
        <v>1019</v>
      </c>
      <c r="N99" s="23" t="s">
        <v>1089</v>
      </c>
      <c r="O99" s="23" t="s">
        <v>1421</v>
      </c>
      <c r="P99" s="23" t="s">
        <v>1422</v>
      </c>
      <c r="Q99" s="23" t="s">
        <v>1423</v>
      </c>
      <c r="R99" s="23" t="s">
        <v>1424</v>
      </c>
      <c r="S99" s="23" t="s">
        <v>1425</v>
      </c>
      <c r="T99" s="23" t="s">
        <v>1368</v>
      </c>
      <c r="U99" s="23" t="s">
        <v>1426</v>
      </c>
      <c r="V99" s="23" t="s">
        <v>248</v>
      </c>
      <c r="W99" s="23" t="s">
        <v>1427</v>
      </c>
      <c r="X99" s="23" t="s">
        <v>1428</v>
      </c>
      <c r="Y99" s="23" t="s">
        <v>582</v>
      </c>
      <c r="Z99" s="23" t="s">
        <v>1429</v>
      </c>
      <c r="AA99" s="23" t="s">
        <v>1430</v>
      </c>
      <c r="AB99" s="23" t="s">
        <v>1431</v>
      </c>
      <c r="AC99" s="23" t="s">
        <v>1432</v>
      </c>
      <c r="AD99" s="23" t="s">
        <v>1433</v>
      </c>
      <c r="AE99" s="23" t="s">
        <v>1434</v>
      </c>
    </row>
    <row r="100" spans="1:32" hidden="1" x14ac:dyDescent="0.25">
      <c r="A100">
        <v>99</v>
      </c>
      <c r="B100" t="s">
        <v>243</v>
      </c>
      <c r="C100" t="s">
        <v>1171</v>
      </c>
      <c r="D100" t="s">
        <v>1149</v>
      </c>
      <c r="E100" t="s">
        <v>35</v>
      </c>
      <c r="F100" t="s">
        <v>162</v>
      </c>
      <c r="G100" t="s">
        <v>1172</v>
      </c>
      <c r="H100" t="s">
        <v>1173</v>
      </c>
      <c r="I100" t="s">
        <v>163</v>
      </c>
      <c r="J100" t="s">
        <v>1174</v>
      </c>
      <c r="K100" t="s">
        <v>1175</v>
      </c>
      <c r="L100" s="23" t="s">
        <v>1435</v>
      </c>
      <c r="M100" s="23" t="s">
        <v>1436</v>
      </c>
      <c r="N100" s="23" t="s">
        <v>917</v>
      </c>
      <c r="O100" s="23" t="s">
        <v>167</v>
      </c>
      <c r="P100" s="23" t="s">
        <v>1437</v>
      </c>
      <c r="Q100" s="23" t="s">
        <v>1438</v>
      </c>
      <c r="R100" s="23" t="s">
        <v>1439</v>
      </c>
      <c r="S100" s="23" t="s">
        <v>1440</v>
      </c>
      <c r="T100" s="23" t="s">
        <v>1441</v>
      </c>
      <c r="U100" s="23" t="s">
        <v>783</v>
      </c>
      <c r="V100" s="23" t="s">
        <v>301</v>
      </c>
      <c r="W100" s="23" t="s">
        <v>1442</v>
      </c>
      <c r="X100" s="23" t="s">
        <v>1443</v>
      </c>
      <c r="Y100" s="23" t="s">
        <v>1444</v>
      </c>
      <c r="Z100" s="23" t="s">
        <v>1445</v>
      </c>
      <c r="AA100" s="23" t="s">
        <v>1446</v>
      </c>
      <c r="AB100" s="23" t="s">
        <v>1447</v>
      </c>
      <c r="AC100" s="23" t="s">
        <v>1448</v>
      </c>
      <c r="AD100" s="23" t="s">
        <v>1449</v>
      </c>
      <c r="AE100" s="23" t="s">
        <v>1450</v>
      </c>
    </row>
    <row r="101" spans="1:32" hidden="1" x14ac:dyDescent="0.25">
      <c r="A101">
        <v>100</v>
      </c>
      <c r="B101" t="s">
        <v>243</v>
      </c>
      <c r="C101" t="s">
        <v>1192</v>
      </c>
      <c r="D101" t="s">
        <v>1149</v>
      </c>
      <c r="E101" t="s">
        <v>35</v>
      </c>
      <c r="F101" t="s">
        <v>162</v>
      </c>
      <c r="G101" t="s">
        <v>1193</v>
      </c>
      <c r="H101" t="s">
        <v>1173</v>
      </c>
      <c r="I101" t="s">
        <v>163</v>
      </c>
      <c r="J101" t="s">
        <v>1194</v>
      </c>
      <c r="K101" t="s">
        <v>1195</v>
      </c>
      <c r="L101" s="23" t="s">
        <v>1451</v>
      </c>
      <c r="M101" s="23" t="s">
        <v>275</v>
      </c>
      <c r="N101" s="23" t="s">
        <v>479</v>
      </c>
      <c r="O101" s="23" t="s">
        <v>1452</v>
      </c>
      <c r="P101" s="23" t="s">
        <v>1246</v>
      </c>
      <c r="Q101" s="23" t="s">
        <v>1453</v>
      </c>
      <c r="R101" s="23" t="s">
        <v>953</v>
      </c>
      <c r="S101" s="23" t="s">
        <v>1454</v>
      </c>
      <c r="T101" s="23" t="s">
        <v>1455</v>
      </c>
      <c r="U101" s="23" t="s">
        <v>245</v>
      </c>
      <c r="V101" s="23" t="s">
        <v>246</v>
      </c>
      <c r="W101" s="23" t="s">
        <v>814</v>
      </c>
      <c r="X101" s="23" t="s">
        <v>1456</v>
      </c>
      <c r="Y101" s="23" t="s">
        <v>914</v>
      </c>
      <c r="Z101" s="23" t="s">
        <v>243</v>
      </c>
      <c r="AA101" s="23" t="s">
        <v>1457</v>
      </c>
      <c r="AB101" s="23" t="s">
        <v>1458</v>
      </c>
      <c r="AC101" s="23" t="s">
        <v>1459</v>
      </c>
      <c r="AD101" s="23" t="s">
        <v>1460</v>
      </c>
      <c r="AE101" s="23" t="s">
        <v>1461</v>
      </c>
    </row>
    <row r="102" spans="1:32" s="1" customFormat="1" hidden="1" x14ac:dyDescent="0.25">
      <c r="A102" s="1">
        <v>101</v>
      </c>
      <c r="B102" s="1" t="s">
        <v>243</v>
      </c>
      <c r="C102" s="1" t="s">
        <v>1206</v>
      </c>
      <c r="D102" s="1" t="s">
        <v>1149</v>
      </c>
      <c r="E102" s="1" t="s">
        <v>35</v>
      </c>
      <c r="F102" s="1" t="s">
        <v>162</v>
      </c>
      <c r="G102" s="1" t="s">
        <v>1207</v>
      </c>
      <c r="H102" s="1" t="s">
        <v>1173</v>
      </c>
      <c r="I102" s="1" t="s">
        <v>163</v>
      </c>
      <c r="J102" s="1" t="s">
        <v>1208</v>
      </c>
      <c r="K102" s="1" t="s">
        <v>1209</v>
      </c>
      <c r="L102" s="24" t="s">
        <v>1258</v>
      </c>
      <c r="M102" s="24" t="s">
        <v>119</v>
      </c>
      <c r="N102" s="24" t="s">
        <v>94</v>
      </c>
      <c r="O102" s="24" t="s">
        <v>1462</v>
      </c>
      <c r="P102" s="24" t="s">
        <v>1463</v>
      </c>
      <c r="Q102" s="24" t="s">
        <v>1464</v>
      </c>
      <c r="R102" s="24" t="s">
        <v>94</v>
      </c>
      <c r="S102" s="24" t="s">
        <v>1034</v>
      </c>
      <c r="T102" s="24" t="s">
        <v>1465</v>
      </c>
      <c r="U102" s="24" t="s">
        <v>278</v>
      </c>
      <c r="V102" s="24" t="s">
        <v>94</v>
      </c>
      <c r="W102" s="24" t="s">
        <v>1466</v>
      </c>
      <c r="X102" s="24" t="s">
        <v>1467</v>
      </c>
      <c r="Y102" s="24" t="s">
        <v>120</v>
      </c>
      <c r="Z102" s="24" t="s">
        <v>244</v>
      </c>
      <c r="AA102" s="24" t="s">
        <v>1468</v>
      </c>
      <c r="AB102" s="24" t="s">
        <v>1469</v>
      </c>
      <c r="AC102" s="24" t="s">
        <v>818</v>
      </c>
      <c r="AD102" s="24" t="s">
        <v>77</v>
      </c>
      <c r="AE102" s="24" t="s">
        <v>1470</v>
      </c>
      <c r="AF102" s="24" t="s">
        <v>1471</v>
      </c>
    </row>
    <row r="103" spans="1:32" hidden="1" x14ac:dyDescent="0.25">
      <c r="A103">
        <v>102</v>
      </c>
      <c r="B103" t="s">
        <v>243</v>
      </c>
      <c r="C103" t="s">
        <v>1219</v>
      </c>
      <c r="D103" t="s">
        <v>1149</v>
      </c>
      <c r="E103" t="s">
        <v>35</v>
      </c>
      <c r="F103" t="s">
        <v>162</v>
      </c>
      <c r="G103" t="s">
        <v>1220</v>
      </c>
      <c r="H103" t="s">
        <v>1221</v>
      </c>
      <c r="I103" t="s">
        <v>163</v>
      </c>
      <c r="J103" t="s">
        <v>1222</v>
      </c>
      <c r="K103" t="s">
        <v>1223</v>
      </c>
      <c r="L103" s="23" t="s">
        <v>1472</v>
      </c>
      <c r="M103" s="23" t="s">
        <v>1473</v>
      </c>
      <c r="N103" s="23" t="s">
        <v>243</v>
      </c>
      <c r="O103" s="23" t="s">
        <v>1474</v>
      </c>
      <c r="P103" s="23" t="s">
        <v>1475</v>
      </c>
      <c r="Q103" s="23" t="s">
        <v>1476</v>
      </c>
      <c r="R103" s="23" t="s">
        <v>487</v>
      </c>
      <c r="S103" s="23" t="s">
        <v>1477</v>
      </c>
      <c r="T103" s="23" t="s">
        <v>855</v>
      </c>
      <c r="U103" s="23" t="s">
        <v>174</v>
      </c>
      <c r="V103" s="23" t="s">
        <v>243</v>
      </c>
      <c r="W103" s="23" t="s">
        <v>1478</v>
      </c>
      <c r="X103" s="23" t="s">
        <v>1479</v>
      </c>
      <c r="Y103" s="23" t="s">
        <v>1480</v>
      </c>
      <c r="Z103" s="23" t="s">
        <v>103</v>
      </c>
      <c r="AA103" s="23" t="s">
        <v>1481</v>
      </c>
      <c r="AB103" s="23" t="s">
        <v>1482</v>
      </c>
      <c r="AC103" s="23" t="s">
        <v>1483</v>
      </c>
      <c r="AD103" s="23" t="s">
        <v>991</v>
      </c>
      <c r="AE103" s="23" t="s">
        <v>1484</v>
      </c>
    </row>
    <row r="104" spans="1:32" hidden="1" x14ac:dyDescent="0.25">
      <c r="A104">
        <v>103</v>
      </c>
      <c r="B104" t="s">
        <v>243</v>
      </c>
      <c r="C104" t="s">
        <v>1236</v>
      </c>
      <c r="D104" t="s">
        <v>1149</v>
      </c>
      <c r="E104" t="s">
        <v>35</v>
      </c>
      <c r="F104" t="s">
        <v>162</v>
      </c>
      <c r="G104" t="s">
        <v>1237</v>
      </c>
      <c r="H104" t="s">
        <v>1221</v>
      </c>
      <c r="I104" t="s">
        <v>163</v>
      </c>
      <c r="J104" t="s">
        <v>1238</v>
      </c>
      <c r="K104" t="s">
        <v>1239</v>
      </c>
      <c r="L104" s="23" t="s">
        <v>1485</v>
      </c>
      <c r="M104" s="23" t="s">
        <v>118</v>
      </c>
      <c r="N104" s="23" t="s">
        <v>114</v>
      </c>
      <c r="O104" s="23" t="s">
        <v>1486</v>
      </c>
      <c r="P104" s="23" t="s">
        <v>1487</v>
      </c>
      <c r="Q104" s="23" t="s">
        <v>1464</v>
      </c>
      <c r="R104" s="23" t="s">
        <v>150</v>
      </c>
      <c r="S104" s="23" t="s">
        <v>1488</v>
      </c>
      <c r="T104" s="23" t="s">
        <v>1489</v>
      </c>
      <c r="U104" s="23" t="s">
        <v>156</v>
      </c>
      <c r="V104" s="23" t="s">
        <v>104</v>
      </c>
      <c r="W104" s="23" t="s">
        <v>1490</v>
      </c>
      <c r="X104" s="23" t="s">
        <v>1491</v>
      </c>
      <c r="Y104" s="23" t="s">
        <v>1316</v>
      </c>
      <c r="Z104" s="23" t="s">
        <v>150</v>
      </c>
      <c r="AA104" s="23" t="s">
        <v>1492</v>
      </c>
      <c r="AB104" s="23" t="s">
        <v>1493</v>
      </c>
      <c r="AC104" s="23" t="s">
        <v>681</v>
      </c>
      <c r="AD104" s="23" t="s">
        <v>77</v>
      </c>
      <c r="AE104" s="23" t="s">
        <v>1494</v>
      </c>
    </row>
    <row r="105" spans="1:32" hidden="1" x14ac:dyDescent="0.25">
      <c r="A105">
        <v>104</v>
      </c>
      <c r="B105" t="s">
        <v>243</v>
      </c>
      <c r="C105" t="s">
        <v>1249</v>
      </c>
      <c r="D105" t="s">
        <v>1149</v>
      </c>
      <c r="E105" t="s">
        <v>35</v>
      </c>
      <c r="F105" t="s">
        <v>162</v>
      </c>
      <c r="G105" t="s">
        <v>1495</v>
      </c>
      <c r="H105" t="s">
        <v>1251</v>
      </c>
      <c r="I105" t="s">
        <v>163</v>
      </c>
      <c r="J105" t="s">
        <v>1252</v>
      </c>
      <c r="K105" t="s">
        <v>1253</v>
      </c>
      <c r="L105" s="23" t="s">
        <v>1496</v>
      </c>
      <c r="M105" s="23" t="s">
        <v>1497</v>
      </c>
      <c r="N105" s="23" t="s">
        <v>118</v>
      </c>
      <c r="O105" s="23" t="s">
        <v>1498</v>
      </c>
      <c r="P105" s="23" t="s">
        <v>1499</v>
      </c>
      <c r="Q105" s="23" t="s">
        <v>82</v>
      </c>
      <c r="R105" s="23" t="s">
        <v>1500</v>
      </c>
      <c r="S105" s="23" t="s">
        <v>1501</v>
      </c>
      <c r="T105" s="23" t="s">
        <v>1502</v>
      </c>
      <c r="U105" s="23" t="s">
        <v>1503</v>
      </c>
      <c r="V105" s="23" t="s">
        <v>479</v>
      </c>
      <c r="W105" s="23" t="s">
        <v>1504</v>
      </c>
      <c r="X105" s="23" t="s">
        <v>1505</v>
      </c>
      <c r="Y105" s="23" t="s">
        <v>1506</v>
      </c>
      <c r="Z105" s="23" t="s">
        <v>1507</v>
      </c>
      <c r="AA105" s="23" t="s">
        <v>1508</v>
      </c>
      <c r="AB105" s="23" t="s">
        <v>1509</v>
      </c>
      <c r="AC105" s="23" t="s">
        <v>1510</v>
      </c>
      <c r="AD105" s="23" t="s">
        <v>1511</v>
      </c>
      <c r="AE105" s="23" t="s">
        <v>1512</v>
      </c>
    </row>
    <row r="106" spans="1:32" hidden="1" x14ac:dyDescent="0.25">
      <c r="A106">
        <v>105</v>
      </c>
      <c r="B106" t="s">
        <v>243</v>
      </c>
      <c r="C106" t="s">
        <v>1269</v>
      </c>
      <c r="D106" t="s">
        <v>1149</v>
      </c>
      <c r="E106" t="s">
        <v>35</v>
      </c>
      <c r="F106" t="s">
        <v>162</v>
      </c>
      <c r="G106" t="s">
        <v>1270</v>
      </c>
      <c r="H106" t="s">
        <v>1271</v>
      </c>
      <c r="I106" t="s">
        <v>39</v>
      </c>
      <c r="J106" t="s">
        <v>1272</v>
      </c>
      <c r="K106" t="s">
        <v>1272</v>
      </c>
      <c r="L106" s="23" t="s">
        <v>1272</v>
      </c>
      <c r="M106" s="23" t="s">
        <v>1272</v>
      </c>
      <c r="N106" s="23" t="s">
        <v>1272</v>
      </c>
      <c r="O106" s="23" t="s">
        <v>1272</v>
      </c>
      <c r="P106" s="23" t="s">
        <v>1272</v>
      </c>
      <c r="Q106" s="23" t="s">
        <v>1272</v>
      </c>
      <c r="R106" s="23" t="s">
        <v>1272</v>
      </c>
      <c r="S106" s="23" t="s">
        <v>1272</v>
      </c>
      <c r="T106" s="23" t="s">
        <v>1272</v>
      </c>
      <c r="U106" s="23" t="s">
        <v>1272</v>
      </c>
      <c r="V106" s="23" t="s">
        <v>1272</v>
      </c>
      <c r="W106" s="23" t="s">
        <v>1272</v>
      </c>
      <c r="X106" s="23" t="s">
        <v>1272</v>
      </c>
      <c r="Y106" s="23" t="s">
        <v>1272</v>
      </c>
      <c r="Z106" s="23" t="s">
        <v>1272</v>
      </c>
      <c r="AA106" s="23" t="s">
        <v>1272</v>
      </c>
      <c r="AB106" s="23" t="s">
        <v>1272</v>
      </c>
      <c r="AC106" s="23" t="s">
        <v>1272</v>
      </c>
      <c r="AD106" s="23" t="s">
        <v>1272</v>
      </c>
      <c r="AE106" s="23" t="s">
        <v>1272</v>
      </c>
    </row>
    <row r="107" spans="1:32" hidden="1" x14ac:dyDescent="0.25">
      <c r="A107">
        <v>106</v>
      </c>
      <c r="B107" t="s">
        <v>243</v>
      </c>
      <c r="C107" t="s">
        <v>1273</v>
      </c>
      <c r="D107" t="s">
        <v>1149</v>
      </c>
      <c r="E107" t="s">
        <v>35</v>
      </c>
      <c r="F107" t="s">
        <v>162</v>
      </c>
      <c r="G107" t="s">
        <v>1513</v>
      </c>
      <c r="H107" t="s">
        <v>1271</v>
      </c>
      <c r="I107" t="s">
        <v>39</v>
      </c>
      <c r="J107" t="s">
        <v>1272</v>
      </c>
      <c r="K107" t="s">
        <v>1272</v>
      </c>
      <c r="L107" s="23" t="s">
        <v>1272</v>
      </c>
      <c r="M107" s="23" t="s">
        <v>1272</v>
      </c>
      <c r="N107" s="23" t="s">
        <v>1272</v>
      </c>
      <c r="O107" s="23" t="s">
        <v>1272</v>
      </c>
      <c r="P107" s="23" t="s">
        <v>1272</v>
      </c>
      <c r="Q107" s="23" t="s">
        <v>1272</v>
      </c>
      <c r="R107" s="23" t="s">
        <v>1272</v>
      </c>
      <c r="S107" s="23" t="s">
        <v>1272</v>
      </c>
      <c r="T107" s="23" t="s">
        <v>1272</v>
      </c>
      <c r="U107" s="23" t="s">
        <v>1272</v>
      </c>
      <c r="V107" s="23" t="s">
        <v>1272</v>
      </c>
      <c r="W107" s="23" t="s">
        <v>1272</v>
      </c>
      <c r="X107" s="23" t="s">
        <v>1272</v>
      </c>
      <c r="Y107" s="23" t="s">
        <v>1272</v>
      </c>
      <c r="Z107" s="23" t="s">
        <v>1272</v>
      </c>
      <c r="AA107" s="23" t="s">
        <v>1272</v>
      </c>
      <c r="AB107" s="23" t="s">
        <v>1272</v>
      </c>
      <c r="AC107" s="23" t="s">
        <v>1272</v>
      </c>
      <c r="AD107" s="23" t="s">
        <v>1272</v>
      </c>
      <c r="AE107" s="23" t="s">
        <v>1272</v>
      </c>
    </row>
    <row r="108" spans="1:32" hidden="1" x14ac:dyDescent="0.25">
      <c r="A108">
        <v>107</v>
      </c>
      <c r="B108" t="s">
        <v>243</v>
      </c>
      <c r="C108" t="s">
        <v>1275</v>
      </c>
      <c r="D108" t="s">
        <v>1149</v>
      </c>
      <c r="E108" t="s">
        <v>35</v>
      </c>
      <c r="F108" t="s">
        <v>162</v>
      </c>
      <c r="G108" t="s">
        <v>1276</v>
      </c>
      <c r="H108" t="s">
        <v>1221</v>
      </c>
      <c r="I108" t="s">
        <v>163</v>
      </c>
      <c r="J108" t="s">
        <v>1277</v>
      </c>
      <c r="K108" t="s">
        <v>1278</v>
      </c>
      <c r="L108" s="23" t="s">
        <v>102</v>
      </c>
      <c r="M108" s="23" t="s">
        <v>69</v>
      </c>
      <c r="N108" s="23" t="s">
        <v>114</v>
      </c>
      <c r="O108" s="23" t="s">
        <v>1514</v>
      </c>
      <c r="P108" s="23" t="s">
        <v>1515</v>
      </c>
      <c r="Q108" s="23" t="s">
        <v>562</v>
      </c>
      <c r="R108" s="23" t="s">
        <v>150</v>
      </c>
      <c r="S108" s="23" t="s">
        <v>915</v>
      </c>
      <c r="T108" s="23" t="s">
        <v>1516</v>
      </c>
      <c r="U108" s="23" t="s">
        <v>192</v>
      </c>
      <c r="V108" s="23" t="s">
        <v>114</v>
      </c>
      <c r="W108" s="23" t="s">
        <v>1517</v>
      </c>
      <c r="X108" s="23" t="s">
        <v>1518</v>
      </c>
      <c r="Y108" s="23" t="s">
        <v>97</v>
      </c>
      <c r="Z108" s="23" t="s">
        <v>114</v>
      </c>
      <c r="AA108" s="23" t="s">
        <v>1519</v>
      </c>
      <c r="AB108" s="23" t="s">
        <v>1520</v>
      </c>
      <c r="AC108" s="23" t="s">
        <v>1096</v>
      </c>
      <c r="AD108" s="23" t="s">
        <v>150</v>
      </c>
      <c r="AE108" s="23" t="s">
        <v>1521</v>
      </c>
    </row>
    <row r="109" spans="1:32" hidden="1" x14ac:dyDescent="0.25">
      <c r="A109">
        <v>108</v>
      </c>
      <c r="B109" t="s">
        <v>243</v>
      </c>
      <c r="C109" t="s">
        <v>1287</v>
      </c>
      <c r="D109" t="s">
        <v>1149</v>
      </c>
      <c r="E109" t="s">
        <v>35</v>
      </c>
      <c r="F109" t="s">
        <v>162</v>
      </c>
      <c r="G109" t="s">
        <v>1288</v>
      </c>
      <c r="H109" t="s">
        <v>1221</v>
      </c>
      <c r="I109" t="s">
        <v>163</v>
      </c>
      <c r="J109" t="s">
        <v>1289</v>
      </c>
      <c r="K109" t="s">
        <v>1290</v>
      </c>
      <c r="L109" s="23" t="s">
        <v>1142</v>
      </c>
      <c r="M109" s="23" t="s">
        <v>98</v>
      </c>
      <c r="N109" s="23" t="s">
        <v>114</v>
      </c>
      <c r="O109" s="23" t="s">
        <v>1522</v>
      </c>
      <c r="P109" s="23" t="s">
        <v>1523</v>
      </c>
      <c r="Q109" s="23" t="s">
        <v>217</v>
      </c>
      <c r="R109" s="23" t="s">
        <v>114</v>
      </c>
      <c r="S109" s="23" t="s">
        <v>1524</v>
      </c>
      <c r="T109" s="23" t="s">
        <v>1525</v>
      </c>
      <c r="U109" s="23" t="s">
        <v>257</v>
      </c>
      <c r="V109" s="23" t="s">
        <v>114</v>
      </c>
      <c r="W109" s="23" t="s">
        <v>1526</v>
      </c>
      <c r="X109" s="23" t="s">
        <v>1527</v>
      </c>
      <c r="Y109" s="23" t="s">
        <v>77</v>
      </c>
      <c r="Z109" s="23" t="s">
        <v>114</v>
      </c>
      <c r="AA109" s="23" t="s">
        <v>1528</v>
      </c>
      <c r="AB109" s="23" t="s">
        <v>1529</v>
      </c>
      <c r="AC109" s="23" t="s">
        <v>426</v>
      </c>
      <c r="AD109" s="23" t="s">
        <v>114</v>
      </c>
      <c r="AE109" s="23" t="s">
        <v>1530</v>
      </c>
    </row>
    <row r="110" spans="1:32" hidden="1" x14ac:dyDescent="0.25">
      <c r="A110">
        <v>109</v>
      </c>
      <c r="B110" t="s">
        <v>243</v>
      </c>
      <c r="C110" t="s">
        <v>1300</v>
      </c>
      <c r="D110" t="s">
        <v>1149</v>
      </c>
      <c r="E110" t="s">
        <v>35</v>
      </c>
      <c r="F110" t="s">
        <v>162</v>
      </c>
      <c r="G110" t="s">
        <v>1301</v>
      </c>
      <c r="H110" t="s">
        <v>1221</v>
      </c>
      <c r="I110" t="s">
        <v>163</v>
      </c>
      <c r="J110" t="s">
        <v>1302</v>
      </c>
      <c r="K110" t="s">
        <v>1303</v>
      </c>
      <c r="L110" s="23" t="s">
        <v>1531</v>
      </c>
      <c r="M110" s="23" t="s">
        <v>216</v>
      </c>
      <c r="N110" s="23" t="s">
        <v>94</v>
      </c>
      <c r="O110" s="23" t="s">
        <v>431</v>
      </c>
      <c r="P110" s="23" t="s">
        <v>1532</v>
      </c>
      <c r="Q110" s="23" t="s">
        <v>1533</v>
      </c>
      <c r="R110" s="23" t="s">
        <v>243</v>
      </c>
      <c r="S110" s="23" t="s">
        <v>1534</v>
      </c>
      <c r="T110" s="23" t="s">
        <v>1535</v>
      </c>
      <c r="U110" s="23" t="s">
        <v>295</v>
      </c>
      <c r="V110" s="23" t="s">
        <v>150</v>
      </c>
      <c r="W110" s="23" t="s">
        <v>1536</v>
      </c>
      <c r="X110" s="23" t="s">
        <v>1537</v>
      </c>
      <c r="Y110" s="23" t="s">
        <v>972</v>
      </c>
      <c r="Z110" s="23" t="s">
        <v>94</v>
      </c>
      <c r="AA110" s="23" t="s">
        <v>1538</v>
      </c>
      <c r="AB110" s="23" t="s">
        <v>1539</v>
      </c>
      <c r="AC110" s="23" t="s">
        <v>1540</v>
      </c>
      <c r="AD110" s="23" t="s">
        <v>479</v>
      </c>
      <c r="AE110" s="23" t="s">
        <v>1541</v>
      </c>
    </row>
    <row r="111" spans="1:32" hidden="1" x14ac:dyDescent="0.25">
      <c r="A111">
        <v>110</v>
      </c>
      <c r="B111" t="s">
        <v>243</v>
      </c>
      <c r="C111" t="s">
        <v>1318</v>
      </c>
      <c r="D111" t="s">
        <v>1149</v>
      </c>
      <c r="E111" t="s">
        <v>35</v>
      </c>
      <c r="F111" t="s">
        <v>162</v>
      </c>
      <c r="G111" t="s">
        <v>1319</v>
      </c>
      <c r="H111" t="s">
        <v>1221</v>
      </c>
      <c r="I111" t="s">
        <v>163</v>
      </c>
      <c r="J111" t="s">
        <v>1320</v>
      </c>
      <c r="K111" t="s">
        <v>1321</v>
      </c>
      <c r="L111" s="23" t="s">
        <v>1542</v>
      </c>
      <c r="M111" s="23" t="s">
        <v>157</v>
      </c>
      <c r="N111" s="23" t="s">
        <v>122</v>
      </c>
      <c r="O111" s="23" t="s">
        <v>1543</v>
      </c>
      <c r="P111" s="23" t="s">
        <v>1544</v>
      </c>
      <c r="Q111" s="23" t="s">
        <v>1545</v>
      </c>
      <c r="R111" s="23" t="s">
        <v>185</v>
      </c>
      <c r="S111" s="23" t="s">
        <v>1546</v>
      </c>
      <c r="T111" s="23" t="s">
        <v>1547</v>
      </c>
      <c r="U111" s="23" t="s">
        <v>73</v>
      </c>
      <c r="V111" s="23" t="s">
        <v>244</v>
      </c>
      <c r="W111" s="23" t="s">
        <v>1548</v>
      </c>
      <c r="X111" s="23" t="s">
        <v>693</v>
      </c>
      <c r="Y111" s="23" t="s">
        <v>455</v>
      </c>
      <c r="Z111" s="23" t="s">
        <v>122</v>
      </c>
      <c r="AA111" s="23" t="s">
        <v>1549</v>
      </c>
      <c r="AB111" s="23" t="s">
        <v>1550</v>
      </c>
      <c r="AC111" s="23" t="s">
        <v>1551</v>
      </c>
      <c r="AD111" s="23" t="s">
        <v>768</v>
      </c>
      <c r="AE111" s="23" t="s">
        <v>1552</v>
      </c>
    </row>
    <row r="112" spans="1:32" hidden="1" x14ac:dyDescent="0.25">
      <c r="A112">
        <v>111</v>
      </c>
      <c r="B112" t="s">
        <v>243</v>
      </c>
      <c r="C112" t="s">
        <v>1334</v>
      </c>
      <c r="D112" t="s">
        <v>1149</v>
      </c>
      <c r="E112" t="s">
        <v>35</v>
      </c>
      <c r="F112" t="s">
        <v>162</v>
      </c>
      <c r="G112" t="s">
        <v>707</v>
      </c>
      <c r="H112" t="s">
        <v>1221</v>
      </c>
      <c r="I112" t="s">
        <v>163</v>
      </c>
      <c r="J112" t="s">
        <v>1335</v>
      </c>
      <c r="K112" t="s">
        <v>1336</v>
      </c>
      <c r="L112" s="23" t="s">
        <v>1553</v>
      </c>
      <c r="M112" s="23" t="s">
        <v>319</v>
      </c>
      <c r="N112" s="23" t="s">
        <v>93</v>
      </c>
      <c r="O112" s="23" t="s">
        <v>1554</v>
      </c>
      <c r="P112" s="23" t="s">
        <v>1555</v>
      </c>
      <c r="Q112" s="23" t="s">
        <v>1556</v>
      </c>
      <c r="R112" s="23" t="s">
        <v>914</v>
      </c>
      <c r="S112" s="23" t="s">
        <v>1557</v>
      </c>
      <c r="T112" s="23" t="s">
        <v>1558</v>
      </c>
      <c r="U112" s="23" t="s">
        <v>366</v>
      </c>
      <c r="V112" s="23" t="s">
        <v>479</v>
      </c>
      <c r="W112" s="23" t="s">
        <v>1559</v>
      </c>
      <c r="X112" s="23" t="s">
        <v>1560</v>
      </c>
      <c r="Y112" s="23" t="s">
        <v>1142</v>
      </c>
      <c r="Z112" s="23" t="s">
        <v>257</v>
      </c>
      <c r="AA112" s="23" t="s">
        <v>1561</v>
      </c>
      <c r="AB112" s="23" t="s">
        <v>402</v>
      </c>
      <c r="AC112" s="23" t="s">
        <v>1562</v>
      </c>
      <c r="AD112" s="23" t="s">
        <v>302</v>
      </c>
      <c r="AE112" s="23" t="s">
        <v>1563</v>
      </c>
    </row>
    <row r="113" spans="1:31" hidden="1" x14ac:dyDescent="0.25">
      <c r="A113">
        <v>112</v>
      </c>
      <c r="B113" t="s">
        <v>243</v>
      </c>
      <c r="C113" t="s">
        <v>1350</v>
      </c>
      <c r="D113" t="s">
        <v>1149</v>
      </c>
      <c r="E113" t="s">
        <v>35</v>
      </c>
      <c r="F113" t="s">
        <v>162</v>
      </c>
      <c r="G113" t="s">
        <v>1351</v>
      </c>
      <c r="H113" t="s">
        <v>1221</v>
      </c>
      <c r="I113" t="s">
        <v>163</v>
      </c>
      <c r="J113" t="s">
        <v>1352</v>
      </c>
      <c r="K113" t="s">
        <v>1353</v>
      </c>
      <c r="L113" s="23" t="s">
        <v>1564</v>
      </c>
      <c r="M113" s="23" t="s">
        <v>118</v>
      </c>
      <c r="N113" s="23" t="s">
        <v>94</v>
      </c>
      <c r="O113" s="23" t="s">
        <v>1565</v>
      </c>
      <c r="P113" s="23" t="s">
        <v>1566</v>
      </c>
      <c r="Q113" s="23" t="s">
        <v>208</v>
      </c>
      <c r="R113" s="23" t="s">
        <v>94</v>
      </c>
      <c r="S113" s="23" t="s">
        <v>1567</v>
      </c>
      <c r="T113" s="23" t="s">
        <v>912</v>
      </c>
      <c r="U113" s="23" t="s">
        <v>282</v>
      </c>
      <c r="V113" s="23" t="s">
        <v>114</v>
      </c>
      <c r="W113" s="23" t="s">
        <v>735</v>
      </c>
      <c r="X113" s="23" t="s">
        <v>388</v>
      </c>
      <c r="Y113" s="23" t="s">
        <v>196</v>
      </c>
      <c r="Z113" s="23" t="s">
        <v>104</v>
      </c>
      <c r="AA113" s="23" t="s">
        <v>1568</v>
      </c>
      <c r="AB113" s="23" t="s">
        <v>1569</v>
      </c>
      <c r="AC113" s="23" t="s">
        <v>597</v>
      </c>
      <c r="AD113" s="23" t="s">
        <v>98</v>
      </c>
      <c r="AE113" s="23" t="s">
        <v>1570</v>
      </c>
    </row>
    <row r="114" spans="1:31" hidden="1" x14ac:dyDescent="0.25">
      <c r="A114">
        <v>113</v>
      </c>
      <c r="B114" t="s">
        <v>243</v>
      </c>
      <c r="C114" t="s">
        <v>1363</v>
      </c>
      <c r="D114" t="s">
        <v>1149</v>
      </c>
      <c r="E114" t="s">
        <v>35</v>
      </c>
      <c r="F114" t="s">
        <v>162</v>
      </c>
      <c r="G114" t="s">
        <v>1364</v>
      </c>
      <c r="H114" t="s">
        <v>1221</v>
      </c>
      <c r="I114" t="s">
        <v>163</v>
      </c>
      <c r="J114" t="s">
        <v>1365</v>
      </c>
      <c r="K114" t="s">
        <v>1366</v>
      </c>
      <c r="L114" s="23" t="s">
        <v>600</v>
      </c>
      <c r="M114" s="23" t="s">
        <v>138</v>
      </c>
      <c r="N114" s="23" t="s">
        <v>94</v>
      </c>
      <c r="O114" s="23" t="s">
        <v>1571</v>
      </c>
      <c r="P114" s="23" t="s">
        <v>1572</v>
      </c>
      <c r="Q114" s="23" t="s">
        <v>85</v>
      </c>
      <c r="R114" s="23" t="s">
        <v>93</v>
      </c>
      <c r="S114" s="23" t="s">
        <v>1573</v>
      </c>
      <c r="T114" s="23" t="s">
        <v>1574</v>
      </c>
      <c r="U114" s="23" t="s">
        <v>155</v>
      </c>
      <c r="V114" s="23" t="s">
        <v>217</v>
      </c>
      <c r="W114" s="23" t="s">
        <v>1575</v>
      </c>
      <c r="X114" s="23" t="s">
        <v>1576</v>
      </c>
      <c r="Y114" s="23" t="s">
        <v>1032</v>
      </c>
      <c r="Z114" s="23" t="s">
        <v>114</v>
      </c>
      <c r="AA114" s="23" t="s">
        <v>1577</v>
      </c>
      <c r="AB114" s="23" t="s">
        <v>1578</v>
      </c>
      <c r="AC114" s="23" t="s">
        <v>1579</v>
      </c>
      <c r="AD114" s="23" t="s">
        <v>138</v>
      </c>
      <c r="AE114" s="23" t="s">
        <v>1580</v>
      </c>
    </row>
    <row r="115" spans="1:31" hidden="1" x14ac:dyDescent="0.25">
      <c r="A115">
        <v>114</v>
      </c>
      <c r="B115" t="s">
        <v>243</v>
      </c>
      <c r="C115" t="s">
        <v>1375</v>
      </c>
      <c r="D115" t="s">
        <v>1149</v>
      </c>
      <c r="E115" t="s">
        <v>35</v>
      </c>
      <c r="F115" t="s">
        <v>162</v>
      </c>
      <c r="G115" t="s">
        <v>1376</v>
      </c>
      <c r="H115" t="s">
        <v>1221</v>
      </c>
      <c r="I115" t="s">
        <v>163</v>
      </c>
      <c r="J115" t="s">
        <v>1377</v>
      </c>
      <c r="K115" t="s">
        <v>1378</v>
      </c>
      <c r="L115" s="23" t="s">
        <v>876</v>
      </c>
      <c r="M115" s="23" t="s">
        <v>426</v>
      </c>
      <c r="N115" s="23" t="s">
        <v>104</v>
      </c>
      <c r="O115" s="23" t="s">
        <v>1581</v>
      </c>
      <c r="P115" s="23" t="s">
        <v>1582</v>
      </c>
      <c r="Q115" s="23" t="s">
        <v>599</v>
      </c>
      <c r="R115" s="23" t="s">
        <v>153</v>
      </c>
      <c r="S115" s="23" t="s">
        <v>1583</v>
      </c>
      <c r="T115" s="23" t="s">
        <v>1584</v>
      </c>
      <c r="U115" s="23" t="s">
        <v>315</v>
      </c>
      <c r="V115" s="23" t="s">
        <v>122</v>
      </c>
      <c r="W115" s="23" t="s">
        <v>1585</v>
      </c>
      <c r="X115" s="23" t="s">
        <v>1586</v>
      </c>
      <c r="Y115" s="23" t="s">
        <v>1587</v>
      </c>
      <c r="Z115" s="23" t="s">
        <v>98</v>
      </c>
      <c r="AA115" s="23" t="s">
        <v>1588</v>
      </c>
      <c r="AB115" s="23" t="s">
        <v>1589</v>
      </c>
      <c r="AC115" s="23" t="s">
        <v>1590</v>
      </c>
      <c r="AD115" s="23" t="s">
        <v>151</v>
      </c>
      <c r="AE115" s="23" t="s">
        <v>1591</v>
      </c>
    </row>
    <row r="116" spans="1:31" hidden="1" x14ac:dyDescent="0.25">
      <c r="A116">
        <v>115</v>
      </c>
      <c r="B116" t="s">
        <v>243</v>
      </c>
      <c r="C116" t="s">
        <v>1390</v>
      </c>
      <c r="D116" t="s">
        <v>1149</v>
      </c>
      <c r="E116" t="s">
        <v>35</v>
      </c>
      <c r="F116" t="s">
        <v>162</v>
      </c>
      <c r="G116" t="s">
        <v>1391</v>
      </c>
      <c r="H116" t="s">
        <v>1392</v>
      </c>
      <c r="I116" t="s">
        <v>163</v>
      </c>
      <c r="J116" t="s">
        <v>1393</v>
      </c>
      <c r="K116" t="s">
        <v>1394</v>
      </c>
      <c r="L116" s="23" t="s">
        <v>1592</v>
      </c>
      <c r="M116" s="23" t="s">
        <v>245</v>
      </c>
      <c r="N116" s="23" t="s">
        <v>244</v>
      </c>
      <c r="O116" s="23" t="s">
        <v>1593</v>
      </c>
      <c r="P116" s="23" t="s">
        <v>1594</v>
      </c>
      <c r="Q116" s="23" t="s">
        <v>165</v>
      </c>
      <c r="R116" s="23" t="s">
        <v>185</v>
      </c>
      <c r="S116" s="23" t="s">
        <v>1595</v>
      </c>
      <c r="T116" s="23" t="s">
        <v>1596</v>
      </c>
      <c r="U116" s="23" t="s">
        <v>468</v>
      </c>
      <c r="V116" s="23" t="s">
        <v>77</v>
      </c>
      <c r="W116" s="23" t="s">
        <v>1597</v>
      </c>
      <c r="X116" s="23" t="s">
        <v>1598</v>
      </c>
      <c r="Y116" s="23" t="s">
        <v>358</v>
      </c>
      <c r="Z116" s="23" t="s">
        <v>244</v>
      </c>
      <c r="AA116" s="23" t="s">
        <v>1599</v>
      </c>
      <c r="AB116" s="23" t="s">
        <v>1600</v>
      </c>
      <c r="AC116" s="23" t="s">
        <v>1528</v>
      </c>
      <c r="AD116" s="23" t="s">
        <v>233</v>
      </c>
      <c r="AE116" s="23" t="s">
        <v>1601</v>
      </c>
    </row>
    <row r="117" spans="1:31" hidden="1" x14ac:dyDescent="0.25">
      <c r="A117">
        <v>116</v>
      </c>
      <c r="B117" t="s">
        <v>243</v>
      </c>
      <c r="C117" t="s">
        <v>1407</v>
      </c>
      <c r="D117" t="s">
        <v>1149</v>
      </c>
      <c r="E117" t="s">
        <v>35</v>
      </c>
      <c r="F117" t="s">
        <v>162</v>
      </c>
      <c r="G117" t="s">
        <v>1408</v>
      </c>
      <c r="H117" t="s">
        <v>1409</v>
      </c>
      <c r="I117" t="s">
        <v>163</v>
      </c>
      <c r="J117" t="s">
        <v>1410</v>
      </c>
      <c r="K117" t="s">
        <v>1411</v>
      </c>
      <c r="L117" s="23" t="s">
        <v>1186</v>
      </c>
      <c r="M117" s="23" t="s">
        <v>347</v>
      </c>
      <c r="N117" s="23" t="s">
        <v>104</v>
      </c>
      <c r="O117" s="23" t="s">
        <v>1602</v>
      </c>
      <c r="P117" s="23" t="s">
        <v>938</v>
      </c>
      <c r="Q117" s="23" t="s">
        <v>301</v>
      </c>
      <c r="R117" s="23" t="s">
        <v>98</v>
      </c>
      <c r="S117" s="23" t="s">
        <v>1603</v>
      </c>
      <c r="T117" s="23" t="s">
        <v>1604</v>
      </c>
      <c r="U117" s="23" t="s">
        <v>246</v>
      </c>
      <c r="V117" s="23" t="s">
        <v>114</v>
      </c>
      <c r="W117" s="23" t="s">
        <v>1452</v>
      </c>
      <c r="X117" s="23" t="s">
        <v>1605</v>
      </c>
      <c r="Y117" s="23" t="s">
        <v>243</v>
      </c>
      <c r="Z117" s="23" t="s">
        <v>94</v>
      </c>
      <c r="AA117" s="23" t="s">
        <v>1606</v>
      </c>
      <c r="AB117" s="23" t="s">
        <v>1607</v>
      </c>
      <c r="AC117" s="23" t="s">
        <v>1608</v>
      </c>
      <c r="AD117" s="23" t="s">
        <v>122</v>
      </c>
      <c r="AE117" s="23" t="s">
        <v>1609</v>
      </c>
    </row>
    <row r="118" spans="1:31" hidden="1" x14ac:dyDescent="0.25">
      <c r="A118">
        <v>117</v>
      </c>
      <c r="B118" t="s">
        <v>1610</v>
      </c>
      <c r="C118" t="s">
        <v>1611</v>
      </c>
      <c r="D118" t="s">
        <v>1612</v>
      </c>
      <c r="E118" t="s">
        <v>35</v>
      </c>
      <c r="F118" t="s">
        <v>36</v>
      </c>
      <c r="G118" t="s">
        <v>1613</v>
      </c>
      <c r="H118" t="s">
        <v>1614</v>
      </c>
      <c r="I118" t="s">
        <v>300</v>
      </c>
      <c r="J118" t="s">
        <v>1615</v>
      </c>
      <c r="K118" t="s">
        <v>1616</v>
      </c>
      <c r="L118" s="23" t="s">
        <v>1617</v>
      </c>
      <c r="M118" s="23" t="s">
        <v>157</v>
      </c>
      <c r="N118" s="23" t="s">
        <v>118</v>
      </c>
      <c r="O118" s="23" t="s">
        <v>1618</v>
      </c>
      <c r="P118" s="23" t="s">
        <v>1619</v>
      </c>
      <c r="Q118" s="23" t="s">
        <v>633</v>
      </c>
      <c r="R118" s="23" t="s">
        <v>1305</v>
      </c>
      <c r="S118" s="23" t="s">
        <v>1620</v>
      </c>
      <c r="T118" s="23" t="s">
        <v>907</v>
      </c>
      <c r="U118" s="23" t="s">
        <v>479</v>
      </c>
      <c r="V118" s="23" t="s">
        <v>213</v>
      </c>
      <c r="W118" s="23" t="s">
        <v>1621</v>
      </c>
      <c r="X118" s="23" t="s">
        <v>1622</v>
      </c>
      <c r="Y118" s="23" t="s">
        <v>366</v>
      </c>
      <c r="Z118" s="23" t="s">
        <v>297</v>
      </c>
      <c r="AA118" s="23" t="s">
        <v>564</v>
      </c>
      <c r="AB118" s="23" t="s">
        <v>1623</v>
      </c>
      <c r="AC118" s="23" t="s">
        <v>384</v>
      </c>
      <c r="AD118" s="23" t="s">
        <v>100</v>
      </c>
      <c r="AE118" s="23" t="s">
        <v>1624</v>
      </c>
    </row>
    <row r="119" spans="1:31" hidden="1" x14ac:dyDescent="0.25">
      <c r="A119">
        <v>118</v>
      </c>
      <c r="B119" t="s">
        <v>1610</v>
      </c>
      <c r="C119" t="s">
        <v>1625</v>
      </c>
      <c r="D119" t="s">
        <v>1612</v>
      </c>
      <c r="E119" t="s">
        <v>35</v>
      </c>
      <c r="F119" t="s">
        <v>36</v>
      </c>
      <c r="G119" t="s">
        <v>1626</v>
      </c>
      <c r="H119" t="s">
        <v>1627</v>
      </c>
      <c r="I119" t="s">
        <v>300</v>
      </c>
      <c r="J119" t="s">
        <v>1628</v>
      </c>
      <c r="K119" t="s">
        <v>1629</v>
      </c>
      <c r="L119" s="23" t="s">
        <v>1630</v>
      </c>
      <c r="M119" s="23" t="s">
        <v>914</v>
      </c>
      <c r="N119" s="23" t="s">
        <v>69</v>
      </c>
      <c r="O119" s="23" t="s">
        <v>1631</v>
      </c>
      <c r="P119" s="23" t="s">
        <v>1632</v>
      </c>
      <c r="Q119" s="23" t="s">
        <v>1633</v>
      </c>
      <c r="R119" s="23" t="s">
        <v>113</v>
      </c>
      <c r="S119" s="23" t="s">
        <v>1634</v>
      </c>
      <c r="T119" s="23" t="s">
        <v>1635</v>
      </c>
      <c r="U119" s="23" t="s">
        <v>185</v>
      </c>
      <c r="V119" s="23" t="s">
        <v>122</v>
      </c>
      <c r="W119" s="23" t="s">
        <v>1636</v>
      </c>
      <c r="X119" s="23" t="s">
        <v>1637</v>
      </c>
      <c r="Y119" s="23" t="s">
        <v>490</v>
      </c>
      <c r="Z119" s="23" t="s">
        <v>426</v>
      </c>
      <c r="AA119" s="23" t="s">
        <v>1638</v>
      </c>
      <c r="AB119" s="23" t="s">
        <v>1639</v>
      </c>
      <c r="AC119" s="23" t="s">
        <v>1640</v>
      </c>
      <c r="AD119" s="23" t="s">
        <v>489</v>
      </c>
      <c r="AE119" s="23" t="s">
        <v>1641</v>
      </c>
    </row>
    <row r="120" spans="1:31" hidden="1" x14ac:dyDescent="0.25">
      <c r="A120">
        <v>119</v>
      </c>
      <c r="B120" t="s">
        <v>1610</v>
      </c>
      <c r="C120" t="s">
        <v>1642</v>
      </c>
      <c r="D120" t="s">
        <v>1612</v>
      </c>
      <c r="E120" t="s">
        <v>35</v>
      </c>
      <c r="F120" t="s">
        <v>36</v>
      </c>
      <c r="G120" t="s">
        <v>1643</v>
      </c>
      <c r="H120" t="s">
        <v>1644</v>
      </c>
      <c r="I120" t="s">
        <v>300</v>
      </c>
      <c r="J120" t="s">
        <v>1645</v>
      </c>
      <c r="K120" t="s">
        <v>1646</v>
      </c>
      <c r="L120" s="23" t="s">
        <v>1647</v>
      </c>
      <c r="M120" s="23" t="s">
        <v>1608</v>
      </c>
      <c r="N120" s="23" t="s">
        <v>197</v>
      </c>
      <c r="O120" s="23" t="s">
        <v>1648</v>
      </c>
      <c r="P120" s="23" t="s">
        <v>1649</v>
      </c>
      <c r="Q120" s="23" t="s">
        <v>1650</v>
      </c>
      <c r="R120" s="23" t="s">
        <v>1651</v>
      </c>
      <c r="S120" s="23" t="s">
        <v>1652</v>
      </c>
      <c r="T120" s="23" t="s">
        <v>1436</v>
      </c>
      <c r="U120" s="23" t="s">
        <v>468</v>
      </c>
      <c r="V120" s="23" t="s">
        <v>93</v>
      </c>
      <c r="W120" s="23" t="s">
        <v>522</v>
      </c>
      <c r="X120" s="23" t="s">
        <v>1653</v>
      </c>
      <c r="Y120" s="23" t="s">
        <v>1511</v>
      </c>
      <c r="Z120" s="23" t="s">
        <v>97</v>
      </c>
      <c r="AA120" s="23" t="s">
        <v>1654</v>
      </c>
      <c r="AB120" s="23" t="s">
        <v>1655</v>
      </c>
      <c r="AC120" s="23" t="s">
        <v>804</v>
      </c>
      <c r="AD120" s="23" t="s">
        <v>917</v>
      </c>
      <c r="AE120" s="23" t="s">
        <v>1656</v>
      </c>
    </row>
    <row r="121" spans="1:31" hidden="1" x14ac:dyDescent="0.25">
      <c r="A121">
        <v>120</v>
      </c>
      <c r="B121" t="s">
        <v>1610</v>
      </c>
      <c r="C121" t="s">
        <v>1657</v>
      </c>
      <c r="D121" t="s">
        <v>1612</v>
      </c>
      <c r="E121" t="s">
        <v>35</v>
      </c>
      <c r="F121" t="s">
        <v>36</v>
      </c>
      <c r="G121" t="s">
        <v>1658</v>
      </c>
      <c r="H121" t="s">
        <v>1627</v>
      </c>
      <c r="I121" t="s">
        <v>300</v>
      </c>
      <c r="J121" t="s">
        <v>1659</v>
      </c>
      <c r="K121" t="s">
        <v>1660</v>
      </c>
      <c r="L121" s="23" t="s">
        <v>1661</v>
      </c>
      <c r="M121" s="23" t="s">
        <v>95</v>
      </c>
      <c r="N121" s="23" t="s">
        <v>1125</v>
      </c>
      <c r="O121" s="23" t="s">
        <v>1662</v>
      </c>
      <c r="P121" s="23" t="s">
        <v>1663</v>
      </c>
      <c r="Q121" s="23" t="s">
        <v>1664</v>
      </c>
      <c r="R121" s="23" t="s">
        <v>1665</v>
      </c>
      <c r="S121" s="23" t="s">
        <v>1666</v>
      </c>
      <c r="T121" s="23" t="s">
        <v>1667</v>
      </c>
      <c r="U121" s="23" t="s">
        <v>601</v>
      </c>
      <c r="V121" s="23" t="s">
        <v>1069</v>
      </c>
      <c r="W121" s="23" t="s">
        <v>1668</v>
      </c>
      <c r="X121" s="23" t="s">
        <v>1669</v>
      </c>
      <c r="Y121" s="23" t="s">
        <v>1670</v>
      </c>
      <c r="Z121" s="23" t="s">
        <v>783</v>
      </c>
      <c r="AA121" s="23" t="s">
        <v>1671</v>
      </c>
      <c r="AB121" s="23" t="s">
        <v>1672</v>
      </c>
      <c r="AC121" s="23" t="s">
        <v>1673</v>
      </c>
      <c r="AD121" s="23" t="s">
        <v>1674</v>
      </c>
      <c r="AE121" s="23" t="s">
        <v>1675</v>
      </c>
    </row>
    <row r="122" spans="1:31" hidden="1" x14ac:dyDescent="0.25">
      <c r="A122">
        <v>121</v>
      </c>
      <c r="B122" t="s">
        <v>1610</v>
      </c>
      <c r="C122" t="s">
        <v>1676</v>
      </c>
      <c r="D122" t="s">
        <v>1612</v>
      </c>
      <c r="E122" t="s">
        <v>35</v>
      </c>
      <c r="F122" t="s">
        <v>36</v>
      </c>
      <c r="G122" t="s">
        <v>1677</v>
      </c>
      <c r="H122" t="s">
        <v>1627</v>
      </c>
      <c r="I122" t="s">
        <v>300</v>
      </c>
      <c r="J122" t="s">
        <v>1678</v>
      </c>
      <c r="K122" t="s">
        <v>1679</v>
      </c>
      <c r="L122" s="23" t="s">
        <v>663</v>
      </c>
      <c r="M122" s="23" t="s">
        <v>260</v>
      </c>
      <c r="N122" s="23" t="s">
        <v>282</v>
      </c>
      <c r="O122" s="23" t="s">
        <v>1680</v>
      </c>
      <c r="P122" s="23" t="s">
        <v>1681</v>
      </c>
      <c r="Q122" s="23" t="s">
        <v>1682</v>
      </c>
      <c r="R122" s="23" t="s">
        <v>477</v>
      </c>
      <c r="S122" s="23" t="s">
        <v>1683</v>
      </c>
      <c r="T122" s="23" t="s">
        <v>1651</v>
      </c>
      <c r="U122" s="23" t="s">
        <v>97</v>
      </c>
      <c r="V122" s="23" t="s">
        <v>479</v>
      </c>
      <c r="W122" s="23" t="s">
        <v>1162</v>
      </c>
      <c r="X122" s="23" t="s">
        <v>1684</v>
      </c>
      <c r="Y122" s="23" t="s">
        <v>1685</v>
      </c>
      <c r="Z122" s="23" t="s">
        <v>233</v>
      </c>
      <c r="AA122" s="23" t="s">
        <v>1686</v>
      </c>
      <c r="AB122" s="23" t="s">
        <v>1687</v>
      </c>
      <c r="AC122" s="23" t="s">
        <v>1688</v>
      </c>
      <c r="AD122" s="23" t="s">
        <v>579</v>
      </c>
      <c r="AE122" s="23" t="s">
        <v>1689</v>
      </c>
    </row>
    <row r="123" spans="1:31" hidden="1" x14ac:dyDescent="0.25">
      <c r="A123">
        <v>122</v>
      </c>
      <c r="B123" t="s">
        <v>1610</v>
      </c>
      <c r="C123" t="s">
        <v>1690</v>
      </c>
      <c r="D123" t="s">
        <v>1612</v>
      </c>
      <c r="E123" t="s">
        <v>35</v>
      </c>
      <c r="F123" t="s">
        <v>36</v>
      </c>
      <c r="G123" t="s">
        <v>1691</v>
      </c>
      <c r="H123" t="s">
        <v>1627</v>
      </c>
      <c r="I123" t="s">
        <v>300</v>
      </c>
      <c r="J123" t="s">
        <v>1692</v>
      </c>
      <c r="K123" t="s">
        <v>1693</v>
      </c>
      <c r="L123" s="23" t="s">
        <v>1100</v>
      </c>
      <c r="M123" s="23" t="s">
        <v>1014</v>
      </c>
      <c r="N123" s="23" t="s">
        <v>297</v>
      </c>
      <c r="O123" s="23" t="s">
        <v>293</v>
      </c>
      <c r="P123" s="23" t="s">
        <v>1486</v>
      </c>
      <c r="Q123" s="23" t="s">
        <v>1295</v>
      </c>
      <c r="R123" s="23" t="s">
        <v>1201</v>
      </c>
      <c r="S123" s="23" t="s">
        <v>1694</v>
      </c>
      <c r="T123" s="23" t="s">
        <v>1503</v>
      </c>
      <c r="U123" s="23" t="s">
        <v>185</v>
      </c>
      <c r="V123" s="23" t="s">
        <v>243</v>
      </c>
      <c r="W123" s="23" t="s">
        <v>1695</v>
      </c>
      <c r="X123" s="23" t="s">
        <v>186</v>
      </c>
      <c r="Y123" s="23" t="s">
        <v>120</v>
      </c>
      <c r="Z123" s="23" t="s">
        <v>81</v>
      </c>
      <c r="AA123" s="23" t="s">
        <v>1696</v>
      </c>
      <c r="AB123" s="23" t="s">
        <v>1697</v>
      </c>
      <c r="AC123" s="23" t="s">
        <v>293</v>
      </c>
      <c r="AD123" s="23" t="s">
        <v>1698</v>
      </c>
      <c r="AE123" s="23" t="s">
        <v>1699</v>
      </c>
    </row>
    <row r="124" spans="1:31" hidden="1" x14ac:dyDescent="0.25">
      <c r="A124">
        <v>123</v>
      </c>
      <c r="B124" t="s">
        <v>1610</v>
      </c>
      <c r="C124" t="s">
        <v>1611</v>
      </c>
      <c r="D124" t="s">
        <v>1612</v>
      </c>
      <c r="E124" t="s">
        <v>35</v>
      </c>
      <c r="F124" t="s">
        <v>162</v>
      </c>
      <c r="G124" t="s">
        <v>1613</v>
      </c>
      <c r="H124" t="s">
        <v>1614</v>
      </c>
      <c r="I124" t="s">
        <v>240</v>
      </c>
      <c r="J124" t="s">
        <v>1700</v>
      </c>
      <c r="K124" t="s">
        <v>1701</v>
      </c>
      <c r="L124" s="23" t="s">
        <v>1702</v>
      </c>
      <c r="M124" s="23" t="s">
        <v>426</v>
      </c>
      <c r="N124" s="23" t="s">
        <v>69</v>
      </c>
      <c r="O124" s="23" t="s">
        <v>1703</v>
      </c>
      <c r="P124" s="23" t="s">
        <v>1704</v>
      </c>
      <c r="Q124" s="23" t="s">
        <v>1705</v>
      </c>
      <c r="R124" s="23" t="s">
        <v>116</v>
      </c>
      <c r="S124" s="23" t="s">
        <v>1706</v>
      </c>
      <c r="T124" s="23" t="s">
        <v>1707</v>
      </c>
      <c r="U124" s="23" t="s">
        <v>245</v>
      </c>
      <c r="V124" s="23" t="s">
        <v>213</v>
      </c>
      <c r="W124" s="23" t="s">
        <v>1180</v>
      </c>
      <c r="X124" s="23" t="s">
        <v>1708</v>
      </c>
      <c r="Y124" s="23" t="s">
        <v>407</v>
      </c>
      <c r="Z124" s="23" t="s">
        <v>76</v>
      </c>
      <c r="AA124" s="23" t="s">
        <v>1709</v>
      </c>
      <c r="AB124" s="23" t="s">
        <v>1710</v>
      </c>
      <c r="AC124" s="23" t="s">
        <v>1711</v>
      </c>
      <c r="AD124" s="23" t="s">
        <v>1712</v>
      </c>
      <c r="AE124" s="23" t="s">
        <v>1713</v>
      </c>
    </row>
    <row r="125" spans="1:31" hidden="1" x14ac:dyDescent="0.25">
      <c r="A125">
        <v>124</v>
      </c>
      <c r="B125" t="s">
        <v>1610</v>
      </c>
      <c r="C125" t="s">
        <v>1625</v>
      </c>
      <c r="D125" t="s">
        <v>1612</v>
      </c>
      <c r="E125" t="s">
        <v>35</v>
      </c>
      <c r="F125" t="s">
        <v>162</v>
      </c>
      <c r="G125" t="s">
        <v>1626</v>
      </c>
      <c r="H125" t="s">
        <v>1627</v>
      </c>
      <c r="I125" t="s">
        <v>240</v>
      </c>
      <c r="J125" t="s">
        <v>1714</v>
      </c>
      <c r="K125" t="s">
        <v>1715</v>
      </c>
      <c r="L125" s="23" t="s">
        <v>1716</v>
      </c>
      <c r="M125" s="23" t="s">
        <v>1717</v>
      </c>
      <c r="N125" s="23" t="s">
        <v>347</v>
      </c>
      <c r="O125" s="23" t="s">
        <v>1718</v>
      </c>
      <c r="P125" s="23" t="s">
        <v>1719</v>
      </c>
      <c r="Q125" s="23" t="s">
        <v>527</v>
      </c>
      <c r="R125" s="23" t="s">
        <v>588</v>
      </c>
      <c r="S125" s="23" t="s">
        <v>1720</v>
      </c>
      <c r="T125" s="23" t="s">
        <v>1721</v>
      </c>
      <c r="U125" s="23" t="s">
        <v>953</v>
      </c>
      <c r="V125" s="23" t="s">
        <v>243</v>
      </c>
      <c r="W125" s="23" t="s">
        <v>1722</v>
      </c>
      <c r="X125" s="23" t="s">
        <v>1723</v>
      </c>
      <c r="Y125" s="23" t="s">
        <v>1724</v>
      </c>
      <c r="Z125" s="23" t="s">
        <v>211</v>
      </c>
      <c r="AA125" s="23" t="s">
        <v>1725</v>
      </c>
      <c r="AB125" s="23" t="s">
        <v>1726</v>
      </c>
      <c r="AC125" s="23" t="s">
        <v>1066</v>
      </c>
      <c r="AD125" s="23" t="s">
        <v>805</v>
      </c>
      <c r="AE125" s="23" t="s">
        <v>1727</v>
      </c>
    </row>
    <row r="126" spans="1:31" hidden="1" x14ac:dyDescent="0.25">
      <c r="A126">
        <v>125</v>
      </c>
      <c r="B126" t="s">
        <v>1610</v>
      </c>
      <c r="C126" t="s">
        <v>1642</v>
      </c>
      <c r="D126" t="s">
        <v>1612</v>
      </c>
      <c r="E126" t="s">
        <v>35</v>
      </c>
      <c r="F126" t="s">
        <v>162</v>
      </c>
      <c r="G126" t="s">
        <v>1643</v>
      </c>
      <c r="H126" t="s">
        <v>1644</v>
      </c>
      <c r="I126" t="s">
        <v>240</v>
      </c>
      <c r="J126" t="s">
        <v>1645</v>
      </c>
      <c r="K126" t="s">
        <v>1646</v>
      </c>
      <c r="L126" s="23" t="s">
        <v>567</v>
      </c>
      <c r="M126" s="23" t="s">
        <v>1728</v>
      </c>
      <c r="N126" s="23" t="s">
        <v>347</v>
      </c>
      <c r="O126" s="23" t="s">
        <v>1729</v>
      </c>
      <c r="P126" s="23" t="s">
        <v>1730</v>
      </c>
      <c r="Q126" s="23" t="s">
        <v>1667</v>
      </c>
      <c r="R126" s="23" t="s">
        <v>1305</v>
      </c>
      <c r="S126" s="23" t="s">
        <v>1731</v>
      </c>
      <c r="T126" s="23" t="s">
        <v>1732</v>
      </c>
      <c r="U126" s="23" t="s">
        <v>1305</v>
      </c>
      <c r="V126" s="23" t="s">
        <v>93</v>
      </c>
      <c r="W126" s="23" t="s">
        <v>1733</v>
      </c>
      <c r="X126" s="23" t="s">
        <v>431</v>
      </c>
      <c r="Y126" s="23" t="s">
        <v>466</v>
      </c>
      <c r="Z126" s="23" t="s">
        <v>149</v>
      </c>
      <c r="AA126" s="23" t="s">
        <v>1465</v>
      </c>
      <c r="AB126" s="23" t="s">
        <v>1734</v>
      </c>
      <c r="AC126" s="23" t="s">
        <v>1703</v>
      </c>
      <c r="AD126" s="23" t="s">
        <v>1312</v>
      </c>
      <c r="AE126" s="23" t="s">
        <v>1735</v>
      </c>
    </row>
    <row r="127" spans="1:31" hidden="1" x14ac:dyDescent="0.25">
      <c r="A127">
        <v>126</v>
      </c>
      <c r="B127" t="s">
        <v>1610</v>
      </c>
      <c r="C127" t="s">
        <v>1657</v>
      </c>
      <c r="D127" t="s">
        <v>1612</v>
      </c>
      <c r="E127" t="s">
        <v>35</v>
      </c>
      <c r="F127" t="s">
        <v>162</v>
      </c>
      <c r="G127" t="s">
        <v>1658</v>
      </c>
      <c r="H127" t="s">
        <v>1627</v>
      </c>
      <c r="I127" t="s">
        <v>240</v>
      </c>
      <c r="J127" t="s">
        <v>1659</v>
      </c>
      <c r="K127" t="s">
        <v>1660</v>
      </c>
      <c r="L127" s="23" t="s">
        <v>691</v>
      </c>
      <c r="M127" s="23" t="s">
        <v>818</v>
      </c>
      <c r="N127" s="23" t="s">
        <v>152</v>
      </c>
      <c r="O127" s="23" t="s">
        <v>1736</v>
      </c>
      <c r="P127" s="23" t="s">
        <v>1737</v>
      </c>
      <c r="Q127" s="23" t="s">
        <v>1738</v>
      </c>
      <c r="R127" s="23" t="s">
        <v>1540</v>
      </c>
      <c r="S127" s="23" t="s">
        <v>1739</v>
      </c>
      <c r="T127" s="23" t="s">
        <v>1740</v>
      </c>
      <c r="U127" s="23" t="s">
        <v>232</v>
      </c>
      <c r="V127" s="23" t="s">
        <v>80</v>
      </c>
      <c r="W127" s="23" t="s">
        <v>1741</v>
      </c>
      <c r="X127" s="23" t="s">
        <v>1742</v>
      </c>
      <c r="Y127" s="23" t="s">
        <v>1743</v>
      </c>
      <c r="Z127" s="23" t="s">
        <v>1092</v>
      </c>
      <c r="AA127" s="23" t="s">
        <v>1744</v>
      </c>
      <c r="AB127" s="23" t="s">
        <v>1745</v>
      </c>
      <c r="AC127" s="23" t="s">
        <v>431</v>
      </c>
      <c r="AD127" s="23" t="s">
        <v>1746</v>
      </c>
      <c r="AE127" s="23" t="s">
        <v>1747</v>
      </c>
    </row>
    <row r="128" spans="1:31" hidden="1" x14ac:dyDescent="0.25">
      <c r="A128">
        <v>127</v>
      </c>
      <c r="B128" t="s">
        <v>1610</v>
      </c>
      <c r="C128" t="s">
        <v>1676</v>
      </c>
      <c r="D128" t="s">
        <v>1612</v>
      </c>
      <c r="E128" t="s">
        <v>35</v>
      </c>
      <c r="F128" t="s">
        <v>162</v>
      </c>
      <c r="G128" t="s">
        <v>1677</v>
      </c>
      <c r="H128" t="s">
        <v>1627</v>
      </c>
      <c r="I128" t="s">
        <v>240</v>
      </c>
      <c r="J128" t="s">
        <v>1678</v>
      </c>
      <c r="K128" t="s">
        <v>1679</v>
      </c>
      <c r="L128" s="23" t="s">
        <v>489</v>
      </c>
      <c r="M128" s="23" t="s">
        <v>245</v>
      </c>
      <c r="N128" s="23" t="s">
        <v>68</v>
      </c>
      <c r="O128" s="23" t="s">
        <v>214</v>
      </c>
      <c r="P128" s="23" t="s">
        <v>1748</v>
      </c>
      <c r="Q128" s="23" t="s">
        <v>783</v>
      </c>
      <c r="R128" s="23" t="s">
        <v>322</v>
      </c>
      <c r="S128" s="23" t="s">
        <v>1749</v>
      </c>
      <c r="T128" s="23" t="s">
        <v>1750</v>
      </c>
      <c r="U128" s="23" t="s">
        <v>118</v>
      </c>
      <c r="V128" s="23" t="s">
        <v>257</v>
      </c>
      <c r="W128" s="23" t="s">
        <v>1751</v>
      </c>
      <c r="X128" s="23" t="s">
        <v>219</v>
      </c>
      <c r="Y128" s="23" t="s">
        <v>297</v>
      </c>
      <c r="Z128" s="23" t="s">
        <v>197</v>
      </c>
      <c r="AA128" s="23" t="s">
        <v>608</v>
      </c>
      <c r="AB128" s="23" t="s">
        <v>1752</v>
      </c>
      <c r="AC128" s="23" t="s">
        <v>809</v>
      </c>
      <c r="AD128" s="23" t="s">
        <v>1685</v>
      </c>
      <c r="AE128" s="23" t="s">
        <v>1753</v>
      </c>
    </row>
    <row r="129" spans="1:31" hidden="1" x14ac:dyDescent="0.25">
      <c r="A129">
        <v>128</v>
      </c>
      <c r="B129" t="s">
        <v>1610</v>
      </c>
      <c r="C129" t="s">
        <v>1690</v>
      </c>
      <c r="D129" t="s">
        <v>1612</v>
      </c>
      <c r="E129" t="s">
        <v>35</v>
      </c>
      <c r="F129" t="s">
        <v>162</v>
      </c>
      <c r="G129" t="s">
        <v>1691</v>
      </c>
      <c r="H129" t="s">
        <v>1627</v>
      </c>
      <c r="I129" t="s">
        <v>240</v>
      </c>
      <c r="J129" t="s">
        <v>1692</v>
      </c>
      <c r="K129" t="s">
        <v>1693</v>
      </c>
      <c r="L129" s="23" t="s">
        <v>200</v>
      </c>
      <c r="M129" s="23" t="s">
        <v>216</v>
      </c>
      <c r="N129" s="23" t="s">
        <v>76</v>
      </c>
      <c r="O129" s="23" t="s">
        <v>719</v>
      </c>
      <c r="P129" s="23" t="s">
        <v>1754</v>
      </c>
      <c r="Q129" s="23" t="s">
        <v>307</v>
      </c>
      <c r="R129" s="23" t="s">
        <v>444</v>
      </c>
      <c r="S129" s="23" t="s">
        <v>1755</v>
      </c>
      <c r="T129" s="23" t="s">
        <v>96</v>
      </c>
      <c r="U129" s="23" t="s">
        <v>247</v>
      </c>
      <c r="V129" s="23" t="s">
        <v>32</v>
      </c>
      <c r="W129" s="23" t="s">
        <v>1756</v>
      </c>
      <c r="X129" s="23" t="s">
        <v>400</v>
      </c>
      <c r="Y129" s="23" t="s">
        <v>155</v>
      </c>
      <c r="Z129" s="23" t="s">
        <v>253</v>
      </c>
      <c r="AA129" s="23" t="s">
        <v>1059</v>
      </c>
      <c r="AB129" s="23" t="s">
        <v>1757</v>
      </c>
      <c r="AC129" s="23" t="s">
        <v>1758</v>
      </c>
      <c r="AD129" s="23" t="s">
        <v>723</v>
      </c>
      <c r="AE129" s="23" t="s">
        <v>1759</v>
      </c>
    </row>
    <row r="130" spans="1:31" hidden="1" x14ac:dyDescent="0.25">
      <c r="A130">
        <v>129</v>
      </c>
      <c r="B130" t="s">
        <v>1760</v>
      </c>
      <c r="C130" t="s">
        <v>1761</v>
      </c>
      <c r="D130" t="s">
        <v>1762</v>
      </c>
      <c r="E130" t="s">
        <v>35</v>
      </c>
      <c r="F130" t="s">
        <v>36</v>
      </c>
      <c r="G130" t="s">
        <v>395</v>
      </c>
      <c r="H130" t="s">
        <v>1763</v>
      </c>
      <c r="I130" t="s">
        <v>163</v>
      </c>
      <c r="J130" t="s">
        <v>1764</v>
      </c>
      <c r="K130" t="s">
        <v>1765</v>
      </c>
      <c r="L130" s="23" t="s">
        <v>1766</v>
      </c>
      <c r="M130" s="23" t="s">
        <v>1767</v>
      </c>
      <c r="N130" s="23" t="s">
        <v>392</v>
      </c>
      <c r="O130" s="23" t="s">
        <v>1768</v>
      </c>
      <c r="P130" s="23" t="s">
        <v>1769</v>
      </c>
      <c r="Q130" s="23" t="s">
        <v>786</v>
      </c>
      <c r="R130" s="23" t="s">
        <v>1770</v>
      </c>
      <c r="S130" s="23" t="s">
        <v>1771</v>
      </c>
      <c r="T130" s="23" t="s">
        <v>1772</v>
      </c>
      <c r="U130" s="23" t="s">
        <v>1480</v>
      </c>
      <c r="V130" s="23" t="s">
        <v>1142</v>
      </c>
      <c r="W130" s="23" t="s">
        <v>1773</v>
      </c>
      <c r="X130" s="23" t="s">
        <v>1774</v>
      </c>
      <c r="Y130" s="23" t="s">
        <v>1775</v>
      </c>
      <c r="Z130" s="23" t="s">
        <v>1776</v>
      </c>
      <c r="AA130" s="23" t="s">
        <v>1777</v>
      </c>
      <c r="AB130" s="23" t="s">
        <v>1778</v>
      </c>
      <c r="AC130" s="23" t="s">
        <v>1779</v>
      </c>
      <c r="AD130" s="23" t="s">
        <v>1780</v>
      </c>
      <c r="AE130" s="23" t="s">
        <v>1781</v>
      </c>
    </row>
    <row r="131" spans="1:31" hidden="1" x14ac:dyDescent="0.25">
      <c r="A131">
        <v>130</v>
      </c>
      <c r="B131" t="s">
        <v>1760</v>
      </c>
      <c r="C131" t="s">
        <v>1782</v>
      </c>
      <c r="D131" t="s">
        <v>1762</v>
      </c>
      <c r="E131" t="s">
        <v>35</v>
      </c>
      <c r="F131" t="s">
        <v>36</v>
      </c>
      <c r="G131" t="s">
        <v>1783</v>
      </c>
      <c r="H131" t="s">
        <v>1763</v>
      </c>
      <c r="I131" t="s">
        <v>163</v>
      </c>
      <c r="J131" t="s">
        <v>1784</v>
      </c>
      <c r="K131" t="s">
        <v>1785</v>
      </c>
      <c r="L131" s="23" t="s">
        <v>1786</v>
      </c>
      <c r="M131" s="23" t="s">
        <v>723</v>
      </c>
      <c r="N131" s="23" t="s">
        <v>257</v>
      </c>
      <c r="O131" s="23" t="s">
        <v>1787</v>
      </c>
      <c r="P131" s="23" t="s">
        <v>1788</v>
      </c>
      <c r="Q131" s="23" t="s">
        <v>1789</v>
      </c>
      <c r="R131" s="23" t="s">
        <v>81</v>
      </c>
      <c r="S131" s="23" t="s">
        <v>1790</v>
      </c>
      <c r="T131" s="23" t="s">
        <v>1055</v>
      </c>
      <c r="U131" s="23" t="s">
        <v>1791</v>
      </c>
      <c r="V131" s="23" t="s">
        <v>213</v>
      </c>
      <c r="W131" s="23" t="s">
        <v>1792</v>
      </c>
      <c r="X131" s="23" t="s">
        <v>1793</v>
      </c>
      <c r="Y131" s="23" t="s">
        <v>100</v>
      </c>
      <c r="Z131" s="23" t="s">
        <v>243</v>
      </c>
      <c r="AA131" s="23" t="s">
        <v>1794</v>
      </c>
      <c r="AB131" s="23" t="s">
        <v>1795</v>
      </c>
      <c r="AC131" s="23" t="s">
        <v>1796</v>
      </c>
      <c r="AD131" s="23" t="s">
        <v>972</v>
      </c>
      <c r="AE131" s="23" t="s">
        <v>1797</v>
      </c>
    </row>
    <row r="132" spans="1:31" hidden="1" x14ac:dyDescent="0.25">
      <c r="A132">
        <v>131</v>
      </c>
      <c r="B132" t="s">
        <v>1760</v>
      </c>
      <c r="C132" t="s">
        <v>1798</v>
      </c>
      <c r="D132" t="s">
        <v>1762</v>
      </c>
      <c r="E132" t="s">
        <v>35</v>
      </c>
      <c r="F132" t="s">
        <v>36</v>
      </c>
      <c r="G132" t="s">
        <v>1799</v>
      </c>
      <c r="H132" t="s">
        <v>1763</v>
      </c>
      <c r="I132" t="s">
        <v>163</v>
      </c>
      <c r="J132" t="s">
        <v>1800</v>
      </c>
      <c r="K132" t="s">
        <v>1801</v>
      </c>
      <c r="L132" s="23" t="s">
        <v>1279</v>
      </c>
      <c r="M132" s="23" t="s">
        <v>211</v>
      </c>
      <c r="N132" s="23" t="s">
        <v>114</v>
      </c>
      <c r="O132" s="23" t="s">
        <v>558</v>
      </c>
      <c r="P132" s="23" t="s">
        <v>134</v>
      </c>
      <c r="Q132" s="23" t="s">
        <v>1125</v>
      </c>
      <c r="R132" s="23" t="s">
        <v>98</v>
      </c>
      <c r="S132" s="23" t="s">
        <v>1802</v>
      </c>
      <c r="T132" s="23" t="s">
        <v>198</v>
      </c>
      <c r="U132" s="23" t="s">
        <v>253</v>
      </c>
      <c r="V132" s="23" t="s">
        <v>94</v>
      </c>
      <c r="W132" s="23" t="s">
        <v>1803</v>
      </c>
      <c r="X132" s="23" t="s">
        <v>1804</v>
      </c>
      <c r="Y132" s="23" t="s">
        <v>155</v>
      </c>
      <c r="Z132" s="23" t="s">
        <v>104</v>
      </c>
      <c r="AA132" s="23" t="s">
        <v>1805</v>
      </c>
      <c r="AB132" s="23" t="s">
        <v>1806</v>
      </c>
      <c r="AC132" s="23" t="s">
        <v>1480</v>
      </c>
      <c r="AD132" s="23" t="s">
        <v>122</v>
      </c>
      <c r="AE132" s="23" t="s">
        <v>1807</v>
      </c>
    </row>
    <row r="133" spans="1:31" hidden="1" x14ac:dyDescent="0.25">
      <c r="A133">
        <v>132</v>
      </c>
      <c r="B133" t="s">
        <v>1760</v>
      </c>
      <c r="C133" t="s">
        <v>1761</v>
      </c>
      <c r="D133" t="s">
        <v>1762</v>
      </c>
      <c r="E133" t="s">
        <v>35</v>
      </c>
      <c r="F133" t="s">
        <v>162</v>
      </c>
      <c r="G133" t="s">
        <v>395</v>
      </c>
      <c r="H133" t="s">
        <v>1763</v>
      </c>
      <c r="I133" t="s">
        <v>39</v>
      </c>
      <c r="J133" t="s">
        <v>1764</v>
      </c>
      <c r="K133" t="s">
        <v>1765</v>
      </c>
      <c r="L133" s="23" t="s">
        <v>1808</v>
      </c>
      <c r="M133" s="23" t="s">
        <v>1809</v>
      </c>
      <c r="N133" s="23" t="s">
        <v>1162</v>
      </c>
      <c r="O133" s="23" t="s">
        <v>1810</v>
      </c>
      <c r="P133" s="23" t="s">
        <v>1811</v>
      </c>
      <c r="Q133" s="23" t="s">
        <v>1812</v>
      </c>
      <c r="R133" s="23" t="s">
        <v>1813</v>
      </c>
      <c r="S133" s="23" t="s">
        <v>1814</v>
      </c>
      <c r="T133" s="23" t="s">
        <v>1815</v>
      </c>
      <c r="U133" s="23" t="s">
        <v>1473</v>
      </c>
      <c r="V133" s="23" t="s">
        <v>366</v>
      </c>
      <c r="W133" s="23" t="s">
        <v>1816</v>
      </c>
      <c r="X133" s="23" t="s">
        <v>1817</v>
      </c>
      <c r="Y133" s="23" t="s">
        <v>1818</v>
      </c>
      <c r="Z133" s="23" t="s">
        <v>912</v>
      </c>
      <c r="AA133" s="23" t="s">
        <v>1819</v>
      </c>
      <c r="AB133" s="23" t="s">
        <v>1820</v>
      </c>
      <c r="AC133" s="23" t="s">
        <v>1821</v>
      </c>
      <c r="AD133" s="23" t="s">
        <v>1822</v>
      </c>
      <c r="AE133" s="23" t="s">
        <v>1823</v>
      </c>
    </row>
    <row r="134" spans="1:31" hidden="1" x14ac:dyDescent="0.25">
      <c r="A134">
        <v>133</v>
      </c>
      <c r="B134" t="s">
        <v>1760</v>
      </c>
      <c r="C134" t="s">
        <v>1782</v>
      </c>
      <c r="D134" t="s">
        <v>1762</v>
      </c>
      <c r="E134" t="s">
        <v>35</v>
      </c>
      <c r="F134" t="s">
        <v>162</v>
      </c>
      <c r="G134" t="s">
        <v>1783</v>
      </c>
      <c r="H134" t="s">
        <v>1763</v>
      </c>
      <c r="I134" t="s">
        <v>39</v>
      </c>
      <c r="J134" t="s">
        <v>1784</v>
      </c>
      <c r="K134" t="s">
        <v>1785</v>
      </c>
      <c r="L134" s="23" t="s">
        <v>775</v>
      </c>
      <c r="M134" s="23" t="s">
        <v>248</v>
      </c>
      <c r="N134" s="23" t="s">
        <v>93</v>
      </c>
      <c r="O134" s="23" t="s">
        <v>1824</v>
      </c>
      <c r="P134" s="23" t="s">
        <v>1825</v>
      </c>
      <c r="Q134" s="23" t="s">
        <v>975</v>
      </c>
      <c r="R134" s="23" t="s">
        <v>192</v>
      </c>
      <c r="S134" s="23" t="s">
        <v>1826</v>
      </c>
      <c r="T134" s="23" t="s">
        <v>1827</v>
      </c>
      <c r="U134" s="23" t="s">
        <v>487</v>
      </c>
      <c r="V134" s="23" t="s">
        <v>98</v>
      </c>
      <c r="W134" s="23" t="s">
        <v>1243</v>
      </c>
      <c r="X134" s="23" t="s">
        <v>1828</v>
      </c>
      <c r="Y134" s="23" t="s">
        <v>932</v>
      </c>
      <c r="Z134" s="23" t="s">
        <v>193</v>
      </c>
      <c r="AA134" s="23" t="s">
        <v>1829</v>
      </c>
      <c r="AB134" s="23" t="s">
        <v>1830</v>
      </c>
      <c r="AC134" s="23" t="s">
        <v>255</v>
      </c>
      <c r="AD134" s="23" t="s">
        <v>233</v>
      </c>
      <c r="AE134" s="23" t="s">
        <v>1831</v>
      </c>
    </row>
    <row r="135" spans="1:31" hidden="1" x14ac:dyDescent="0.25">
      <c r="A135">
        <v>134</v>
      </c>
      <c r="B135" t="s">
        <v>1760</v>
      </c>
      <c r="C135" t="s">
        <v>1798</v>
      </c>
      <c r="D135" t="s">
        <v>1762</v>
      </c>
      <c r="E135" t="s">
        <v>35</v>
      </c>
      <c r="F135" t="s">
        <v>162</v>
      </c>
      <c r="G135" t="s">
        <v>1799</v>
      </c>
      <c r="H135" t="s">
        <v>1763</v>
      </c>
      <c r="I135" t="s">
        <v>39</v>
      </c>
      <c r="J135" t="s">
        <v>1800</v>
      </c>
      <c r="K135" t="s">
        <v>1801</v>
      </c>
      <c r="L135" s="23" t="s">
        <v>1832</v>
      </c>
      <c r="M135" s="23" t="s">
        <v>138</v>
      </c>
      <c r="N135" s="23" t="s">
        <v>94</v>
      </c>
      <c r="O135" s="23" t="s">
        <v>1358</v>
      </c>
      <c r="P135" s="23" t="s">
        <v>1833</v>
      </c>
      <c r="Q135" s="23" t="s">
        <v>319</v>
      </c>
      <c r="R135" s="23" t="s">
        <v>158</v>
      </c>
      <c r="S135" s="23" t="s">
        <v>1112</v>
      </c>
      <c r="T135" s="23" t="s">
        <v>1834</v>
      </c>
      <c r="U135" s="23" t="s">
        <v>192</v>
      </c>
      <c r="V135" s="23" t="s">
        <v>94</v>
      </c>
      <c r="W135" s="23" t="s">
        <v>1835</v>
      </c>
      <c r="X135" s="23" t="s">
        <v>1836</v>
      </c>
      <c r="Y135" s="23" t="s">
        <v>253</v>
      </c>
      <c r="Z135" s="23" t="s">
        <v>104</v>
      </c>
      <c r="AA135" s="23" t="s">
        <v>1399</v>
      </c>
      <c r="AB135" s="23" t="s">
        <v>1837</v>
      </c>
      <c r="AC135" s="23" t="s">
        <v>1096</v>
      </c>
      <c r="AD135" s="23" t="s">
        <v>213</v>
      </c>
      <c r="AE135" s="23" t="s">
        <v>1838</v>
      </c>
    </row>
    <row r="136" spans="1:31" hidden="1" x14ac:dyDescent="0.25">
      <c r="A136">
        <v>135</v>
      </c>
      <c r="B136" t="s">
        <v>1839</v>
      </c>
      <c r="C136" t="s">
        <v>1840</v>
      </c>
      <c r="D136" t="s">
        <v>1841</v>
      </c>
      <c r="E136" t="s">
        <v>35</v>
      </c>
      <c r="F136" t="s">
        <v>36</v>
      </c>
      <c r="G136" t="s">
        <v>868</v>
      </c>
      <c r="H136" t="s">
        <v>1842</v>
      </c>
      <c r="I136" t="s">
        <v>39</v>
      </c>
      <c r="J136" t="s">
        <v>1843</v>
      </c>
      <c r="K136" t="s">
        <v>1844</v>
      </c>
      <c r="L136" s="23" t="s">
        <v>1637</v>
      </c>
      <c r="M136" s="23" t="s">
        <v>1845</v>
      </c>
      <c r="N136" s="23" t="s">
        <v>1388</v>
      </c>
      <c r="O136" s="23" t="s">
        <v>1846</v>
      </c>
      <c r="P136" s="23" t="s">
        <v>1847</v>
      </c>
      <c r="Q136" s="23" t="s">
        <v>1848</v>
      </c>
      <c r="R136" s="23" t="s">
        <v>1849</v>
      </c>
      <c r="S136" s="23" t="s">
        <v>1850</v>
      </c>
      <c r="T136" s="23" t="s">
        <v>1851</v>
      </c>
      <c r="U136" s="23" t="s">
        <v>1852</v>
      </c>
      <c r="V136" s="23" t="s">
        <v>805</v>
      </c>
      <c r="W136" s="23" t="s">
        <v>1853</v>
      </c>
      <c r="X136" s="23" t="s">
        <v>1854</v>
      </c>
      <c r="Y136" s="23" t="s">
        <v>1855</v>
      </c>
      <c r="Z136" s="23" t="s">
        <v>1856</v>
      </c>
      <c r="AA136" s="23" t="s">
        <v>1857</v>
      </c>
      <c r="AB136" s="23" t="s">
        <v>799</v>
      </c>
      <c r="AC136" s="23" t="s">
        <v>1858</v>
      </c>
      <c r="AD136" s="23" t="s">
        <v>1112</v>
      </c>
      <c r="AE136" s="23" t="s">
        <v>1859</v>
      </c>
    </row>
    <row r="137" spans="1:31" hidden="1" x14ac:dyDescent="0.25">
      <c r="A137">
        <v>136</v>
      </c>
      <c r="B137" t="s">
        <v>1839</v>
      </c>
      <c r="C137" t="s">
        <v>1860</v>
      </c>
      <c r="D137" t="s">
        <v>1841</v>
      </c>
      <c r="E137" t="s">
        <v>35</v>
      </c>
      <c r="F137" t="s">
        <v>36</v>
      </c>
      <c r="G137" t="s">
        <v>850</v>
      </c>
      <c r="H137" t="s">
        <v>1861</v>
      </c>
      <c r="I137" t="s">
        <v>39</v>
      </c>
      <c r="J137" t="s">
        <v>1862</v>
      </c>
      <c r="K137" t="s">
        <v>1863</v>
      </c>
      <c r="L137" s="23" t="s">
        <v>1864</v>
      </c>
      <c r="M137" s="23" t="s">
        <v>1865</v>
      </c>
      <c r="N137" s="23" t="s">
        <v>233</v>
      </c>
      <c r="O137" s="23" t="s">
        <v>1866</v>
      </c>
      <c r="P137" s="23" t="s">
        <v>1867</v>
      </c>
      <c r="Q137" s="23" t="s">
        <v>1868</v>
      </c>
      <c r="R137" s="23" t="s">
        <v>593</v>
      </c>
      <c r="S137" s="23" t="s">
        <v>1869</v>
      </c>
      <c r="T137" s="23" t="s">
        <v>1870</v>
      </c>
      <c r="U137" s="23" t="s">
        <v>1403</v>
      </c>
      <c r="V137" s="23" t="s">
        <v>103</v>
      </c>
      <c r="W137" s="23" t="s">
        <v>1871</v>
      </c>
      <c r="X137" s="23" t="s">
        <v>1872</v>
      </c>
      <c r="Y137" s="23" t="s">
        <v>735</v>
      </c>
      <c r="Z137" s="23" t="s">
        <v>216</v>
      </c>
      <c r="AA137" s="23" t="s">
        <v>1873</v>
      </c>
      <c r="AB137" s="23" t="s">
        <v>1874</v>
      </c>
      <c r="AC137" s="23" t="s">
        <v>1875</v>
      </c>
      <c r="AD137" s="23" t="s">
        <v>1876</v>
      </c>
      <c r="AE137" s="23" t="s">
        <v>1877</v>
      </c>
    </row>
    <row r="138" spans="1:31" hidden="1" x14ac:dyDescent="0.25">
      <c r="A138">
        <v>137</v>
      </c>
      <c r="B138" t="s">
        <v>1839</v>
      </c>
      <c r="C138" t="s">
        <v>1878</v>
      </c>
      <c r="D138" t="s">
        <v>1841</v>
      </c>
      <c r="E138" t="s">
        <v>35</v>
      </c>
      <c r="F138" t="s">
        <v>36</v>
      </c>
      <c r="G138" t="s">
        <v>1879</v>
      </c>
      <c r="H138" t="s">
        <v>1880</v>
      </c>
      <c r="I138" t="s">
        <v>39</v>
      </c>
      <c r="J138" t="s">
        <v>1881</v>
      </c>
      <c r="K138" t="s">
        <v>1882</v>
      </c>
      <c r="L138" s="23" t="s">
        <v>1883</v>
      </c>
      <c r="M138" s="23" t="s">
        <v>455</v>
      </c>
      <c r="N138" s="23" t="s">
        <v>94</v>
      </c>
      <c r="O138" s="23" t="s">
        <v>1884</v>
      </c>
      <c r="P138" s="23" t="s">
        <v>1885</v>
      </c>
      <c r="Q138" s="23" t="s">
        <v>466</v>
      </c>
      <c r="R138" s="23" t="s">
        <v>98</v>
      </c>
      <c r="S138" s="23" t="s">
        <v>1886</v>
      </c>
      <c r="T138" s="23" t="s">
        <v>390</v>
      </c>
      <c r="U138" s="23" t="s">
        <v>253</v>
      </c>
      <c r="V138" s="23" t="s">
        <v>94</v>
      </c>
      <c r="W138" s="23" t="s">
        <v>314</v>
      </c>
      <c r="X138" s="23" t="s">
        <v>1887</v>
      </c>
      <c r="Y138" s="23" t="s">
        <v>295</v>
      </c>
      <c r="Z138" s="23" t="s">
        <v>94</v>
      </c>
      <c r="AA138" s="23" t="s">
        <v>1888</v>
      </c>
      <c r="AB138" s="23" t="s">
        <v>1889</v>
      </c>
      <c r="AC138" s="23" t="s">
        <v>771</v>
      </c>
      <c r="AD138" s="23" t="s">
        <v>122</v>
      </c>
      <c r="AE138" s="23" t="s">
        <v>1890</v>
      </c>
    </row>
    <row r="139" spans="1:31" hidden="1" x14ac:dyDescent="0.25">
      <c r="A139">
        <v>138</v>
      </c>
      <c r="B139" t="s">
        <v>1839</v>
      </c>
      <c r="C139" t="s">
        <v>1891</v>
      </c>
      <c r="D139" t="s">
        <v>1841</v>
      </c>
      <c r="E139" t="s">
        <v>35</v>
      </c>
      <c r="F139" t="s">
        <v>36</v>
      </c>
      <c r="G139" t="s">
        <v>1892</v>
      </c>
      <c r="H139" t="s">
        <v>1893</v>
      </c>
      <c r="I139" t="s">
        <v>39</v>
      </c>
      <c r="J139" t="s">
        <v>1894</v>
      </c>
      <c r="K139" t="s">
        <v>1895</v>
      </c>
      <c r="L139" s="23" t="s">
        <v>1896</v>
      </c>
      <c r="M139" s="23" t="s">
        <v>556</v>
      </c>
      <c r="N139" s="23" t="s">
        <v>104</v>
      </c>
      <c r="O139" s="23" t="s">
        <v>1897</v>
      </c>
      <c r="P139" s="23" t="s">
        <v>1898</v>
      </c>
      <c r="Q139" s="23" t="s">
        <v>1899</v>
      </c>
      <c r="R139" s="23" t="s">
        <v>244</v>
      </c>
      <c r="S139" s="23" t="s">
        <v>1900</v>
      </c>
      <c r="T139" s="23" t="s">
        <v>1197</v>
      </c>
      <c r="U139" s="23" t="s">
        <v>1032</v>
      </c>
      <c r="V139" s="23" t="s">
        <v>114</v>
      </c>
      <c r="W139" s="23" t="s">
        <v>1901</v>
      </c>
      <c r="X139" s="23" t="s">
        <v>1902</v>
      </c>
      <c r="Y139" s="23" t="s">
        <v>714</v>
      </c>
      <c r="Z139" s="23" t="s">
        <v>104</v>
      </c>
      <c r="AA139" s="23" t="s">
        <v>1903</v>
      </c>
      <c r="AB139" s="23" t="s">
        <v>1904</v>
      </c>
      <c r="AC139" s="23" t="s">
        <v>695</v>
      </c>
      <c r="AD139" s="23" t="s">
        <v>32</v>
      </c>
      <c r="AE139" s="23" t="s">
        <v>1905</v>
      </c>
    </row>
    <row r="140" spans="1:31" hidden="1" x14ac:dyDescent="0.25">
      <c r="A140">
        <v>139</v>
      </c>
      <c r="B140" t="s">
        <v>1839</v>
      </c>
      <c r="C140" t="s">
        <v>1906</v>
      </c>
      <c r="D140" t="s">
        <v>1841</v>
      </c>
      <c r="E140" t="s">
        <v>35</v>
      </c>
      <c r="F140" t="s">
        <v>36</v>
      </c>
      <c r="G140" t="s">
        <v>670</v>
      </c>
      <c r="H140" t="s">
        <v>1907</v>
      </c>
      <c r="I140" t="s">
        <v>39</v>
      </c>
      <c r="J140" t="s">
        <v>1908</v>
      </c>
      <c r="K140" t="s">
        <v>1909</v>
      </c>
      <c r="L140" s="23" t="s">
        <v>1910</v>
      </c>
      <c r="M140" s="23" t="s">
        <v>101</v>
      </c>
      <c r="N140" s="23" t="s">
        <v>253</v>
      </c>
      <c r="O140" s="23" t="s">
        <v>1911</v>
      </c>
      <c r="P140" s="23" t="s">
        <v>1912</v>
      </c>
      <c r="Q140" s="23" t="s">
        <v>1913</v>
      </c>
      <c r="R140" s="23" t="s">
        <v>1082</v>
      </c>
      <c r="S140" s="23" t="s">
        <v>1914</v>
      </c>
      <c r="T140" s="23" t="s">
        <v>1915</v>
      </c>
      <c r="U140" s="23" t="s">
        <v>302</v>
      </c>
      <c r="V140" s="23" t="s">
        <v>246</v>
      </c>
      <c r="W140" s="23" t="s">
        <v>1916</v>
      </c>
      <c r="X140" s="23" t="s">
        <v>1917</v>
      </c>
      <c r="Y140" s="23" t="s">
        <v>1918</v>
      </c>
      <c r="Z140" s="23" t="s">
        <v>248</v>
      </c>
      <c r="AA140" s="23" t="s">
        <v>1919</v>
      </c>
      <c r="AB140" s="23" t="s">
        <v>1920</v>
      </c>
      <c r="AC140" s="23" t="s">
        <v>1921</v>
      </c>
      <c r="AD140" s="23" t="s">
        <v>1922</v>
      </c>
      <c r="AE140" s="23" t="s">
        <v>1923</v>
      </c>
    </row>
    <row r="141" spans="1:31" hidden="1" x14ac:dyDescent="0.25">
      <c r="A141">
        <v>140</v>
      </c>
      <c r="B141" t="s">
        <v>1839</v>
      </c>
      <c r="C141" t="s">
        <v>1840</v>
      </c>
      <c r="D141" t="s">
        <v>1841</v>
      </c>
      <c r="E141" t="s">
        <v>35</v>
      </c>
      <c r="F141" t="s">
        <v>162</v>
      </c>
      <c r="G141" t="s">
        <v>868</v>
      </c>
      <c r="H141" t="s">
        <v>1842</v>
      </c>
      <c r="I141" t="s">
        <v>163</v>
      </c>
      <c r="J141" t="s">
        <v>1843</v>
      </c>
      <c r="K141" t="s">
        <v>1844</v>
      </c>
      <c r="L141" s="23" t="s">
        <v>1924</v>
      </c>
      <c r="M141" s="23" t="s">
        <v>1540</v>
      </c>
      <c r="N141" s="23" t="s">
        <v>1445</v>
      </c>
      <c r="O141" s="23" t="s">
        <v>1925</v>
      </c>
      <c r="P141" s="23" t="s">
        <v>1926</v>
      </c>
      <c r="Q141" s="23" t="s">
        <v>1927</v>
      </c>
      <c r="R141" s="23" t="s">
        <v>1928</v>
      </c>
      <c r="S141" s="23" t="s">
        <v>1929</v>
      </c>
      <c r="T141" s="23" t="s">
        <v>1930</v>
      </c>
      <c r="U141" s="23" t="s">
        <v>595</v>
      </c>
      <c r="V141" s="23" t="s">
        <v>1685</v>
      </c>
      <c r="W141" s="23" t="s">
        <v>1931</v>
      </c>
      <c r="X141" s="23" t="s">
        <v>1932</v>
      </c>
      <c r="Y141" s="23" t="s">
        <v>1933</v>
      </c>
      <c r="Z141" s="23" t="s">
        <v>1934</v>
      </c>
      <c r="AA141" s="23" t="s">
        <v>1935</v>
      </c>
      <c r="AB141" s="23" t="s">
        <v>1936</v>
      </c>
      <c r="AC141" s="23" t="s">
        <v>1937</v>
      </c>
      <c r="AD141" s="23" t="s">
        <v>1211</v>
      </c>
      <c r="AE141" s="23" t="s">
        <v>1938</v>
      </c>
    </row>
    <row r="142" spans="1:31" hidden="1" x14ac:dyDescent="0.25">
      <c r="A142">
        <v>141</v>
      </c>
      <c r="B142" t="s">
        <v>1839</v>
      </c>
      <c r="C142" t="s">
        <v>1860</v>
      </c>
      <c r="D142" t="s">
        <v>1841</v>
      </c>
      <c r="E142" t="s">
        <v>35</v>
      </c>
      <c r="F142" t="s">
        <v>162</v>
      </c>
      <c r="G142" t="s">
        <v>850</v>
      </c>
      <c r="H142" t="s">
        <v>1861</v>
      </c>
      <c r="I142" t="s">
        <v>163</v>
      </c>
      <c r="J142" t="s">
        <v>1862</v>
      </c>
      <c r="K142" t="s">
        <v>1863</v>
      </c>
      <c r="L142" s="23" t="s">
        <v>1829</v>
      </c>
      <c r="M142" s="23" t="s">
        <v>1939</v>
      </c>
      <c r="N142" s="23" t="s">
        <v>426</v>
      </c>
      <c r="O142" s="23" t="s">
        <v>1940</v>
      </c>
      <c r="P142" s="23" t="s">
        <v>1941</v>
      </c>
      <c r="Q142" s="23" t="s">
        <v>1942</v>
      </c>
      <c r="R142" s="23" t="s">
        <v>102</v>
      </c>
      <c r="S142" s="23" t="s">
        <v>1943</v>
      </c>
      <c r="T142" s="23" t="s">
        <v>1944</v>
      </c>
      <c r="U142" s="23" t="s">
        <v>577</v>
      </c>
      <c r="V142" s="23" t="s">
        <v>768</v>
      </c>
      <c r="W142" s="23" t="s">
        <v>1945</v>
      </c>
      <c r="X142" s="23" t="s">
        <v>1946</v>
      </c>
      <c r="Y142" s="23" t="s">
        <v>1947</v>
      </c>
      <c r="Z142" s="23" t="s">
        <v>468</v>
      </c>
      <c r="AA142" s="23" t="s">
        <v>1948</v>
      </c>
      <c r="AB142" s="23" t="s">
        <v>1949</v>
      </c>
      <c r="AC142" s="23" t="s">
        <v>1950</v>
      </c>
      <c r="AD142" s="23" t="s">
        <v>1951</v>
      </c>
      <c r="AE142" s="23" t="s">
        <v>1952</v>
      </c>
    </row>
    <row r="143" spans="1:31" hidden="1" x14ac:dyDescent="0.25">
      <c r="A143">
        <v>142</v>
      </c>
      <c r="B143" t="s">
        <v>1839</v>
      </c>
      <c r="C143" t="s">
        <v>1878</v>
      </c>
      <c r="D143" t="s">
        <v>1841</v>
      </c>
      <c r="E143" t="s">
        <v>35</v>
      </c>
      <c r="F143" t="s">
        <v>162</v>
      </c>
      <c r="G143" t="s">
        <v>1879</v>
      </c>
      <c r="H143" t="s">
        <v>1880</v>
      </c>
      <c r="I143" t="s">
        <v>163</v>
      </c>
      <c r="J143" t="s">
        <v>1881</v>
      </c>
      <c r="K143" t="s">
        <v>1882</v>
      </c>
      <c r="L143" s="23" t="s">
        <v>1953</v>
      </c>
      <c r="M143" s="23" t="s">
        <v>278</v>
      </c>
      <c r="N143" s="23" t="s">
        <v>94</v>
      </c>
      <c r="O143" s="23" t="s">
        <v>1954</v>
      </c>
      <c r="P143" s="23" t="s">
        <v>1955</v>
      </c>
      <c r="Q143" s="23" t="s">
        <v>1426</v>
      </c>
      <c r="R143" s="23" t="s">
        <v>257</v>
      </c>
      <c r="S143" s="23" t="s">
        <v>1956</v>
      </c>
      <c r="T143" s="23" t="s">
        <v>1957</v>
      </c>
      <c r="U143" s="23" t="s">
        <v>1014</v>
      </c>
      <c r="V143" s="23" t="s">
        <v>150</v>
      </c>
      <c r="W143" s="23" t="s">
        <v>1958</v>
      </c>
      <c r="X143" s="23" t="s">
        <v>1074</v>
      </c>
      <c r="Y143" s="23" t="s">
        <v>1507</v>
      </c>
      <c r="Z143" s="23" t="s">
        <v>94</v>
      </c>
      <c r="AA143" s="23" t="s">
        <v>1959</v>
      </c>
      <c r="AB143" s="23" t="s">
        <v>1960</v>
      </c>
      <c r="AC143" s="23" t="s">
        <v>1961</v>
      </c>
      <c r="AD143" s="23" t="s">
        <v>69</v>
      </c>
      <c r="AE143" s="23" t="s">
        <v>1962</v>
      </c>
    </row>
    <row r="144" spans="1:31" hidden="1" x14ac:dyDescent="0.25">
      <c r="A144">
        <v>143</v>
      </c>
      <c r="B144" t="s">
        <v>1839</v>
      </c>
      <c r="C144" t="s">
        <v>1891</v>
      </c>
      <c r="D144" t="s">
        <v>1841</v>
      </c>
      <c r="E144" t="s">
        <v>35</v>
      </c>
      <c r="F144" t="s">
        <v>162</v>
      </c>
      <c r="G144" t="s">
        <v>1892</v>
      </c>
      <c r="H144" t="s">
        <v>1893</v>
      </c>
      <c r="I144" t="s">
        <v>163</v>
      </c>
      <c r="J144" t="s">
        <v>1894</v>
      </c>
      <c r="K144" t="s">
        <v>1895</v>
      </c>
      <c r="L144" s="23" t="s">
        <v>285</v>
      </c>
      <c r="M144" s="23" t="s">
        <v>570</v>
      </c>
      <c r="N144" s="23" t="s">
        <v>94</v>
      </c>
      <c r="O144" s="23" t="s">
        <v>1963</v>
      </c>
      <c r="P144" s="23" t="s">
        <v>1937</v>
      </c>
      <c r="Q144" s="23" t="s">
        <v>1964</v>
      </c>
      <c r="R144" s="23" t="s">
        <v>77</v>
      </c>
      <c r="S144" s="23" t="s">
        <v>1965</v>
      </c>
      <c r="T144" s="23" t="s">
        <v>1966</v>
      </c>
      <c r="U144" s="23" t="s">
        <v>211</v>
      </c>
      <c r="V144" s="23" t="s">
        <v>77</v>
      </c>
      <c r="W144" s="23" t="s">
        <v>1967</v>
      </c>
      <c r="X144" s="23" t="s">
        <v>1968</v>
      </c>
      <c r="Y144" s="23" t="s">
        <v>1587</v>
      </c>
      <c r="Z144" s="23" t="s">
        <v>114</v>
      </c>
      <c r="AA144" s="23" t="s">
        <v>1969</v>
      </c>
      <c r="AB144" s="23" t="s">
        <v>1970</v>
      </c>
      <c r="AC144" s="23" t="s">
        <v>1971</v>
      </c>
      <c r="AD144" s="23" t="s">
        <v>69</v>
      </c>
      <c r="AE144" s="23" t="s">
        <v>1972</v>
      </c>
    </row>
    <row r="145" spans="1:31" hidden="1" x14ac:dyDescent="0.25">
      <c r="A145">
        <v>144</v>
      </c>
      <c r="B145" t="s">
        <v>1839</v>
      </c>
      <c r="C145" t="s">
        <v>1906</v>
      </c>
      <c r="D145" t="s">
        <v>1841</v>
      </c>
      <c r="E145" t="s">
        <v>35</v>
      </c>
      <c r="F145" t="s">
        <v>162</v>
      </c>
      <c r="G145" t="s">
        <v>670</v>
      </c>
      <c r="H145" t="s">
        <v>1907</v>
      </c>
      <c r="I145" t="s">
        <v>163</v>
      </c>
      <c r="J145" t="s">
        <v>1908</v>
      </c>
      <c r="K145" t="s">
        <v>1909</v>
      </c>
      <c r="L145" s="23" t="s">
        <v>1973</v>
      </c>
      <c r="M145" s="23" t="s">
        <v>1460</v>
      </c>
      <c r="N145" s="23" t="s">
        <v>69</v>
      </c>
      <c r="O145" s="23" t="s">
        <v>1974</v>
      </c>
      <c r="P145" s="23" t="s">
        <v>1975</v>
      </c>
      <c r="Q145" s="23" t="s">
        <v>1976</v>
      </c>
      <c r="R145" s="23" t="s">
        <v>85</v>
      </c>
      <c r="S145" s="23" t="s">
        <v>1977</v>
      </c>
      <c r="T145" s="23" t="s">
        <v>1978</v>
      </c>
      <c r="U145" s="23" t="s">
        <v>101</v>
      </c>
      <c r="V145" s="23" t="s">
        <v>336</v>
      </c>
      <c r="W145" s="23" t="s">
        <v>1979</v>
      </c>
      <c r="X145" s="23" t="s">
        <v>1980</v>
      </c>
      <c r="Y145" s="23" t="s">
        <v>105</v>
      </c>
      <c r="Z145" s="23" t="s">
        <v>487</v>
      </c>
      <c r="AA145" s="23" t="s">
        <v>1981</v>
      </c>
      <c r="AB145" s="23" t="s">
        <v>1982</v>
      </c>
      <c r="AC145" s="23" t="s">
        <v>618</v>
      </c>
      <c r="AD145" s="23" t="s">
        <v>783</v>
      </c>
      <c r="AE145" s="23" t="s">
        <v>1983</v>
      </c>
    </row>
    <row r="146" spans="1:31" hidden="1" x14ac:dyDescent="0.25">
      <c r="A146">
        <v>145</v>
      </c>
      <c r="B146" t="s">
        <v>153</v>
      </c>
      <c r="C146" t="s">
        <v>1984</v>
      </c>
      <c r="D146" t="s">
        <v>1985</v>
      </c>
      <c r="E146" t="s">
        <v>35</v>
      </c>
      <c r="F146" t="s">
        <v>36</v>
      </c>
      <c r="G146" t="s">
        <v>1986</v>
      </c>
      <c r="H146" t="s">
        <v>1987</v>
      </c>
      <c r="I146" t="s">
        <v>39</v>
      </c>
      <c r="J146" t="s">
        <v>1988</v>
      </c>
      <c r="K146" t="s">
        <v>1989</v>
      </c>
      <c r="L146" s="23" t="s">
        <v>1990</v>
      </c>
      <c r="M146" s="23" t="s">
        <v>1426</v>
      </c>
      <c r="N146" s="23" t="s">
        <v>130</v>
      </c>
      <c r="O146" s="23" t="s">
        <v>1991</v>
      </c>
      <c r="P146" s="23" t="s">
        <v>1992</v>
      </c>
      <c r="Q146" s="23" t="s">
        <v>1993</v>
      </c>
      <c r="R146" s="23" t="s">
        <v>559</v>
      </c>
      <c r="S146" s="23" t="s">
        <v>1994</v>
      </c>
      <c r="T146" s="23" t="s">
        <v>1995</v>
      </c>
      <c r="U146" s="23" t="s">
        <v>1996</v>
      </c>
      <c r="V146" s="23" t="s">
        <v>122</v>
      </c>
      <c r="W146" s="23" t="s">
        <v>1997</v>
      </c>
      <c r="X146" s="23" t="s">
        <v>1998</v>
      </c>
      <c r="Y146" s="23" t="s">
        <v>1325</v>
      </c>
      <c r="Z146" s="23" t="s">
        <v>138</v>
      </c>
      <c r="AA146" s="23" t="s">
        <v>1999</v>
      </c>
      <c r="AB146" s="23" t="s">
        <v>2000</v>
      </c>
      <c r="AC146" s="23" t="s">
        <v>2001</v>
      </c>
      <c r="AD146" s="23" t="s">
        <v>210</v>
      </c>
      <c r="AE146" s="23" t="s">
        <v>2002</v>
      </c>
    </row>
    <row r="147" spans="1:31" hidden="1" x14ac:dyDescent="0.25">
      <c r="A147">
        <v>146</v>
      </c>
      <c r="B147" t="s">
        <v>153</v>
      </c>
      <c r="C147" t="s">
        <v>2003</v>
      </c>
      <c r="D147" t="s">
        <v>1985</v>
      </c>
      <c r="E147" t="s">
        <v>35</v>
      </c>
      <c r="F147" t="s">
        <v>36</v>
      </c>
      <c r="G147" t="s">
        <v>2004</v>
      </c>
      <c r="H147" t="s">
        <v>2005</v>
      </c>
      <c r="I147" t="s">
        <v>39</v>
      </c>
      <c r="J147" t="s">
        <v>2006</v>
      </c>
      <c r="K147" t="s">
        <v>2007</v>
      </c>
      <c r="L147" s="23" t="s">
        <v>2008</v>
      </c>
      <c r="M147" s="23" t="s">
        <v>104</v>
      </c>
      <c r="N147" s="23" t="s">
        <v>114</v>
      </c>
      <c r="O147" s="23" t="s">
        <v>1865</v>
      </c>
      <c r="P147" s="23" t="s">
        <v>141</v>
      </c>
      <c r="Q147" s="23" t="s">
        <v>244</v>
      </c>
      <c r="R147" s="23" t="s">
        <v>114</v>
      </c>
      <c r="S147" s="23" t="s">
        <v>801</v>
      </c>
      <c r="T147" s="23" t="s">
        <v>477</v>
      </c>
      <c r="U147" s="23" t="s">
        <v>114</v>
      </c>
      <c r="V147" s="23" t="s">
        <v>114</v>
      </c>
      <c r="W147" s="23" t="s">
        <v>477</v>
      </c>
      <c r="X147" s="23" t="s">
        <v>1717</v>
      </c>
      <c r="Y147" s="23" t="s">
        <v>114</v>
      </c>
      <c r="Z147" s="23" t="s">
        <v>114</v>
      </c>
      <c r="AA147" s="23" t="s">
        <v>1717</v>
      </c>
      <c r="AB147" s="23" t="s">
        <v>2009</v>
      </c>
      <c r="AC147" s="23" t="s">
        <v>122</v>
      </c>
      <c r="AD147" s="23" t="s">
        <v>114</v>
      </c>
      <c r="AE147" s="23" t="s">
        <v>2010</v>
      </c>
    </row>
    <row r="148" spans="1:31" hidden="1" x14ac:dyDescent="0.25">
      <c r="A148">
        <v>147</v>
      </c>
      <c r="B148" t="s">
        <v>153</v>
      </c>
      <c r="C148" t="s">
        <v>2011</v>
      </c>
      <c r="D148" t="s">
        <v>1985</v>
      </c>
      <c r="E148" t="s">
        <v>35</v>
      </c>
      <c r="F148" t="s">
        <v>36</v>
      </c>
      <c r="G148" t="s">
        <v>2012</v>
      </c>
      <c r="H148" t="s">
        <v>2013</v>
      </c>
      <c r="I148" t="s">
        <v>39</v>
      </c>
      <c r="J148" t="s">
        <v>2014</v>
      </c>
      <c r="K148" t="s">
        <v>2015</v>
      </c>
      <c r="L148" s="23" t="s">
        <v>2016</v>
      </c>
      <c r="M148" s="23" t="s">
        <v>1587</v>
      </c>
      <c r="N148" s="23" t="s">
        <v>93</v>
      </c>
      <c r="O148" s="23" t="s">
        <v>2017</v>
      </c>
      <c r="P148" s="23" t="s">
        <v>2018</v>
      </c>
      <c r="Q148" s="23" t="s">
        <v>532</v>
      </c>
      <c r="R148" s="23" t="s">
        <v>122</v>
      </c>
      <c r="S148" s="23" t="s">
        <v>2019</v>
      </c>
      <c r="T148" s="23" t="s">
        <v>2020</v>
      </c>
      <c r="U148" s="23" t="s">
        <v>487</v>
      </c>
      <c r="V148" s="23" t="s">
        <v>114</v>
      </c>
      <c r="W148" s="23" t="s">
        <v>2021</v>
      </c>
      <c r="X148" s="23" t="s">
        <v>1900</v>
      </c>
      <c r="Y148" s="23" t="s">
        <v>117</v>
      </c>
      <c r="Z148" s="23" t="s">
        <v>104</v>
      </c>
      <c r="AA148" s="23" t="s">
        <v>2022</v>
      </c>
      <c r="AB148" s="23" t="s">
        <v>2023</v>
      </c>
      <c r="AC148" s="23" t="s">
        <v>2024</v>
      </c>
      <c r="AD148" s="23" t="s">
        <v>347</v>
      </c>
      <c r="AE148" s="23" t="s">
        <v>2025</v>
      </c>
    </row>
    <row r="149" spans="1:31" hidden="1" x14ac:dyDescent="0.25">
      <c r="A149">
        <v>148</v>
      </c>
      <c r="B149" t="s">
        <v>153</v>
      </c>
      <c r="C149" t="s">
        <v>2026</v>
      </c>
      <c r="D149" t="s">
        <v>1985</v>
      </c>
      <c r="E149" t="s">
        <v>35</v>
      </c>
      <c r="F149" t="s">
        <v>36</v>
      </c>
      <c r="G149" t="s">
        <v>2027</v>
      </c>
      <c r="H149" t="s">
        <v>2028</v>
      </c>
      <c r="I149" t="s">
        <v>39</v>
      </c>
      <c r="J149" t="s">
        <v>2029</v>
      </c>
      <c r="K149" t="s">
        <v>2030</v>
      </c>
      <c r="L149" s="23" t="s">
        <v>189</v>
      </c>
      <c r="M149" s="23" t="s">
        <v>98</v>
      </c>
      <c r="N149" s="23" t="s">
        <v>114</v>
      </c>
      <c r="O149" s="23" t="s">
        <v>120</v>
      </c>
      <c r="P149" s="23" t="s">
        <v>304</v>
      </c>
      <c r="Q149" s="23" t="s">
        <v>158</v>
      </c>
      <c r="R149" s="23" t="s">
        <v>114</v>
      </c>
      <c r="S149" s="23" t="s">
        <v>838</v>
      </c>
      <c r="T149" s="23" t="s">
        <v>81</v>
      </c>
      <c r="U149" s="23" t="s">
        <v>114</v>
      </c>
      <c r="V149" s="23" t="s">
        <v>114</v>
      </c>
      <c r="W149" s="23" t="s">
        <v>81</v>
      </c>
      <c r="X149" s="23" t="s">
        <v>1587</v>
      </c>
      <c r="Y149" s="23" t="s">
        <v>114</v>
      </c>
      <c r="Z149" s="23" t="s">
        <v>114</v>
      </c>
      <c r="AA149" s="23" t="s">
        <v>1587</v>
      </c>
      <c r="AB149" s="23" t="s">
        <v>2031</v>
      </c>
      <c r="AC149" s="23" t="s">
        <v>213</v>
      </c>
      <c r="AD149" s="23" t="s">
        <v>114</v>
      </c>
      <c r="AE149" s="23" t="s">
        <v>309</v>
      </c>
    </row>
    <row r="150" spans="1:31" hidden="1" x14ac:dyDescent="0.25">
      <c r="A150">
        <v>149</v>
      </c>
      <c r="B150" t="s">
        <v>153</v>
      </c>
      <c r="C150" t="s">
        <v>2032</v>
      </c>
      <c r="D150" t="s">
        <v>1985</v>
      </c>
      <c r="E150" t="s">
        <v>35</v>
      </c>
      <c r="F150" t="s">
        <v>36</v>
      </c>
      <c r="G150" t="s">
        <v>2033</v>
      </c>
      <c r="H150" t="s">
        <v>2013</v>
      </c>
      <c r="I150" t="s">
        <v>39</v>
      </c>
      <c r="J150" t="s">
        <v>2034</v>
      </c>
      <c r="K150" t="s">
        <v>2035</v>
      </c>
      <c r="L150" s="23" t="s">
        <v>2036</v>
      </c>
      <c r="M150" s="23" t="s">
        <v>246</v>
      </c>
      <c r="N150" s="23" t="s">
        <v>114</v>
      </c>
      <c r="O150" s="23" t="s">
        <v>335</v>
      </c>
      <c r="P150" s="23" t="s">
        <v>2037</v>
      </c>
      <c r="Q150" s="23" t="s">
        <v>297</v>
      </c>
      <c r="R150" s="23" t="s">
        <v>114</v>
      </c>
      <c r="S150" s="23" t="s">
        <v>2038</v>
      </c>
      <c r="T150" s="23" t="s">
        <v>184</v>
      </c>
      <c r="U150" s="23" t="s">
        <v>98</v>
      </c>
      <c r="V150" s="23" t="s">
        <v>114</v>
      </c>
      <c r="W150" s="23" t="s">
        <v>1445</v>
      </c>
      <c r="X150" s="23" t="s">
        <v>2039</v>
      </c>
      <c r="Y150" s="23" t="s">
        <v>77</v>
      </c>
      <c r="Z150" s="23" t="s">
        <v>94</v>
      </c>
      <c r="AA150" s="23" t="s">
        <v>840</v>
      </c>
      <c r="AB150" s="23" t="s">
        <v>2040</v>
      </c>
      <c r="AC150" s="23" t="s">
        <v>189</v>
      </c>
      <c r="AD150" s="23" t="s">
        <v>94</v>
      </c>
      <c r="AE150" s="23" t="s">
        <v>2041</v>
      </c>
    </row>
    <row r="151" spans="1:31" hidden="1" x14ac:dyDescent="0.25">
      <c r="A151">
        <v>150</v>
      </c>
      <c r="B151" t="s">
        <v>153</v>
      </c>
      <c r="C151" t="s">
        <v>2042</v>
      </c>
      <c r="D151" t="s">
        <v>1985</v>
      </c>
      <c r="E151" t="s">
        <v>35</v>
      </c>
      <c r="F151" t="s">
        <v>36</v>
      </c>
      <c r="G151" t="s">
        <v>2043</v>
      </c>
      <c r="H151" t="s">
        <v>2013</v>
      </c>
      <c r="I151" t="s">
        <v>39</v>
      </c>
      <c r="J151" t="s">
        <v>2044</v>
      </c>
      <c r="K151" t="s">
        <v>2045</v>
      </c>
      <c r="L151" s="23" t="s">
        <v>271</v>
      </c>
      <c r="M151" s="23" t="s">
        <v>358</v>
      </c>
      <c r="N151" s="23" t="s">
        <v>153</v>
      </c>
      <c r="O151" s="23" t="s">
        <v>2046</v>
      </c>
      <c r="P151" s="23" t="s">
        <v>2047</v>
      </c>
      <c r="Q151" s="23" t="s">
        <v>2048</v>
      </c>
      <c r="R151" s="23" t="s">
        <v>211</v>
      </c>
      <c r="S151" s="23" t="s">
        <v>2049</v>
      </c>
      <c r="T151" s="23" t="s">
        <v>2050</v>
      </c>
      <c r="U151" s="23" t="s">
        <v>1014</v>
      </c>
      <c r="V151" s="23" t="s">
        <v>32</v>
      </c>
      <c r="W151" s="23" t="s">
        <v>2051</v>
      </c>
      <c r="X151" s="23" t="s">
        <v>2052</v>
      </c>
      <c r="Y151" s="23" t="s">
        <v>490</v>
      </c>
      <c r="Z151" s="23" t="s">
        <v>130</v>
      </c>
      <c r="AA151" s="23" t="s">
        <v>878</v>
      </c>
      <c r="AB151" s="23" t="s">
        <v>2053</v>
      </c>
      <c r="AC151" s="23" t="s">
        <v>2054</v>
      </c>
      <c r="AD151" s="23" t="s">
        <v>303</v>
      </c>
      <c r="AE151" s="23" t="s">
        <v>2055</v>
      </c>
    </row>
    <row r="152" spans="1:31" hidden="1" x14ac:dyDescent="0.25">
      <c r="A152">
        <v>151</v>
      </c>
      <c r="B152" t="s">
        <v>153</v>
      </c>
      <c r="C152" t="s">
        <v>2056</v>
      </c>
      <c r="D152" t="s">
        <v>1985</v>
      </c>
      <c r="E152" t="s">
        <v>35</v>
      </c>
      <c r="F152" t="s">
        <v>36</v>
      </c>
      <c r="G152" t="s">
        <v>2057</v>
      </c>
      <c r="H152" t="s">
        <v>2058</v>
      </c>
      <c r="I152" t="s">
        <v>39</v>
      </c>
      <c r="J152" t="s">
        <v>2059</v>
      </c>
      <c r="K152" t="s">
        <v>2060</v>
      </c>
      <c r="L152" s="23" t="s">
        <v>2061</v>
      </c>
      <c r="M152" s="23" t="s">
        <v>115</v>
      </c>
      <c r="N152" s="23" t="s">
        <v>150</v>
      </c>
      <c r="O152" s="23" t="s">
        <v>2062</v>
      </c>
      <c r="P152" s="23" t="s">
        <v>1432</v>
      </c>
      <c r="Q152" s="23" t="s">
        <v>676</v>
      </c>
      <c r="R152" s="23" t="s">
        <v>246</v>
      </c>
      <c r="S152" s="23" t="s">
        <v>2063</v>
      </c>
      <c r="T152" s="23" t="s">
        <v>2064</v>
      </c>
      <c r="U152" s="23" t="s">
        <v>185</v>
      </c>
      <c r="V152" s="23" t="s">
        <v>114</v>
      </c>
      <c r="W152" s="23" t="s">
        <v>1359</v>
      </c>
      <c r="X152" s="23" t="s">
        <v>1887</v>
      </c>
      <c r="Y152" s="23" t="s">
        <v>991</v>
      </c>
      <c r="Z152" s="23" t="s">
        <v>158</v>
      </c>
      <c r="AA152" s="23" t="s">
        <v>2065</v>
      </c>
      <c r="AB152" s="23" t="s">
        <v>2066</v>
      </c>
      <c r="AC152" s="23" t="s">
        <v>2067</v>
      </c>
      <c r="AD152" s="23" t="s">
        <v>282</v>
      </c>
      <c r="AE152" s="23" t="s">
        <v>2068</v>
      </c>
    </row>
    <row r="153" spans="1:31" hidden="1" x14ac:dyDescent="0.25">
      <c r="A153">
        <v>152</v>
      </c>
      <c r="B153" t="s">
        <v>153</v>
      </c>
      <c r="C153" t="s">
        <v>2069</v>
      </c>
      <c r="D153" t="s">
        <v>1985</v>
      </c>
      <c r="E153" t="s">
        <v>35</v>
      </c>
      <c r="F153" t="s">
        <v>36</v>
      </c>
      <c r="G153" t="s">
        <v>2070</v>
      </c>
      <c r="H153" t="s">
        <v>2071</v>
      </c>
      <c r="I153" t="s">
        <v>39</v>
      </c>
      <c r="J153" t="s">
        <v>2072</v>
      </c>
      <c r="K153" t="s">
        <v>2073</v>
      </c>
      <c r="L153" s="23" t="s">
        <v>2074</v>
      </c>
      <c r="M153" s="23" t="s">
        <v>257</v>
      </c>
      <c r="N153" s="23" t="s">
        <v>114</v>
      </c>
      <c r="O153" s="23" t="s">
        <v>2075</v>
      </c>
      <c r="P153" s="23" t="s">
        <v>2074</v>
      </c>
      <c r="Q153" s="23" t="s">
        <v>213</v>
      </c>
      <c r="R153" s="23" t="s">
        <v>114</v>
      </c>
      <c r="S153" s="23" t="s">
        <v>1139</v>
      </c>
      <c r="T153" s="23" t="s">
        <v>1142</v>
      </c>
      <c r="U153" s="23" t="s">
        <v>104</v>
      </c>
      <c r="V153" s="23" t="s">
        <v>114</v>
      </c>
      <c r="W153" s="23" t="s">
        <v>1964</v>
      </c>
      <c r="X153" s="23" t="s">
        <v>1436</v>
      </c>
      <c r="Y153" s="23" t="s">
        <v>158</v>
      </c>
      <c r="Z153" s="23" t="s">
        <v>94</v>
      </c>
      <c r="AA153" s="23" t="s">
        <v>1852</v>
      </c>
      <c r="AB153" s="23" t="s">
        <v>2076</v>
      </c>
      <c r="AC153" s="23" t="s">
        <v>76</v>
      </c>
      <c r="AD153" s="23" t="s">
        <v>94</v>
      </c>
      <c r="AE153" s="23" t="s">
        <v>2077</v>
      </c>
    </row>
    <row r="154" spans="1:31" hidden="1" x14ac:dyDescent="0.25">
      <c r="A154">
        <v>153</v>
      </c>
      <c r="B154" t="s">
        <v>153</v>
      </c>
      <c r="C154" t="s">
        <v>2078</v>
      </c>
      <c r="D154" t="s">
        <v>1985</v>
      </c>
      <c r="E154" t="s">
        <v>35</v>
      </c>
      <c r="F154" t="s">
        <v>36</v>
      </c>
      <c r="G154" t="s">
        <v>2079</v>
      </c>
      <c r="H154" t="s">
        <v>2080</v>
      </c>
      <c r="I154" t="s">
        <v>39</v>
      </c>
      <c r="J154" t="s">
        <v>2081</v>
      </c>
      <c r="K154" t="s">
        <v>2082</v>
      </c>
      <c r="L154" s="23" t="s">
        <v>1414</v>
      </c>
      <c r="M154" s="23" t="s">
        <v>93</v>
      </c>
      <c r="N154" s="23" t="s">
        <v>114</v>
      </c>
      <c r="O154" s="23" t="s">
        <v>1325</v>
      </c>
      <c r="P154" s="23" t="s">
        <v>750</v>
      </c>
      <c r="Q154" s="23" t="s">
        <v>246</v>
      </c>
      <c r="R154" s="23" t="s">
        <v>114</v>
      </c>
      <c r="S154" s="23" t="s">
        <v>2083</v>
      </c>
      <c r="T154" s="23" t="s">
        <v>1971</v>
      </c>
      <c r="U154" s="23" t="s">
        <v>104</v>
      </c>
      <c r="V154" s="23" t="s">
        <v>114</v>
      </c>
      <c r="W154" s="23" t="s">
        <v>2084</v>
      </c>
      <c r="X154" s="23" t="s">
        <v>2085</v>
      </c>
      <c r="Y154" s="23" t="s">
        <v>98</v>
      </c>
      <c r="Z154" s="23" t="s">
        <v>114</v>
      </c>
      <c r="AA154" s="23" t="s">
        <v>1670</v>
      </c>
      <c r="AB154" s="23" t="s">
        <v>2086</v>
      </c>
      <c r="AC154" s="23" t="s">
        <v>119</v>
      </c>
      <c r="AD154" s="23" t="s">
        <v>114</v>
      </c>
      <c r="AE154" s="23" t="s">
        <v>2087</v>
      </c>
    </row>
    <row r="155" spans="1:31" hidden="1" x14ac:dyDescent="0.25">
      <c r="A155">
        <v>154</v>
      </c>
      <c r="B155" t="s">
        <v>153</v>
      </c>
      <c r="C155" t="s">
        <v>1984</v>
      </c>
      <c r="D155" t="s">
        <v>1985</v>
      </c>
      <c r="E155" t="s">
        <v>35</v>
      </c>
      <c r="F155" t="s">
        <v>162</v>
      </c>
      <c r="G155" t="s">
        <v>1986</v>
      </c>
      <c r="H155" t="s">
        <v>1987</v>
      </c>
      <c r="I155" t="s">
        <v>163</v>
      </c>
      <c r="J155" t="s">
        <v>1988</v>
      </c>
      <c r="K155" t="s">
        <v>1989</v>
      </c>
      <c r="L155" s="23" t="s">
        <v>2088</v>
      </c>
      <c r="M155" s="23" t="s">
        <v>142</v>
      </c>
      <c r="N155" s="23" t="s">
        <v>246</v>
      </c>
      <c r="O155" s="23" t="s">
        <v>2089</v>
      </c>
      <c r="P155" s="23" t="s">
        <v>2090</v>
      </c>
      <c r="Q155" s="23" t="s">
        <v>1439</v>
      </c>
      <c r="R155" s="23" t="s">
        <v>73</v>
      </c>
      <c r="S155" s="23" t="s">
        <v>2091</v>
      </c>
      <c r="T155" s="23" t="s">
        <v>2092</v>
      </c>
      <c r="U155" s="23" t="s">
        <v>1964</v>
      </c>
      <c r="V155" s="23" t="s">
        <v>246</v>
      </c>
      <c r="W155" s="23" t="s">
        <v>2093</v>
      </c>
      <c r="X155" s="23" t="s">
        <v>2094</v>
      </c>
      <c r="Y155" s="23" t="s">
        <v>767</v>
      </c>
      <c r="Z155" s="23" t="s">
        <v>119</v>
      </c>
      <c r="AA155" s="23" t="s">
        <v>2095</v>
      </c>
      <c r="AB155" s="23" t="s">
        <v>2096</v>
      </c>
      <c r="AC155" s="23" t="s">
        <v>2097</v>
      </c>
      <c r="AD155" s="23" t="s">
        <v>1464</v>
      </c>
      <c r="AE155" s="23" t="s">
        <v>2098</v>
      </c>
    </row>
    <row r="156" spans="1:31" hidden="1" x14ac:dyDescent="0.25">
      <c r="A156">
        <v>155</v>
      </c>
      <c r="B156" t="s">
        <v>153</v>
      </c>
      <c r="C156" t="s">
        <v>2003</v>
      </c>
      <c r="D156" t="s">
        <v>1985</v>
      </c>
      <c r="E156" t="s">
        <v>35</v>
      </c>
      <c r="F156" t="s">
        <v>162</v>
      </c>
      <c r="G156" t="s">
        <v>2004</v>
      </c>
      <c r="H156" t="s">
        <v>2005</v>
      </c>
      <c r="I156" t="s">
        <v>163</v>
      </c>
      <c r="J156" t="s">
        <v>2006</v>
      </c>
      <c r="K156" t="s">
        <v>2007</v>
      </c>
      <c r="L156" s="23" t="s">
        <v>245</v>
      </c>
      <c r="M156" s="23" t="s">
        <v>114</v>
      </c>
      <c r="N156" s="23" t="s">
        <v>114</v>
      </c>
      <c r="O156" s="23" t="s">
        <v>245</v>
      </c>
      <c r="P156" s="23" t="s">
        <v>374</v>
      </c>
      <c r="Q156" s="23" t="s">
        <v>94</v>
      </c>
      <c r="R156" s="23" t="s">
        <v>114</v>
      </c>
      <c r="S156" s="23" t="s">
        <v>123</v>
      </c>
      <c r="T156" s="23" t="s">
        <v>1089</v>
      </c>
      <c r="U156" s="23" t="s">
        <v>114</v>
      </c>
      <c r="V156" s="23" t="s">
        <v>114</v>
      </c>
      <c r="W156" s="23" t="s">
        <v>1089</v>
      </c>
      <c r="X156" s="23" t="s">
        <v>52</v>
      </c>
      <c r="Y156" s="23" t="s">
        <v>114</v>
      </c>
      <c r="Z156" s="23" t="s">
        <v>114</v>
      </c>
      <c r="AA156" s="23" t="s">
        <v>52</v>
      </c>
      <c r="AB156" s="23" t="s">
        <v>1293</v>
      </c>
      <c r="AC156" s="23" t="s">
        <v>94</v>
      </c>
      <c r="AD156" s="23" t="s">
        <v>114</v>
      </c>
      <c r="AE156" s="23" t="s">
        <v>2099</v>
      </c>
    </row>
    <row r="157" spans="1:31" hidden="1" x14ac:dyDescent="0.25">
      <c r="A157">
        <v>156</v>
      </c>
      <c r="B157" t="s">
        <v>153</v>
      </c>
      <c r="C157" t="s">
        <v>2011</v>
      </c>
      <c r="D157" t="s">
        <v>1985</v>
      </c>
      <c r="E157" t="s">
        <v>35</v>
      </c>
      <c r="F157" t="s">
        <v>162</v>
      </c>
      <c r="G157" t="s">
        <v>2012</v>
      </c>
      <c r="H157" t="s">
        <v>2013</v>
      </c>
      <c r="I157" t="s">
        <v>163</v>
      </c>
      <c r="J157" t="s">
        <v>2014</v>
      </c>
      <c r="K157" t="s">
        <v>2015</v>
      </c>
      <c r="L157" s="23" t="s">
        <v>2100</v>
      </c>
      <c r="M157" s="23" t="s">
        <v>991</v>
      </c>
      <c r="N157" s="23" t="s">
        <v>98</v>
      </c>
      <c r="O157" s="23" t="s">
        <v>1805</v>
      </c>
      <c r="P157" s="23" t="s">
        <v>2101</v>
      </c>
      <c r="Q157" s="23" t="s">
        <v>2102</v>
      </c>
      <c r="R157" s="23" t="s">
        <v>32</v>
      </c>
      <c r="S157" s="23" t="s">
        <v>2103</v>
      </c>
      <c r="T157" s="23" t="s">
        <v>2104</v>
      </c>
      <c r="U157" s="23" t="s">
        <v>80</v>
      </c>
      <c r="V157" s="23" t="s">
        <v>158</v>
      </c>
      <c r="W157" s="23" t="s">
        <v>2105</v>
      </c>
      <c r="X157" s="23" t="s">
        <v>2106</v>
      </c>
      <c r="Y157" s="23" t="s">
        <v>1899</v>
      </c>
      <c r="Z157" s="23" t="s">
        <v>104</v>
      </c>
      <c r="AA157" s="23" t="s">
        <v>2107</v>
      </c>
      <c r="AB157" s="23" t="s">
        <v>2108</v>
      </c>
      <c r="AC157" s="23" t="s">
        <v>2109</v>
      </c>
      <c r="AD157" s="23" t="s">
        <v>217</v>
      </c>
      <c r="AE157" s="23" t="s">
        <v>2110</v>
      </c>
    </row>
    <row r="158" spans="1:31" hidden="1" x14ac:dyDescent="0.25">
      <c r="A158">
        <v>157</v>
      </c>
      <c r="B158" t="s">
        <v>153</v>
      </c>
      <c r="C158" t="s">
        <v>2026</v>
      </c>
      <c r="D158" t="s">
        <v>1985</v>
      </c>
      <c r="E158" t="s">
        <v>35</v>
      </c>
      <c r="F158" t="s">
        <v>162</v>
      </c>
      <c r="G158" t="s">
        <v>2027</v>
      </c>
      <c r="H158" t="s">
        <v>2028</v>
      </c>
      <c r="I158" t="s">
        <v>163</v>
      </c>
      <c r="J158" t="s">
        <v>2029</v>
      </c>
      <c r="K158" t="s">
        <v>2030</v>
      </c>
      <c r="L158" s="23" t="s">
        <v>315</v>
      </c>
      <c r="M158" s="23" t="s">
        <v>94</v>
      </c>
      <c r="N158" s="23" t="s">
        <v>114</v>
      </c>
      <c r="O158" s="23" t="s">
        <v>426</v>
      </c>
      <c r="P158" s="23" t="s">
        <v>166</v>
      </c>
      <c r="Q158" s="23" t="s">
        <v>150</v>
      </c>
      <c r="R158" s="23" t="s">
        <v>114</v>
      </c>
      <c r="S158" s="23" t="s">
        <v>525</v>
      </c>
      <c r="T158" s="23" t="s">
        <v>233</v>
      </c>
      <c r="U158" s="23" t="s">
        <v>114</v>
      </c>
      <c r="V158" s="23" t="s">
        <v>114</v>
      </c>
      <c r="W158" s="23" t="s">
        <v>233</v>
      </c>
      <c r="X158" s="23" t="s">
        <v>115</v>
      </c>
      <c r="Y158" s="23" t="s">
        <v>114</v>
      </c>
      <c r="Z158" s="23" t="s">
        <v>114</v>
      </c>
      <c r="AA158" s="23" t="s">
        <v>115</v>
      </c>
      <c r="AB158" s="23" t="s">
        <v>274</v>
      </c>
      <c r="AC158" s="23" t="s">
        <v>98</v>
      </c>
      <c r="AD158" s="23" t="s">
        <v>114</v>
      </c>
      <c r="AE158" s="23" t="s">
        <v>695</v>
      </c>
    </row>
    <row r="159" spans="1:31" hidden="1" x14ac:dyDescent="0.25">
      <c r="A159">
        <v>158</v>
      </c>
      <c r="B159" t="s">
        <v>153</v>
      </c>
      <c r="C159" t="s">
        <v>2032</v>
      </c>
      <c r="D159" t="s">
        <v>1985</v>
      </c>
      <c r="E159" t="s">
        <v>35</v>
      </c>
      <c r="F159" t="s">
        <v>162</v>
      </c>
      <c r="G159" t="s">
        <v>2033</v>
      </c>
      <c r="H159" t="s">
        <v>2013</v>
      </c>
      <c r="I159" t="s">
        <v>163</v>
      </c>
      <c r="J159" t="s">
        <v>2034</v>
      </c>
      <c r="K159" t="s">
        <v>2035</v>
      </c>
      <c r="L159" s="23" t="s">
        <v>1426</v>
      </c>
      <c r="M159" s="23" t="s">
        <v>158</v>
      </c>
      <c r="N159" s="23" t="s">
        <v>114</v>
      </c>
      <c r="O159" s="23" t="s">
        <v>764</v>
      </c>
      <c r="P159" s="23" t="s">
        <v>1485</v>
      </c>
      <c r="Q159" s="23" t="s">
        <v>76</v>
      </c>
      <c r="R159" s="23" t="s">
        <v>114</v>
      </c>
      <c r="S159" s="23" t="s">
        <v>2111</v>
      </c>
      <c r="T159" s="23" t="s">
        <v>2112</v>
      </c>
      <c r="U159" s="23" t="s">
        <v>98</v>
      </c>
      <c r="V159" s="23" t="s">
        <v>114</v>
      </c>
      <c r="W159" s="23" t="s">
        <v>2113</v>
      </c>
      <c r="X159" s="23" t="s">
        <v>567</v>
      </c>
      <c r="Y159" s="23" t="s">
        <v>213</v>
      </c>
      <c r="Z159" s="23" t="s">
        <v>114</v>
      </c>
      <c r="AA159" s="23" t="s">
        <v>1185</v>
      </c>
      <c r="AB159" s="23" t="s">
        <v>1721</v>
      </c>
      <c r="AC159" s="23" t="s">
        <v>226</v>
      </c>
      <c r="AD159" s="23" t="s">
        <v>114</v>
      </c>
      <c r="AE159" s="23" t="s">
        <v>2114</v>
      </c>
    </row>
    <row r="160" spans="1:31" hidden="1" x14ac:dyDescent="0.25">
      <c r="A160">
        <v>159</v>
      </c>
      <c r="B160" t="s">
        <v>153</v>
      </c>
      <c r="C160" t="s">
        <v>2042</v>
      </c>
      <c r="D160" t="s">
        <v>1985</v>
      </c>
      <c r="E160" t="s">
        <v>35</v>
      </c>
      <c r="F160" t="s">
        <v>162</v>
      </c>
      <c r="G160" t="s">
        <v>2043</v>
      </c>
      <c r="H160" t="s">
        <v>2013</v>
      </c>
      <c r="I160" t="s">
        <v>163</v>
      </c>
      <c r="J160" t="s">
        <v>2044</v>
      </c>
      <c r="K160" t="s">
        <v>2045</v>
      </c>
      <c r="L160" s="23" t="s">
        <v>2115</v>
      </c>
      <c r="M160" s="23" t="s">
        <v>275</v>
      </c>
      <c r="N160" s="23" t="s">
        <v>93</v>
      </c>
      <c r="O160" s="23" t="s">
        <v>2116</v>
      </c>
      <c r="P160" s="23" t="s">
        <v>2117</v>
      </c>
      <c r="Q160" s="23" t="s">
        <v>2118</v>
      </c>
      <c r="R160" s="23" t="s">
        <v>189</v>
      </c>
      <c r="S160" s="23" t="s">
        <v>2119</v>
      </c>
      <c r="T160" s="23" t="s">
        <v>2120</v>
      </c>
      <c r="U160" s="23" t="s">
        <v>113</v>
      </c>
      <c r="V160" s="23" t="s">
        <v>158</v>
      </c>
      <c r="W160" s="23" t="s">
        <v>2121</v>
      </c>
      <c r="X160" s="23" t="s">
        <v>2122</v>
      </c>
      <c r="Y160" s="23" t="s">
        <v>2123</v>
      </c>
      <c r="Z160" s="23" t="s">
        <v>130</v>
      </c>
      <c r="AA160" s="23" t="s">
        <v>2124</v>
      </c>
      <c r="AB160" s="23" t="s">
        <v>2125</v>
      </c>
      <c r="AC160" s="23" t="s">
        <v>2126</v>
      </c>
      <c r="AD160" s="23" t="s">
        <v>517</v>
      </c>
      <c r="AE160" s="23" t="s">
        <v>2127</v>
      </c>
    </row>
    <row r="161" spans="1:31" hidden="1" x14ac:dyDescent="0.25">
      <c r="A161">
        <v>160</v>
      </c>
      <c r="B161" t="s">
        <v>153</v>
      </c>
      <c r="C161" t="s">
        <v>2056</v>
      </c>
      <c r="D161" t="s">
        <v>1985</v>
      </c>
      <c r="E161" t="s">
        <v>35</v>
      </c>
      <c r="F161" t="s">
        <v>162</v>
      </c>
      <c r="G161" t="s">
        <v>2057</v>
      </c>
      <c r="H161" t="s">
        <v>2058</v>
      </c>
      <c r="I161" t="s">
        <v>163</v>
      </c>
      <c r="J161" t="s">
        <v>2059</v>
      </c>
      <c r="K161" t="s">
        <v>2060</v>
      </c>
      <c r="L161" s="23" t="s">
        <v>2128</v>
      </c>
      <c r="M161" s="23" t="s">
        <v>226</v>
      </c>
      <c r="N161" s="23" t="s">
        <v>244</v>
      </c>
      <c r="O161" s="23" t="s">
        <v>739</v>
      </c>
      <c r="P161" s="23" t="s">
        <v>2129</v>
      </c>
      <c r="Q161" s="23" t="s">
        <v>580</v>
      </c>
      <c r="R161" s="23" t="s">
        <v>257</v>
      </c>
      <c r="S161" s="23" t="s">
        <v>2130</v>
      </c>
      <c r="T161" s="23" t="s">
        <v>2131</v>
      </c>
      <c r="U161" s="23" t="s">
        <v>768</v>
      </c>
      <c r="V161" s="23" t="s">
        <v>114</v>
      </c>
      <c r="W161" s="23" t="s">
        <v>2132</v>
      </c>
      <c r="X161" s="23" t="s">
        <v>2133</v>
      </c>
      <c r="Y161" s="23" t="s">
        <v>133</v>
      </c>
      <c r="Z161" s="23" t="s">
        <v>104</v>
      </c>
      <c r="AA161" s="23" t="s">
        <v>1016</v>
      </c>
      <c r="AB161" s="23" t="s">
        <v>2134</v>
      </c>
      <c r="AC161" s="23" t="s">
        <v>1100</v>
      </c>
      <c r="AD161" s="23" t="s">
        <v>103</v>
      </c>
      <c r="AE161" s="23" t="s">
        <v>2135</v>
      </c>
    </row>
    <row r="162" spans="1:31" hidden="1" x14ac:dyDescent="0.25">
      <c r="A162">
        <v>161</v>
      </c>
      <c r="B162" t="s">
        <v>153</v>
      </c>
      <c r="C162" t="s">
        <v>2069</v>
      </c>
      <c r="D162" t="s">
        <v>1985</v>
      </c>
      <c r="E162" t="s">
        <v>35</v>
      </c>
      <c r="F162" t="s">
        <v>162</v>
      </c>
      <c r="G162" t="s">
        <v>2070</v>
      </c>
      <c r="H162" t="s">
        <v>2071</v>
      </c>
      <c r="I162" t="s">
        <v>163</v>
      </c>
      <c r="J162" t="s">
        <v>2072</v>
      </c>
      <c r="K162" t="s">
        <v>2073</v>
      </c>
      <c r="L162" s="23" t="s">
        <v>154</v>
      </c>
      <c r="M162" s="23" t="s">
        <v>94</v>
      </c>
      <c r="N162" s="23" t="s">
        <v>114</v>
      </c>
      <c r="O162" s="23" t="s">
        <v>260</v>
      </c>
      <c r="P162" s="23" t="s">
        <v>2136</v>
      </c>
      <c r="Q162" s="23" t="s">
        <v>257</v>
      </c>
      <c r="R162" s="23" t="s">
        <v>94</v>
      </c>
      <c r="S162" s="23" t="s">
        <v>2137</v>
      </c>
      <c r="T162" s="23" t="s">
        <v>2138</v>
      </c>
      <c r="U162" s="23" t="s">
        <v>94</v>
      </c>
      <c r="V162" s="23" t="s">
        <v>114</v>
      </c>
      <c r="W162" s="23" t="s">
        <v>1832</v>
      </c>
      <c r="X162" s="23" t="s">
        <v>2139</v>
      </c>
      <c r="Y162" s="23" t="s">
        <v>150</v>
      </c>
      <c r="Z162" s="23" t="s">
        <v>114</v>
      </c>
      <c r="AA162" s="23" t="s">
        <v>1947</v>
      </c>
      <c r="AB162" s="23" t="s">
        <v>2140</v>
      </c>
      <c r="AC162" s="23" t="s">
        <v>69</v>
      </c>
      <c r="AD162" s="23" t="s">
        <v>94</v>
      </c>
      <c r="AE162" s="23" t="s">
        <v>2141</v>
      </c>
    </row>
    <row r="163" spans="1:31" hidden="1" x14ac:dyDescent="0.25">
      <c r="A163">
        <v>162</v>
      </c>
      <c r="B163" t="s">
        <v>153</v>
      </c>
      <c r="C163" t="s">
        <v>2078</v>
      </c>
      <c r="D163" t="s">
        <v>1985</v>
      </c>
      <c r="E163" t="s">
        <v>35</v>
      </c>
      <c r="F163" t="s">
        <v>162</v>
      </c>
      <c r="G163" t="s">
        <v>2079</v>
      </c>
      <c r="H163" t="s">
        <v>2080</v>
      </c>
      <c r="I163" t="s">
        <v>163</v>
      </c>
      <c r="J163" t="s">
        <v>2081</v>
      </c>
      <c r="K163" t="s">
        <v>2082</v>
      </c>
      <c r="L163" s="23" t="s">
        <v>1711</v>
      </c>
      <c r="M163" s="23" t="s">
        <v>213</v>
      </c>
      <c r="N163" s="23" t="s">
        <v>114</v>
      </c>
      <c r="O163" s="23" t="s">
        <v>596</v>
      </c>
      <c r="P163" s="23" t="s">
        <v>305</v>
      </c>
      <c r="Q163" s="23" t="s">
        <v>253</v>
      </c>
      <c r="R163" s="23" t="s">
        <v>104</v>
      </c>
      <c r="S163" s="23" t="s">
        <v>1357</v>
      </c>
      <c r="T163" s="23" t="s">
        <v>2142</v>
      </c>
      <c r="U163" s="23" t="s">
        <v>213</v>
      </c>
      <c r="V163" s="23" t="s">
        <v>114</v>
      </c>
      <c r="W163" s="23" t="s">
        <v>809</v>
      </c>
      <c r="X163" s="23" t="s">
        <v>1724</v>
      </c>
      <c r="Y163" s="23" t="s">
        <v>158</v>
      </c>
      <c r="Z163" s="23" t="s">
        <v>114</v>
      </c>
      <c r="AA163" s="23" t="s">
        <v>2143</v>
      </c>
      <c r="AB163" s="23" t="s">
        <v>2144</v>
      </c>
      <c r="AC163" s="23" t="s">
        <v>1024</v>
      </c>
      <c r="AD163" s="23" t="s">
        <v>104</v>
      </c>
      <c r="AE163" s="23" t="s">
        <v>365</v>
      </c>
    </row>
    <row r="164" spans="1:31" hidden="1" x14ac:dyDescent="0.25">
      <c r="A164">
        <v>163</v>
      </c>
      <c r="B164" t="s">
        <v>69</v>
      </c>
      <c r="C164" t="s">
        <v>2145</v>
      </c>
      <c r="D164" t="s">
        <v>2146</v>
      </c>
      <c r="E164" t="s">
        <v>35</v>
      </c>
      <c r="F164" t="s">
        <v>36</v>
      </c>
      <c r="G164" t="s">
        <v>2147</v>
      </c>
      <c r="H164" t="s">
        <v>2148</v>
      </c>
      <c r="I164" t="s">
        <v>39</v>
      </c>
      <c r="J164" t="s">
        <v>2149</v>
      </c>
      <c r="K164" t="s">
        <v>2150</v>
      </c>
      <c r="L164" s="23" t="s">
        <v>2151</v>
      </c>
      <c r="M164" s="23" t="s">
        <v>1134</v>
      </c>
      <c r="N164" s="23" t="s">
        <v>119</v>
      </c>
      <c r="O164" s="23" t="s">
        <v>2152</v>
      </c>
      <c r="P164" s="23" t="s">
        <v>2153</v>
      </c>
      <c r="Q164" s="23" t="s">
        <v>2154</v>
      </c>
      <c r="R164" s="23" t="s">
        <v>72</v>
      </c>
      <c r="S164" s="23" t="s">
        <v>2155</v>
      </c>
      <c r="T164" s="23" t="s">
        <v>2156</v>
      </c>
      <c r="U164" s="23" t="s">
        <v>80</v>
      </c>
      <c r="V164" s="23" t="s">
        <v>193</v>
      </c>
      <c r="W164" s="23" t="s">
        <v>1833</v>
      </c>
      <c r="X164" s="23" t="s">
        <v>2157</v>
      </c>
      <c r="Y164" s="23" t="s">
        <v>374</v>
      </c>
      <c r="Z164" s="23" t="s">
        <v>157</v>
      </c>
      <c r="AA164" s="23" t="s">
        <v>2158</v>
      </c>
      <c r="AB164" s="23" t="s">
        <v>2159</v>
      </c>
      <c r="AC164" s="23" t="s">
        <v>2160</v>
      </c>
      <c r="AD164" s="23" t="s">
        <v>783</v>
      </c>
      <c r="AE164" s="23" t="s">
        <v>2161</v>
      </c>
    </row>
    <row r="165" spans="1:31" hidden="1" x14ac:dyDescent="0.25">
      <c r="A165">
        <v>164</v>
      </c>
      <c r="B165" t="s">
        <v>69</v>
      </c>
      <c r="C165" t="s">
        <v>2162</v>
      </c>
      <c r="D165" t="s">
        <v>2146</v>
      </c>
      <c r="E165" t="s">
        <v>35</v>
      </c>
      <c r="F165" t="s">
        <v>36</v>
      </c>
      <c r="G165" t="s">
        <v>2163</v>
      </c>
      <c r="H165" t="s">
        <v>2148</v>
      </c>
      <c r="I165" t="s">
        <v>240</v>
      </c>
      <c r="J165" t="s">
        <v>2164</v>
      </c>
      <c r="K165" t="s">
        <v>2165</v>
      </c>
      <c r="L165" s="23" t="s">
        <v>2166</v>
      </c>
      <c r="M165" s="23" t="s">
        <v>599</v>
      </c>
      <c r="N165" s="23" t="s">
        <v>81</v>
      </c>
      <c r="O165" s="23" t="s">
        <v>2167</v>
      </c>
      <c r="P165" s="23" t="s">
        <v>2168</v>
      </c>
      <c r="Q165" s="23" t="s">
        <v>2169</v>
      </c>
      <c r="R165" s="23" t="s">
        <v>760</v>
      </c>
      <c r="S165" s="23" t="s">
        <v>2170</v>
      </c>
      <c r="T165" s="23" t="s">
        <v>2171</v>
      </c>
      <c r="U165" s="23" t="s">
        <v>1082</v>
      </c>
      <c r="V165" s="23" t="s">
        <v>149</v>
      </c>
      <c r="W165" s="23" t="s">
        <v>2172</v>
      </c>
      <c r="X165" s="23" t="s">
        <v>2173</v>
      </c>
      <c r="Y165" s="23" t="s">
        <v>1059</v>
      </c>
      <c r="Z165" s="23" t="s">
        <v>366</v>
      </c>
      <c r="AA165" s="23" t="s">
        <v>2174</v>
      </c>
      <c r="AB165" s="23" t="s">
        <v>2175</v>
      </c>
      <c r="AC165" s="23" t="s">
        <v>2176</v>
      </c>
      <c r="AD165" s="23" t="s">
        <v>2177</v>
      </c>
      <c r="AE165" s="23" t="s">
        <v>2178</v>
      </c>
    </row>
    <row r="166" spans="1:31" hidden="1" x14ac:dyDescent="0.25">
      <c r="A166">
        <v>165</v>
      </c>
      <c r="B166" t="s">
        <v>69</v>
      </c>
      <c r="C166" t="s">
        <v>2179</v>
      </c>
      <c r="D166" t="s">
        <v>2146</v>
      </c>
      <c r="E166" t="s">
        <v>35</v>
      </c>
      <c r="F166" t="s">
        <v>36</v>
      </c>
      <c r="G166" t="s">
        <v>2180</v>
      </c>
      <c r="H166" t="s">
        <v>2148</v>
      </c>
      <c r="I166" t="s">
        <v>240</v>
      </c>
      <c r="J166" t="s">
        <v>2181</v>
      </c>
      <c r="K166" t="s">
        <v>2182</v>
      </c>
      <c r="L166" s="23" t="s">
        <v>2183</v>
      </c>
      <c r="M166" s="23" t="s">
        <v>248</v>
      </c>
      <c r="N166" s="23" t="s">
        <v>98</v>
      </c>
      <c r="O166" s="23" t="s">
        <v>909</v>
      </c>
      <c r="P166" s="23" t="s">
        <v>2184</v>
      </c>
      <c r="Q166" s="23" t="s">
        <v>1695</v>
      </c>
      <c r="R166" s="23" t="s">
        <v>158</v>
      </c>
      <c r="S166" s="23" t="s">
        <v>2185</v>
      </c>
      <c r="T166" s="23" t="s">
        <v>1565</v>
      </c>
      <c r="U166" s="23" t="s">
        <v>1316</v>
      </c>
      <c r="V166" s="23" t="s">
        <v>114</v>
      </c>
      <c r="W166" s="23" t="s">
        <v>135</v>
      </c>
      <c r="X166" s="23" t="s">
        <v>794</v>
      </c>
      <c r="Y166" s="23" t="s">
        <v>914</v>
      </c>
      <c r="Z166" s="23" t="s">
        <v>94</v>
      </c>
      <c r="AA166" s="23" t="s">
        <v>2186</v>
      </c>
      <c r="AB166" s="23" t="s">
        <v>2187</v>
      </c>
      <c r="AC166" s="23" t="s">
        <v>2188</v>
      </c>
      <c r="AD166" s="23" t="s">
        <v>193</v>
      </c>
      <c r="AE166" s="23" t="s">
        <v>2189</v>
      </c>
    </row>
    <row r="167" spans="1:31" hidden="1" x14ac:dyDescent="0.25">
      <c r="A167">
        <v>166</v>
      </c>
      <c r="B167" t="s">
        <v>69</v>
      </c>
      <c r="C167" t="s">
        <v>2190</v>
      </c>
      <c r="D167" t="s">
        <v>2146</v>
      </c>
      <c r="E167" t="s">
        <v>35</v>
      </c>
      <c r="F167" t="s">
        <v>36</v>
      </c>
      <c r="G167" t="s">
        <v>2191</v>
      </c>
      <c r="H167" t="s">
        <v>2148</v>
      </c>
      <c r="I167" t="s">
        <v>39</v>
      </c>
      <c r="J167" t="s">
        <v>2192</v>
      </c>
      <c r="K167" t="s">
        <v>2193</v>
      </c>
      <c r="L167" s="23" t="s">
        <v>2194</v>
      </c>
      <c r="M167" s="23" t="s">
        <v>490</v>
      </c>
      <c r="N167" s="23" t="s">
        <v>119</v>
      </c>
      <c r="O167" s="23" t="s">
        <v>1997</v>
      </c>
      <c r="P167" s="23" t="s">
        <v>2195</v>
      </c>
      <c r="Q167" s="23" t="s">
        <v>2196</v>
      </c>
      <c r="R167" s="23" t="s">
        <v>315</v>
      </c>
      <c r="S167" s="23" t="s">
        <v>2197</v>
      </c>
      <c r="T167" s="23" t="s">
        <v>2198</v>
      </c>
      <c r="U167" s="23" t="s">
        <v>366</v>
      </c>
      <c r="V167" s="23" t="s">
        <v>98</v>
      </c>
      <c r="W167" s="23" t="s">
        <v>2199</v>
      </c>
      <c r="X167" s="23" t="s">
        <v>718</v>
      </c>
      <c r="Y167" s="23" t="s">
        <v>2200</v>
      </c>
      <c r="Z167" s="23" t="s">
        <v>257</v>
      </c>
      <c r="AA167" s="23" t="s">
        <v>2201</v>
      </c>
      <c r="AB167" s="23" t="s">
        <v>2202</v>
      </c>
      <c r="AC167" s="23" t="s">
        <v>2203</v>
      </c>
      <c r="AD167" s="23" t="s">
        <v>133</v>
      </c>
      <c r="AE167" s="23" t="s">
        <v>2204</v>
      </c>
    </row>
    <row r="168" spans="1:31" hidden="1" x14ac:dyDescent="0.25">
      <c r="A168">
        <v>167</v>
      </c>
      <c r="B168" t="s">
        <v>69</v>
      </c>
      <c r="C168" t="s">
        <v>2205</v>
      </c>
      <c r="D168" t="s">
        <v>2146</v>
      </c>
      <c r="E168" t="s">
        <v>35</v>
      </c>
      <c r="F168" t="s">
        <v>36</v>
      </c>
      <c r="G168" t="s">
        <v>2206</v>
      </c>
      <c r="H168" t="s">
        <v>2148</v>
      </c>
      <c r="I168" t="s">
        <v>39</v>
      </c>
      <c r="J168" t="s">
        <v>2207</v>
      </c>
      <c r="K168" t="s">
        <v>2208</v>
      </c>
      <c r="L168" s="23" t="s">
        <v>2209</v>
      </c>
      <c r="M168" s="23" t="s">
        <v>953</v>
      </c>
      <c r="N168" s="23" t="s">
        <v>156</v>
      </c>
      <c r="O168" s="23" t="s">
        <v>2210</v>
      </c>
      <c r="P168" s="23" t="s">
        <v>2211</v>
      </c>
      <c r="Q168" s="23" t="s">
        <v>2212</v>
      </c>
      <c r="R168" s="23" t="s">
        <v>155</v>
      </c>
      <c r="S168" s="23" t="s">
        <v>2213</v>
      </c>
      <c r="T168" s="23" t="s">
        <v>2176</v>
      </c>
      <c r="U168" s="23" t="s">
        <v>81</v>
      </c>
      <c r="V168" s="23" t="s">
        <v>104</v>
      </c>
      <c r="W168" s="23" t="s">
        <v>2214</v>
      </c>
      <c r="X168" s="23" t="s">
        <v>2215</v>
      </c>
      <c r="Y168" s="23" t="s">
        <v>2216</v>
      </c>
      <c r="Z168" s="23" t="s">
        <v>185</v>
      </c>
      <c r="AA168" s="23" t="s">
        <v>2217</v>
      </c>
      <c r="AB168" s="23" t="s">
        <v>2218</v>
      </c>
      <c r="AC168" s="23" t="s">
        <v>2219</v>
      </c>
      <c r="AD168" s="23" t="s">
        <v>1500</v>
      </c>
      <c r="AE168" s="23" t="s">
        <v>2220</v>
      </c>
    </row>
    <row r="169" spans="1:31" hidden="1" x14ac:dyDescent="0.25">
      <c r="A169">
        <v>168</v>
      </c>
      <c r="B169" t="s">
        <v>69</v>
      </c>
      <c r="C169" t="s">
        <v>2221</v>
      </c>
      <c r="D169" t="s">
        <v>2146</v>
      </c>
      <c r="E169" t="s">
        <v>35</v>
      </c>
      <c r="F169" t="s">
        <v>36</v>
      </c>
      <c r="G169" t="s">
        <v>2222</v>
      </c>
      <c r="H169" t="s">
        <v>1272</v>
      </c>
      <c r="I169" t="s">
        <v>39</v>
      </c>
      <c r="J169" t="s">
        <v>1272</v>
      </c>
      <c r="K169" t="s">
        <v>1272</v>
      </c>
      <c r="L169" s="23" t="s">
        <v>1272</v>
      </c>
      <c r="M169" s="23" t="s">
        <v>1272</v>
      </c>
      <c r="N169" s="23" t="s">
        <v>1272</v>
      </c>
      <c r="O169" s="23" t="s">
        <v>1272</v>
      </c>
      <c r="P169" s="23" t="s">
        <v>1272</v>
      </c>
      <c r="Q169" s="23" t="s">
        <v>1272</v>
      </c>
      <c r="R169" s="23" t="s">
        <v>1272</v>
      </c>
      <c r="S169" s="23" t="s">
        <v>1272</v>
      </c>
      <c r="T169" s="23" t="s">
        <v>1272</v>
      </c>
      <c r="U169" s="23" t="s">
        <v>1272</v>
      </c>
      <c r="V169" s="23" t="s">
        <v>1272</v>
      </c>
      <c r="W169" s="23" t="s">
        <v>1272</v>
      </c>
      <c r="X169" s="23" t="s">
        <v>1272</v>
      </c>
      <c r="Y169" s="23" t="s">
        <v>1272</v>
      </c>
      <c r="Z169" s="23" t="s">
        <v>1272</v>
      </c>
      <c r="AA169" s="23" t="s">
        <v>1272</v>
      </c>
      <c r="AB169" s="23" t="s">
        <v>1272</v>
      </c>
      <c r="AC169" s="23" t="s">
        <v>1272</v>
      </c>
      <c r="AD169" s="23" t="s">
        <v>1272</v>
      </c>
      <c r="AE169" s="23" t="s">
        <v>1272</v>
      </c>
    </row>
    <row r="170" spans="1:31" x14ac:dyDescent="0.25">
      <c r="A170">
        <v>169</v>
      </c>
      <c r="B170" t="s">
        <v>69</v>
      </c>
      <c r="C170" t="s">
        <v>2223</v>
      </c>
      <c r="D170" t="s">
        <v>2146</v>
      </c>
      <c r="E170" t="s">
        <v>35</v>
      </c>
      <c r="F170" t="s">
        <v>36</v>
      </c>
      <c r="G170" t="s">
        <v>2224</v>
      </c>
      <c r="H170" t="s">
        <v>2225</v>
      </c>
      <c r="I170" t="s">
        <v>39</v>
      </c>
      <c r="J170" t="s">
        <v>2226</v>
      </c>
      <c r="K170" t="s">
        <v>2227</v>
      </c>
      <c r="L170" s="23" t="s">
        <v>2228</v>
      </c>
      <c r="M170" s="23" t="s">
        <v>772</v>
      </c>
      <c r="N170" s="23" t="s">
        <v>213</v>
      </c>
      <c r="O170" s="23" t="s">
        <v>2229</v>
      </c>
      <c r="P170" s="23" t="s">
        <v>2230</v>
      </c>
      <c r="Q170" s="23" t="s">
        <v>2231</v>
      </c>
      <c r="R170" s="23" t="s">
        <v>197</v>
      </c>
      <c r="S170" s="23" t="s">
        <v>2232</v>
      </c>
      <c r="T170" s="23" t="s">
        <v>2233</v>
      </c>
      <c r="U170" s="23" t="s">
        <v>1400</v>
      </c>
      <c r="V170" s="23" t="s">
        <v>94</v>
      </c>
      <c r="W170" s="23" t="s">
        <v>2234</v>
      </c>
      <c r="X170" s="23" t="s">
        <v>2235</v>
      </c>
      <c r="Y170" s="23" t="s">
        <v>650</v>
      </c>
      <c r="Z170" s="23" t="s">
        <v>297</v>
      </c>
      <c r="AA170" s="23" t="s">
        <v>2236</v>
      </c>
      <c r="AB170" s="23" t="s">
        <v>2237</v>
      </c>
      <c r="AC170" s="23" t="s">
        <v>1605</v>
      </c>
      <c r="AD170" s="23" t="s">
        <v>208</v>
      </c>
      <c r="AE170" s="23" t="s">
        <v>2238</v>
      </c>
    </row>
    <row r="171" spans="1:31" hidden="1" x14ac:dyDescent="0.25">
      <c r="A171">
        <v>170</v>
      </c>
      <c r="B171" t="s">
        <v>69</v>
      </c>
      <c r="C171" t="s">
        <v>2239</v>
      </c>
      <c r="D171" t="s">
        <v>2146</v>
      </c>
      <c r="E171" t="s">
        <v>35</v>
      </c>
      <c r="F171" t="s">
        <v>36</v>
      </c>
      <c r="G171" t="s">
        <v>2240</v>
      </c>
      <c r="H171" t="s">
        <v>2241</v>
      </c>
      <c r="I171" t="s">
        <v>300</v>
      </c>
      <c r="J171" t="s">
        <v>2242</v>
      </c>
      <c r="K171" t="s">
        <v>2243</v>
      </c>
      <c r="L171" s="23" t="s">
        <v>2244</v>
      </c>
      <c r="M171" s="23" t="s">
        <v>196</v>
      </c>
      <c r="N171" s="23" t="s">
        <v>213</v>
      </c>
      <c r="O171" s="23" t="s">
        <v>311</v>
      </c>
      <c r="P171" s="23" t="s">
        <v>1215</v>
      </c>
      <c r="Q171" s="23" t="s">
        <v>517</v>
      </c>
      <c r="R171" s="23" t="s">
        <v>94</v>
      </c>
      <c r="S171" s="23" t="s">
        <v>2245</v>
      </c>
      <c r="T171" s="23" t="s">
        <v>333</v>
      </c>
      <c r="U171" s="23" t="s">
        <v>153</v>
      </c>
      <c r="V171" s="23" t="s">
        <v>114</v>
      </c>
      <c r="W171" s="23" t="s">
        <v>2246</v>
      </c>
      <c r="X171" s="23" t="s">
        <v>1515</v>
      </c>
      <c r="Y171" s="23" t="s">
        <v>211</v>
      </c>
      <c r="Z171" s="23" t="s">
        <v>94</v>
      </c>
      <c r="AA171" s="23" t="s">
        <v>2247</v>
      </c>
      <c r="AB171" s="23" t="s">
        <v>2248</v>
      </c>
      <c r="AC171" s="23" t="s">
        <v>219</v>
      </c>
      <c r="AD171" s="23" t="s">
        <v>257</v>
      </c>
      <c r="AE171" s="23" t="s">
        <v>2249</v>
      </c>
    </row>
    <row r="172" spans="1:31" hidden="1" x14ac:dyDescent="0.25">
      <c r="A172">
        <v>171</v>
      </c>
      <c r="B172" t="s">
        <v>69</v>
      </c>
      <c r="C172" t="s">
        <v>2250</v>
      </c>
      <c r="D172" t="s">
        <v>2146</v>
      </c>
      <c r="E172" t="s">
        <v>35</v>
      </c>
      <c r="F172" t="s">
        <v>36</v>
      </c>
      <c r="G172" t="s">
        <v>2251</v>
      </c>
      <c r="H172" t="s">
        <v>2252</v>
      </c>
      <c r="I172" t="s">
        <v>300</v>
      </c>
      <c r="J172" t="s">
        <v>2253</v>
      </c>
      <c r="K172" t="s">
        <v>2254</v>
      </c>
      <c r="L172" s="23" t="s">
        <v>1059</v>
      </c>
      <c r="M172" s="23" t="s">
        <v>130</v>
      </c>
      <c r="N172" s="23" t="s">
        <v>114</v>
      </c>
      <c r="O172" s="23" t="s">
        <v>2177</v>
      </c>
      <c r="P172" s="23" t="s">
        <v>2255</v>
      </c>
      <c r="Q172" s="23" t="s">
        <v>68</v>
      </c>
      <c r="R172" s="23" t="s">
        <v>114</v>
      </c>
      <c r="S172" s="23" t="s">
        <v>1462</v>
      </c>
      <c r="T172" s="23" t="s">
        <v>2256</v>
      </c>
      <c r="U172" s="23" t="s">
        <v>77</v>
      </c>
      <c r="V172" s="23" t="s">
        <v>114</v>
      </c>
      <c r="W172" s="23" t="s">
        <v>308</v>
      </c>
      <c r="X172" s="23" t="s">
        <v>1670</v>
      </c>
      <c r="Y172" s="23" t="s">
        <v>213</v>
      </c>
      <c r="Z172" s="23" t="s">
        <v>114</v>
      </c>
      <c r="AA172" s="23" t="s">
        <v>2257</v>
      </c>
      <c r="AB172" s="23" t="s">
        <v>2258</v>
      </c>
      <c r="AC172" s="23" t="s">
        <v>444</v>
      </c>
      <c r="AD172" s="23" t="s">
        <v>114</v>
      </c>
      <c r="AE172" s="23" t="s">
        <v>2259</v>
      </c>
    </row>
    <row r="173" spans="1:31" hidden="1" x14ac:dyDescent="0.25">
      <c r="A173">
        <v>172</v>
      </c>
      <c r="B173" t="s">
        <v>69</v>
      </c>
      <c r="C173" t="s">
        <v>2260</v>
      </c>
      <c r="D173" t="s">
        <v>2146</v>
      </c>
      <c r="E173" t="s">
        <v>35</v>
      </c>
      <c r="F173" t="s">
        <v>36</v>
      </c>
      <c r="G173" t="s">
        <v>2261</v>
      </c>
      <c r="H173" t="s">
        <v>2252</v>
      </c>
      <c r="I173" t="s">
        <v>300</v>
      </c>
      <c r="J173" t="s">
        <v>2262</v>
      </c>
      <c r="K173" t="s">
        <v>2263</v>
      </c>
      <c r="L173" s="23" t="s">
        <v>2264</v>
      </c>
      <c r="M173" s="23" t="s">
        <v>282</v>
      </c>
      <c r="N173" s="23" t="s">
        <v>114</v>
      </c>
      <c r="O173" s="23" t="s">
        <v>2116</v>
      </c>
      <c r="P173" s="23" t="s">
        <v>2265</v>
      </c>
      <c r="Q173" s="23" t="s">
        <v>115</v>
      </c>
      <c r="R173" s="23" t="s">
        <v>114</v>
      </c>
      <c r="S173" s="23" t="s">
        <v>816</v>
      </c>
      <c r="T173" s="23" t="s">
        <v>194</v>
      </c>
      <c r="U173" s="23" t="s">
        <v>122</v>
      </c>
      <c r="V173" s="23" t="s">
        <v>114</v>
      </c>
      <c r="W173" s="23" t="s">
        <v>2266</v>
      </c>
      <c r="X173" s="23" t="s">
        <v>2267</v>
      </c>
      <c r="Y173" s="23" t="s">
        <v>297</v>
      </c>
      <c r="Z173" s="23" t="s">
        <v>114</v>
      </c>
      <c r="AA173" s="23" t="s">
        <v>2268</v>
      </c>
      <c r="AB173" s="23" t="s">
        <v>2269</v>
      </c>
      <c r="AC173" s="23" t="s">
        <v>85</v>
      </c>
      <c r="AD173" s="23" t="s">
        <v>114</v>
      </c>
      <c r="AE173" s="23" t="s">
        <v>2270</v>
      </c>
    </row>
    <row r="174" spans="1:31" hidden="1" x14ac:dyDescent="0.25">
      <c r="A174">
        <v>173</v>
      </c>
      <c r="B174" t="s">
        <v>69</v>
      </c>
      <c r="C174" t="s">
        <v>2271</v>
      </c>
      <c r="D174" t="s">
        <v>2146</v>
      </c>
      <c r="E174" t="s">
        <v>35</v>
      </c>
      <c r="F174" t="s">
        <v>36</v>
      </c>
      <c r="G174" t="s">
        <v>2272</v>
      </c>
      <c r="H174" t="s">
        <v>2273</v>
      </c>
      <c r="I174" t="s">
        <v>39</v>
      </c>
      <c r="J174" t="s">
        <v>2274</v>
      </c>
      <c r="K174" t="s">
        <v>2275</v>
      </c>
      <c r="L174" s="23" t="s">
        <v>1059</v>
      </c>
      <c r="M174" s="23" t="s">
        <v>32</v>
      </c>
      <c r="N174" s="23" t="s">
        <v>114</v>
      </c>
      <c r="O174" s="23" t="s">
        <v>2048</v>
      </c>
      <c r="P174" s="23" t="s">
        <v>2276</v>
      </c>
      <c r="Q174" s="23" t="s">
        <v>487</v>
      </c>
      <c r="R174" s="23" t="s">
        <v>114</v>
      </c>
      <c r="S174" s="23" t="s">
        <v>2277</v>
      </c>
      <c r="T174" s="23" t="s">
        <v>121</v>
      </c>
      <c r="U174" s="23" t="s">
        <v>193</v>
      </c>
      <c r="V174" s="23" t="s">
        <v>114</v>
      </c>
      <c r="W174" s="23" t="s">
        <v>84</v>
      </c>
      <c r="X174" s="23" t="s">
        <v>384</v>
      </c>
      <c r="Y174" s="23" t="s">
        <v>93</v>
      </c>
      <c r="Z174" s="23" t="s">
        <v>114</v>
      </c>
      <c r="AA174" s="23" t="s">
        <v>1059</v>
      </c>
      <c r="AB174" s="23" t="s">
        <v>2278</v>
      </c>
      <c r="AC174" s="23" t="s">
        <v>303</v>
      </c>
      <c r="AD174" s="23" t="s">
        <v>114</v>
      </c>
      <c r="AE174" s="23" t="s">
        <v>2279</v>
      </c>
    </row>
    <row r="175" spans="1:31" hidden="1" x14ac:dyDescent="0.25">
      <c r="A175">
        <v>174</v>
      </c>
      <c r="B175" t="s">
        <v>69</v>
      </c>
      <c r="C175" t="s">
        <v>2280</v>
      </c>
      <c r="D175" t="s">
        <v>2146</v>
      </c>
      <c r="E175" t="s">
        <v>35</v>
      </c>
      <c r="F175" t="s">
        <v>36</v>
      </c>
      <c r="G175" t="s">
        <v>2281</v>
      </c>
      <c r="H175" t="s">
        <v>2282</v>
      </c>
      <c r="I175" t="s">
        <v>39</v>
      </c>
      <c r="J175" t="s">
        <v>2283</v>
      </c>
      <c r="K175" t="s">
        <v>2284</v>
      </c>
      <c r="L175" s="23" t="s">
        <v>235</v>
      </c>
      <c r="M175" s="23" t="s">
        <v>243</v>
      </c>
      <c r="N175" s="23" t="s">
        <v>114</v>
      </c>
      <c r="O175" s="23" t="s">
        <v>161</v>
      </c>
      <c r="P175" s="23" t="s">
        <v>2285</v>
      </c>
      <c r="Q175" s="23" t="s">
        <v>233</v>
      </c>
      <c r="R175" s="23" t="s">
        <v>94</v>
      </c>
      <c r="S175" s="23" t="s">
        <v>2286</v>
      </c>
      <c r="T175" s="23" t="s">
        <v>2287</v>
      </c>
      <c r="U175" s="23" t="s">
        <v>122</v>
      </c>
      <c r="V175" s="23" t="s">
        <v>114</v>
      </c>
      <c r="W175" s="23" t="s">
        <v>2288</v>
      </c>
      <c r="X175" s="23" t="s">
        <v>48</v>
      </c>
      <c r="Y175" s="23" t="s">
        <v>192</v>
      </c>
      <c r="Z175" s="23" t="s">
        <v>114</v>
      </c>
      <c r="AA175" s="23" t="s">
        <v>1667</v>
      </c>
      <c r="AB175" s="23" t="s">
        <v>2289</v>
      </c>
      <c r="AC175" s="23" t="s">
        <v>1305</v>
      </c>
      <c r="AD175" s="23" t="s">
        <v>94</v>
      </c>
      <c r="AE175" s="23" t="s">
        <v>2290</v>
      </c>
    </row>
    <row r="176" spans="1:31" hidden="1" x14ac:dyDescent="0.25">
      <c r="A176">
        <v>175</v>
      </c>
      <c r="B176" t="s">
        <v>69</v>
      </c>
      <c r="C176" t="s">
        <v>2291</v>
      </c>
      <c r="D176" t="s">
        <v>2146</v>
      </c>
      <c r="E176" t="s">
        <v>35</v>
      </c>
      <c r="F176" t="s">
        <v>36</v>
      </c>
      <c r="G176" t="s">
        <v>2292</v>
      </c>
      <c r="H176" t="s">
        <v>2293</v>
      </c>
      <c r="I176" t="s">
        <v>39</v>
      </c>
      <c r="J176" t="s">
        <v>2294</v>
      </c>
      <c r="K176" t="s">
        <v>2295</v>
      </c>
      <c r="L176" s="23" t="s">
        <v>2296</v>
      </c>
      <c r="M176" s="23" t="s">
        <v>480</v>
      </c>
      <c r="N176" s="23" t="s">
        <v>479</v>
      </c>
      <c r="O176" s="23" t="s">
        <v>2297</v>
      </c>
      <c r="P176" s="23" t="s">
        <v>2298</v>
      </c>
      <c r="Q176" s="23" t="s">
        <v>837</v>
      </c>
      <c r="R176" s="23" t="s">
        <v>312</v>
      </c>
      <c r="S176" s="23" t="s">
        <v>2299</v>
      </c>
      <c r="T176" s="23" t="s">
        <v>2194</v>
      </c>
      <c r="U176" s="23" t="s">
        <v>495</v>
      </c>
      <c r="V176" s="23" t="s">
        <v>130</v>
      </c>
      <c r="W176" s="23" t="s">
        <v>2124</v>
      </c>
      <c r="X176" s="23" t="s">
        <v>2300</v>
      </c>
      <c r="Y176" s="23" t="s">
        <v>872</v>
      </c>
      <c r="Z176" s="23" t="s">
        <v>81</v>
      </c>
      <c r="AA176" s="23" t="s">
        <v>2301</v>
      </c>
      <c r="AB176" s="23" t="s">
        <v>2302</v>
      </c>
      <c r="AC176" s="23" t="s">
        <v>2303</v>
      </c>
      <c r="AD176" s="23" t="s">
        <v>917</v>
      </c>
      <c r="AE176" s="23" t="s">
        <v>2304</v>
      </c>
    </row>
    <row r="177" spans="1:31" hidden="1" x14ac:dyDescent="0.25">
      <c r="A177">
        <v>176</v>
      </c>
      <c r="B177" t="s">
        <v>69</v>
      </c>
      <c r="C177" t="s">
        <v>2305</v>
      </c>
      <c r="D177" t="s">
        <v>2146</v>
      </c>
      <c r="E177" t="s">
        <v>35</v>
      </c>
      <c r="F177" t="s">
        <v>36</v>
      </c>
      <c r="G177" t="s">
        <v>2306</v>
      </c>
      <c r="H177" t="s">
        <v>2307</v>
      </c>
      <c r="I177" t="s">
        <v>300</v>
      </c>
      <c r="J177" t="s">
        <v>2308</v>
      </c>
      <c r="K177" t="s">
        <v>2309</v>
      </c>
      <c r="L177" s="23" t="s">
        <v>2310</v>
      </c>
      <c r="M177" s="23" t="s">
        <v>312</v>
      </c>
      <c r="N177" s="23" t="s">
        <v>246</v>
      </c>
      <c r="O177" s="23" t="s">
        <v>2311</v>
      </c>
      <c r="P177" s="23" t="s">
        <v>2312</v>
      </c>
      <c r="Q177" s="23" t="s">
        <v>2313</v>
      </c>
      <c r="R177" s="23" t="s">
        <v>149</v>
      </c>
      <c r="S177" s="23" t="s">
        <v>2314</v>
      </c>
      <c r="T177" s="23" t="s">
        <v>2315</v>
      </c>
      <c r="U177" s="23" t="s">
        <v>468</v>
      </c>
      <c r="V177" s="23" t="s">
        <v>244</v>
      </c>
      <c r="W177" s="23" t="s">
        <v>2316</v>
      </c>
      <c r="X177" s="23" t="s">
        <v>2317</v>
      </c>
      <c r="Y177" s="23" t="s">
        <v>597</v>
      </c>
      <c r="Z177" s="23" t="s">
        <v>93</v>
      </c>
      <c r="AA177" s="23" t="s">
        <v>2318</v>
      </c>
      <c r="AB177" s="23" t="s">
        <v>2319</v>
      </c>
      <c r="AC177" s="23" t="s">
        <v>2320</v>
      </c>
      <c r="AD177" s="23" t="s">
        <v>487</v>
      </c>
      <c r="AE177" s="23" t="s">
        <v>2321</v>
      </c>
    </row>
    <row r="178" spans="1:31" hidden="1" x14ac:dyDescent="0.25">
      <c r="A178">
        <v>177</v>
      </c>
      <c r="B178" t="s">
        <v>69</v>
      </c>
      <c r="C178" t="s">
        <v>2322</v>
      </c>
      <c r="D178" t="s">
        <v>2146</v>
      </c>
      <c r="E178" t="s">
        <v>35</v>
      </c>
      <c r="F178" t="s">
        <v>36</v>
      </c>
      <c r="G178" t="s">
        <v>2323</v>
      </c>
      <c r="H178" t="s">
        <v>2307</v>
      </c>
      <c r="I178" t="s">
        <v>300</v>
      </c>
      <c r="J178" t="s">
        <v>2308</v>
      </c>
      <c r="K178" t="s">
        <v>2309</v>
      </c>
      <c r="L178" s="23" t="s">
        <v>1272</v>
      </c>
      <c r="M178" s="23" t="s">
        <v>1272</v>
      </c>
      <c r="N178" s="23" t="s">
        <v>1272</v>
      </c>
      <c r="O178" s="23" t="s">
        <v>1272</v>
      </c>
      <c r="P178" s="23" t="s">
        <v>1272</v>
      </c>
      <c r="Q178" s="23" t="s">
        <v>1272</v>
      </c>
      <c r="R178" s="23" t="s">
        <v>1272</v>
      </c>
      <c r="S178" s="23" t="s">
        <v>1272</v>
      </c>
      <c r="T178" s="23" t="s">
        <v>1272</v>
      </c>
      <c r="U178" s="23" t="s">
        <v>1272</v>
      </c>
      <c r="V178" s="23" t="s">
        <v>1272</v>
      </c>
      <c r="W178" s="23" t="s">
        <v>1272</v>
      </c>
      <c r="X178" s="23" t="s">
        <v>1272</v>
      </c>
      <c r="Y178" s="23" t="s">
        <v>1272</v>
      </c>
      <c r="Z178" s="23" t="s">
        <v>1272</v>
      </c>
      <c r="AA178" s="23" t="s">
        <v>1272</v>
      </c>
      <c r="AB178" s="23" t="s">
        <v>1272</v>
      </c>
      <c r="AC178" s="23" t="s">
        <v>1272</v>
      </c>
      <c r="AD178" s="23" t="s">
        <v>1272</v>
      </c>
      <c r="AE178" s="23" t="s">
        <v>1272</v>
      </c>
    </row>
    <row r="179" spans="1:31" hidden="1" x14ac:dyDescent="0.25">
      <c r="A179">
        <v>178</v>
      </c>
      <c r="B179" t="s">
        <v>69</v>
      </c>
      <c r="C179" t="s">
        <v>2324</v>
      </c>
      <c r="D179" t="s">
        <v>2146</v>
      </c>
      <c r="E179" t="s">
        <v>35</v>
      </c>
      <c r="F179" t="s">
        <v>36</v>
      </c>
      <c r="G179" t="s">
        <v>2325</v>
      </c>
      <c r="H179" t="s">
        <v>2326</v>
      </c>
      <c r="I179" t="s">
        <v>300</v>
      </c>
      <c r="J179" t="s">
        <v>2327</v>
      </c>
      <c r="K179" t="s">
        <v>2328</v>
      </c>
      <c r="L179" s="23" t="s">
        <v>1491</v>
      </c>
      <c r="M179" s="23" t="s">
        <v>1507</v>
      </c>
      <c r="N179" s="23" t="s">
        <v>158</v>
      </c>
      <c r="O179" s="23" t="s">
        <v>1121</v>
      </c>
      <c r="P179" s="23" t="s">
        <v>2329</v>
      </c>
      <c r="Q179" s="23" t="s">
        <v>532</v>
      </c>
      <c r="R179" s="23" t="s">
        <v>257</v>
      </c>
      <c r="S179" s="23" t="s">
        <v>2330</v>
      </c>
      <c r="T179" s="23" t="s">
        <v>2331</v>
      </c>
      <c r="U179" s="23" t="s">
        <v>97</v>
      </c>
      <c r="V179" s="23" t="s">
        <v>98</v>
      </c>
      <c r="W179" s="23" t="s">
        <v>2332</v>
      </c>
      <c r="X179" s="23" t="s">
        <v>2333</v>
      </c>
      <c r="Y179" s="23" t="s">
        <v>2123</v>
      </c>
      <c r="Z179" s="23" t="s">
        <v>244</v>
      </c>
      <c r="AA179" s="23" t="s">
        <v>2334</v>
      </c>
      <c r="AB179" s="23" t="s">
        <v>2335</v>
      </c>
      <c r="AC179" s="23" t="s">
        <v>333</v>
      </c>
      <c r="AD179" s="23" t="s">
        <v>192</v>
      </c>
      <c r="AE179" s="23" t="s">
        <v>2336</v>
      </c>
    </row>
    <row r="180" spans="1:31" hidden="1" x14ac:dyDescent="0.25">
      <c r="A180">
        <v>179</v>
      </c>
      <c r="B180" t="s">
        <v>69</v>
      </c>
      <c r="C180" t="s">
        <v>2337</v>
      </c>
      <c r="D180" t="s">
        <v>2146</v>
      </c>
      <c r="E180" t="s">
        <v>35</v>
      </c>
      <c r="F180" t="s">
        <v>36</v>
      </c>
      <c r="G180" t="s">
        <v>2338</v>
      </c>
      <c r="H180" t="s">
        <v>2326</v>
      </c>
      <c r="I180" t="s">
        <v>300</v>
      </c>
      <c r="J180" t="s">
        <v>2339</v>
      </c>
      <c r="K180" t="s">
        <v>2340</v>
      </c>
      <c r="L180" s="23" t="s">
        <v>2341</v>
      </c>
      <c r="M180" s="23" t="s">
        <v>52</v>
      </c>
      <c r="N180" s="23" t="s">
        <v>151</v>
      </c>
      <c r="O180" s="23" t="s">
        <v>2342</v>
      </c>
      <c r="P180" s="23" t="s">
        <v>2343</v>
      </c>
      <c r="Q180" s="23" t="s">
        <v>2276</v>
      </c>
      <c r="R180" s="23" t="s">
        <v>465</v>
      </c>
      <c r="S180" s="23" t="s">
        <v>2344</v>
      </c>
      <c r="T180" s="23" t="s">
        <v>2345</v>
      </c>
      <c r="U180" s="23" t="s">
        <v>2346</v>
      </c>
      <c r="V180" s="23" t="s">
        <v>479</v>
      </c>
      <c r="W180" s="23" t="s">
        <v>2347</v>
      </c>
      <c r="X180" s="23" t="s">
        <v>2348</v>
      </c>
      <c r="Y180" s="23" t="s">
        <v>2349</v>
      </c>
      <c r="Z180" s="23" t="s">
        <v>594</v>
      </c>
      <c r="AA180" s="23" t="s">
        <v>2350</v>
      </c>
      <c r="AB180" s="23" t="s">
        <v>2351</v>
      </c>
      <c r="AC180" s="23" t="s">
        <v>2352</v>
      </c>
      <c r="AD180" s="23" t="s">
        <v>1186</v>
      </c>
      <c r="AE180" s="23" t="s">
        <v>2353</v>
      </c>
    </row>
    <row r="181" spans="1:31" hidden="1" x14ac:dyDescent="0.25">
      <c r="A181">
        <v>180</v>
      </c>
      <c r="B181" t="s">
        <v>69</v>
      </c>
      <c r="C181" t="s">
        <v>2354</v>
      </c>
      <c r="D181" t="s">
        <v>2146</v>
      </c>
      <c r="E181" t="s">
        <v>35</v>
      </c>
      <c r="F181" t="s">
        <v>36</v>
      </c>
      <c r="G181" t="s">
        <v>2355</v>
      </c>
      <c r="H181" t="s">
        <v>2356</v>
      </c>
      <c r="I181" t="s">
        <v>300</v>
      </c>
      <c r="J181" t="s">
        <v>2357</v>
      </c>
      <c r="K181" t="s">
        <v>2358</v>
      </c>
      <c r="L181" s="23" t="s">
        <v>2359</v>
      </c>
      <c r="M181" s="23" t="s">
        <v>490</v>
      </c>
      <c r="N181" s="23" t="s">
        <v>98</v>
      </c>
      <c r="O181" s="23" t="s">
        <v>2360</v>
      </c>
      <c r="P181" s="23" t="s">
        <v>2361</v>
      </c>
      <c r="Q181" s="23" t="s">
        <v>2277</v>
      </c>
      <c r="R181" s="23" t="s">
        <v>257</v>
      </c>
      <c r="S181" s="23" t="s">
        <v>2362</v>
      </c>
      <c r="T181" s="23" t="s">
        <v>2363</v>
      </c>
      <c r="U181" s="23" t="s">
        <v>507</v>
      </c>
      <c r="V181" s="23" t="s">
        <v>150</v>
      </c>
      <c r="W181" s="23" t="s">
        <v>2364</v>
      </c>
      <c r="X181" s="23" t="s">
        <v>2365</v>
      </c>
      <c r="Y181" s="23" t="s">
        <v>2366</v>
      </c>
      <c r="Z181" s="23" t="s">
        <v>104</v>
      </c>
      <c r="AA181" s="23" t="s">
        <v>2367</v>
      </c>
      <c r="AB181" s="23" t="s">
        <v>2368</v>
      </c>
      <c r="AC181" s="23" t="s">
        <v>2369</v>
      </c>
      <c r="AD181" s="23" t="s">
        <v>217</v>
      </c>
      <c r="AE181" s="23" t="s">
        <v>2370</v>
      </c>
    </row>
    <row r="182" spans="1:31" hidden="1" x14ac:dyDescent="0.25">
      <c r="A182">
        <v>181</v>
      </c>
      <c r="B182" t="s">
        <v>69</v>
      </c>
      <c r="C182" t="s">
        <v>2145</v>
      </c>
      <c r="D182" t="s">
        <v>2146</v>
      </c>
      <c r="E182" t="s">
        <v>35</v>
      </c>
      <c r="F182" t="s">
        <v>162</v>
      </c>
      <c r="G182" t="s">
        <v>2147</v>
      </c>
      <c r="H182" t="s">
        <v>2148</v>
      </c>
      <c r="I182" t="s">
        <v>163</v>
      </c>
      <c r="J182" t="s">
        <v>2149</v>
      </c>
      <c r="K182" t="s">
        <v>2150</v>
      </c>
      <c r="L182" s="23" t="s">
        <v>2371</v>
      </c>
      <c r="M182" s="23" t="s">
        <v>659</v>
      </c>
      <c r="N182" s="23" t="s">
        <v>149</v>
      </c>
      <c r="O182" s="23" t="s">
        <v>1057</v>
      </c>
      <c r="P182" s="23" t="s">
        <v>2372</v>
      </c>
      <c r="Q182" s="23" t="s">
        <v>2373</v>
      </c>
      <c r="R182" s="23" t="s">
        <v>301</v>
      </c>
      <c r="S182" s="23" t="s">
        <v>2374</v>
      </c>
      <c r="T182" s="23" t="s">
        <v>2375</v>
      </c>
      <c r="U182" s="23" t="s">
        <v>1996</v>
      </c>
      <c r="V182" s="23" t="s">
        <v>243</v>
      </c>
      <c r="W182" s="23" t="s">
        <v>2376</v>
      </c>
      <c r="X182" s="23" t="s">
        <v>2377</v>
      </c>
      <c r="Y182" s="23" t="s">
        <v>123</v>
      </c>
      <c r="Z182" s="23" t="s">
        <v>73</v>
      </c>
      <c r="AA182" s="23" t="s">
        <v>2378</v>
      </c>
      <c r="AB182" s="23" t="s">
        <v>2379</v>
      </c>
      <c r="AC182" s="23" t="s">
        <v>730</v>
      </c>
      <c r="AD182" s="23" t="s">
        <v>2380</v>
      </c>
      <c r="AE182" s="23" t="s">
        <v>2381</v>
      </c>
    </row>
    <row r="183" spans="1:31" hidden="1" x14ac:dyDescent="0.25">
      <c r="A183">
        <v>182</v>
      </c>
      <c r="B183" t="s">
        <v>69</v>
      </c>
      <c r="C183" t="s">
        <v>2162</v>
      </c>
      <c r="D183" t="s">
        <v>2146</v>
      </c>
      <c r="E183" t="s">
        <v>35</v>
      </c>
      <c r="F183" t="s">
        <v>162</v>
      </c>
      <c r="G183" t="s">
        <v>2163</v>
      </c>
      <c r="H183" t="s">
        <v>2148</v>
      </c>
      <c r="I183" t="s">
        <v>300</v>
      </c>
      <c r="J183" t="s">
        <v>2164</v>
      </c>
      <c r="K183" t="s">
        <v>2165</v>
      </c>
      <c r="L183" s="23" t="s">
        <v>2130</v>
      </c>
      <c r="M183" s="23" t="s">
        <v>929</v>
      </c>
      <c r="N183" s="23" t="s">
        <v>68</v>
      </c>
      <c r="O183" s="23" t="s">
        <v>2382</v>
      </c>
      <c r="P183" s="23" t="s">
        <v>2383</v>
      </c>
      <c r="Q183" s="23" t="s">
        <v>1668</v>
      </c>
      <c r="R183" s="23" t="s">
        <v>2384</v>
      </c>
      <c r="S183" s="23" t="s">
        <v>2385</v>
      </c>
      <c r="T183" s="23" t="s">
        <v>2140</v>
      </c>
      <c r="U183" s="23" t="s">
        <v>174</v>
      </c>
      <c r="V183" s="23" t="s">
        <v>253</v>
      </c>
      <c r="W183" s="23" t="s">
        <v>2386</v>
      </c>
      <c r="X183" s="23" t="s">
        <v>2387</v>
      </c>
      <c r="Y183" s="23" t="s">
        <v>2388</v>
      </c>
      <c r="Z183" s="23" t="s">
        <v>525</v>
      </c>
      <c r="AA183" s="23" t="s">
        <v>2389</v>
      </c>
      <c r="AB183" s="23" t="s">
        <v>2390</v>
      </c>
      <c r="AC183" s="23" t="s">
        <v>2391</v>
      </c>
      <c r="AD183" s="23" t="s">
        <v>776</v>
      </c>
      <c r="AE183" s="23" t="s">
        <v>2392</v>
      </c>
    </row>
    <row r="184" spans="1:31" hidden="1" x14ac:dyDescent="0.25">
      <c r="A184">
        <v>183</v>
      </c>
      <c r="B184" t="s">
        <v>69</v>
      </c>
      <c r="C184" t="s">
        <v>2179</v>
      </c>
      <c r="D184" t="s">
        <v>2146</v>
      </c>
      <c r="E184" t="s">
        <v>35</v>
      </c>
      <c r="F184" t="s">
        <v>162</v>
      </c>
      <c r="G184" t="s">
        <v>2180</v>
      </c>
      <c r="H184" t="s">
        <v>2148</v>
      </c>
      <c r="I184" t="s">
        <v>300</v>
      </c>
      <c r="J184" t="s">
        <v>2181</v>
      </c>
      <c r="K184" t="s">
        <v>2182</v>
      </c>
      <c r="L184" s="23" t="s">
        <v>1758</v>
      </c>
      <c r="M184" s="23" t="s">
        <v>297</v>
      </c>
      <c r="N184" s="23" t="s">
        <v>114</v>
      </c>
      <c r="O184" s="23" t="s">
        <v>464</v>
      </c>
      <c r="P184" s="23" t="s">
        <v>2393</v>
      </c>
      <c r="Q184" s="23" t="s">
        <v>1162</v>
      </c>
      <c r="R184" s="23" t="s">
        <v>94</v>
      </c>
      <c r="S184" s="23" t="s">
        <v>2394</v>
      </c>
      <c r="T184" s="23" t="s">
        <v>1818</v>
      </c>
      <c r="U184" s="23" t="s">
        <v>151</v>
      </c>
      <c r="V184" s="23" t="s">
        <v>114</v>
      </c>
      <c r="W184" s="23" t="s">
        <v>1439</v>
      </c>
      <c r="X184" s="23" t="s">
        <v>1993</v>
      </c>
      <c r="Y184" s="23" t="s">
        <v>1587</v>
      </c>
      <c r="Z184" s="23" t="s">
        <v>114</v>
      </c>
      <c r="AA184" s="23" t="s">
        <v>2395</v>
      </c>
      <c r="AB184" s="23" t="s">
        <v>2396</v>
      </c>
      <c r="AC184" s="23" t="s">
        <v>161</v>
      </c>
      <c r="AD184" s="23" t="s">
        <v>94</v>
      </c>
      <c r="AE184" s="23" t="s">
        <v>2397</v>
      </c>
    </row>
    <row r="185" spans="1:31" hidden="1" x14ac:dyDescent="0.25">
      <c r="A185">
        <v>184</v>
      </c>
      <c r="B185" t="s">
        <v>69</v>
      </c>
      <c r="C185" t="s">
        <v>2190</v>
      </c>
      <c r="D185" t="s">
        <v>2146</v>
      </c>
      <c r="E185" t="s">
        <v>35</v>
      </c>
      <c r="F185" t="s">
        <v>162</v>
      </c>
      <c r="G185" t="s">
        <v>2191</v>
      </c>
      <c r="H185" t="s">
        <v>2148</v>
      </c>
      <c r="I185" t="s">
        <v>163</v>
      </c>
      <c r="J185" t="s">
        <v>2192</v>
      </c>
      <c r="K185" t="s">
        <v>2193</v>
      </c>
      <c r="L185" s="23" t="s">
        <v>2303</v>
      </c>
      <c r="M185" s="23" t="s">
        <v>281</v>
      </c>
      <c r="N185" s="23" t="s">
        <v>257</v>
      </c>
      <c r="O185" s="23" t="s">
        <v>2398</v>
      </c>
      <c r="P185" s="23" t="s">
        <v>2399</v>
      </c>
      <c r="Q185" s="23" t="s">
        <v>2400</v>
      </c>
      <c r="R185" s="23" t="s">
        <v>68</v>
      </c>
      <c r="S185" s="23" t="s">
        <v>2401</v>
      </c>
      <c r="T185" s="23" t="s">
        <v>2402</v>
      </c>
      <c r="U185" s="23" t="s">
        <v>1125</v>
      </c>
      <c r="V185" s="23" t="s">
        <v>193</v>
      </c>
      <c r="W185" s="23" t="s">
        <v>2403</v>
      </c>
      <c r="X185" s="23" t="s">
        <v>2404</v>
      </c>
      <c r="Y185" s="23" t="s">
        <v>2405</v>
      </c>
      <c r="Z185" s="23" t="s">
        <v>153</v>
      </c>
      <c r="AA185" s="23" t="s">
        <v>2406</v>
      </c>
      <c r="AB185" s="23" t="s">
        <v>2407</v>
      </c>
      <c r="AC185" s="23" t="s">
        <v>1456</v>
      </c>
      <c r="AD185" s="23" t="s">
        <v>275</v>
      </c>
      <c r="AE185" s="23" t="s">
        <v>2408</v>
      </c>
    </row>
    <row r="186" spans="1:31" hidden="1" x14ac:dyDescent="0.25">
      <c r="A186">
        <v>185</v>
      </c>
      <c r="B186" t="s">
        <v>69</v>
      </c>
      <c r="C186" t="s">
        <v>2205</v>
      </c>
      <c r="D186" t="s">
        <v>2146</v>
      </c>
      <c r="E186" t="s">
        <v>35</v>
      </c>
      <c r="F186" t="s">
        <v>162</v>
      </c>
      <c r="G186" t="s">
        <v>2206</v>
      </c>
      <c r="H186" t="s">
        <v>2148</v>
      </c>
      <c r="I186" t="s">
        <v>163</v>
      </c>
      <c r="J186" t="s">
        <v>2207</v>
      </c>
      <c r="K186" t="s">
        <v>2208</v>
      </c>
      <c r="L186" s="23" t="s">
        <v>1686</v>
      </c>
      <c r="M186" s="23" t="s">
        <v>487</v>
      </c>
      <c r="N186" s="23" t="s">
        <v>243</v>
      </c>
      <c r="O186" s="23" t="s">
        <v>561</v>
      </c>
      <c r="P186" s="23" t="s">
        <v>2409</v>
      </c>
      <c r="Q186" s="23" t="s">
        <v>43</v>
      </c>
      <c r="R186" s="23" t="s">
        <v>1024</v>
      </c>
      <c r="S186" s="23" t="s">
        <v>2410</v>
      </c>
      <c r="T186" s="23" t="s">
        <v>2411</v>
      </c>
      <c r="U186" s="23" t="s">
        <v>155</v>
      </c>
      <c r="V186" s="23" t="s">
        <v>77</v>
      </c>
      <c r="W186" s="23" t="s">
        <v>2412</v>
      </c>
      <c r="X186" s="23" t="s">
        <v>2413</v>
      </c>
      <c r="Y186" s="23" t="s">
        <v>73</v>
      </c>
      <c r="Z186" s="23" t="s">
        <v>32</v>
      </c>
      <c r="AA186" s="23" t="s">
        <v>2414</v>
      </c>
      <c r="AB186" s="23" t="s">
        <v>2415</v>
      </c>
      <c r="AC186" s="23" t="s">
        <v>2416</v>
      </c>
      <c r="AD186" s="23" t="s">
        <v>588</v>
      </c>
      <c r="AE186" s="23" t="s">
        <v>2417</v>
      </c>
    </row>
    <row r="187" spans="1:31" hidden="1" x14ac:dyDescent="0.25">
      <c r="A187">
        <v>186</v>
      </c>
      <c r="B187" t="s">
        <v>69</v>
      </c>
      <c r="C187" t="s">
        <v>2221</v>
      </c>
      <c r="D187" t="s">
        <v>2146</v>
      </c>
      <c r="E187" t="s">
        <v>35</v>
      </c>
      <c r="F187" t="s">
        <v>162</v>
      </c>
      <c r="G187" t="s">
        <v>2222</v>
      </c>
      <c r="H187" t="s">
        <v>1272</v>
      </c>
      <c r="I187" t="s">
        <v>163</v>
      </c>
      <c r="J187" t="s">
        <v>1272</v>
      </c>
      <c r="K187" t="s">
        <v>1272</v>
      </c>
      <c r="L187" s="23" t="s">
        <v>1272</v>
      </c>
      <c r="M187" s="23" t="s">
        <v>1272</v>
      </c>
      <c r="N187" s="23" t="s">
        <v>1272</v>
      </c>
      <c r="O187" s="23" t="s">
        <v>1272</v>
      </c>
      <c r="P187" s="23" t="s">
        <v>1272</v>
      </c>
      <c r="Q187" s="23" t="s">
        <v>1272</v>
      </c>
      <c r="R187" s="23" t="s">
        <v>1272</v>
      </c>
      <c r="S187" s="23" t="s">
        <v>1272</v>
      </c>
      <c r="T187" s="23" t="s">
        <v>1272</v>
      </c>
      <c r="U187" s="23" t="s">
        <v>1272</v>
      </c>
      <c r="V187" s="23" t="s">
        <v>1272</v>
      </c>
      <c r="W187" s="23" t="s">
        <v>1272</v>
      </c>
      <c r="X187" s="23" t="s">
        <v>1272</v>
      </c>
      <c r="Y187" s="23" t="s">
        <v>1272</v>
      </c>
      <c r="Z187" s="23" t="s">
        <v>1272</v>
      </c>
      <c r="AA187" s="23" t="s">
        <v>1272</v>
      </c>
      <c r="AB187" s="23" t="s">
        <v>1272</v>
      </c>
      <c r="AC187" s="23" t="s">
        <v>1272</v>
      </c>
      <c r="AD187" s="23" t="s">
        <v>1272</v>
      </c>
      <c r="AE187" s="23" t="s">
        <v>1272</v>
      </c>
    </row>
    <row r="188" spans="1:31" x14ac:dyDescent="0.25">
      <c r="A188">
        <v>187</v>
      </c>
      <c r="B188" t="s">
        <v>69</v>
      </c>
      <c r="C188" t="s">
        <v>2223</v>
      </c>
      <c r="D188" t="s">
        <v>2146</v>
      </c>
      <c r="E188" t="s">
        <v>35</v>
      </c>
      <c r="F188" t="s">
        <v>162</v>
      </c>
      <c r="G188" t="s">
        <v>2224</v>
      </c>
      <c r="H188" t="s">
        <v>2225</v>
      </c>
      <c r="I188" t="s">
        <v>163</v>
      </c>
      <c r="J188" t="s">
        <v>2226</v>
      </c>
      <c r="K188" t="s">
        <v>2227</v>
      </c>
      <c r="L188" s="23" t="s">
        <v>2418</v>
      </c>
      <c r="M188" s="23" t="s">
        <v>1134</v>
      </c>
      <c r="N188" s="23" t="s">
        <v>479</v>
      </c>
      <c r="O188" s="23" t="s">
        <v>878</v>
      </c>
      <c r="P188" s="23" t="s">
        <v>2419</v>
      </c>
      <c r="Q188" s="23" t="s">
        <v>1044</v>
      </c>
      <c r="R188" s="23" t="s">
        <v>116</v>
      </c>
      <c r="S188" s="23" t="s">
        <v>2420</v>
      </c>
      <c r="T188" s="23" t="s">
        <v>2421</v>
      </c>
      <c r="U188" s="23" t="s">
        <v>201</v>
      </c>
      <c r="V188" s="23" t="s">
        <v>93</v>
      </c>
      <c r="W188" s="23" t="s">
        <v>2422</v>
      </c>
      <c r="X188" s="23" t="s">
        <v>2423</v>
      </c>
      <c r="Y188" s="23" t="s">
        <v>467</v>
      </c>
      <c r="Z188" s="23" t="s">
        <v>1587</v>
      </c>
      <c r="AA188" s="23" t="s">
        <v>2424</v>
      </c>
      <c r="AB188" s="23" t="s">
        <v>2425</v>
      </c>
      <c r="AC188" s="23" t="s">
        <v>2426</v>
      </c>
      <c r="AD188" s="23" t="s">
        <v>1743</v>
      </c>
      <c r="AE188" s="23" t="s">
        <v>2427</v>
      </c>
    </row>
    <row r="189" spans="1:31" hidden="1" x14ac:dyDescent="0.25">
      <c r="A189">
        <v>188</v>
      </c>
      <c r="B189" t="s">
        <v>69</v>
      </c>
      <c r="C189" t="s">
        <v>2239</v>
      </c>
      <c r="D189" t="s">
        <v>2146</v>
      </c>
      <c r="E189" t="s">
        <v>35</v>
      </c>
      <c r="F189" t="s">
        <v>162</v>
      </c>
      <c r="G189" t="s">
        <v>2240</v>
      </c>
      <c r="H189" t="s">
        <v>2241</v>
      </c>
      <c r="I189" t="s">
        <v>240</v>
      </c>
      <c r="J189" t="s">
        <v>2242</v>
      </c>
      <c r="K189" t="s">
        <v>2243</v>
      </c>
      <c r="L189" s="23" t="s">
        <v>178</v>
      </c>
      <c r="M189" s="23" t="s">
        <v>151</v>
      </c>
      <c r="N189" s="23" t="s">
        <v>114</v>
      </c>
      <c r="O189" s="23" t="s">
        <v>2219</v>
      </c>
      <c r="P189" s="23" t="s">
        <v>2428</v>
      </c>
      <c r="Q189" s="23" t="s">
        <v>1728</v>
      </c>
      <c r="R189" s="23" t="s">
        <v>150</v>
      </c>
      <c r="S189" s="23" t="s">
        <v>2429</v>
      </c>
      <c r="T189" s="23" t="s">
        <v>2245</v>
      </c>
      <c r="U189" s="23" t="s">
        <v>196</v>
      </c>
      <c r="V189" s="23" t="s">
        <v>114</v>
      </c>
      <c r="W189" s="23" t="s">
        <v>2430</v>
      </c>
      <c r="X189" s="23" t="s">
        <v>2431</v>
      </c>
      <c r="Y189" s="23" t="s">
        <v>81</v>
      </c>
      <c r="Z189" s="23" t="s">
        <v>94</v>
      </c>
      <c r="AA189" s="23" t="s">
        <v>2432</v>
      </c>
      <c r="AB189" s="23" t="s">
        <v>2433</v>
      </c>
      <c r="AC189" s="23" t="s">
        <v>818</v>
      </c>
      <c r="AD189" s="23" t="s">
        <v>98</v>
      </c>
      <c r="AE189" s="23" t="s">
        <v>2434</v>
      </c>
    </row>
    <row r="190" spans="1:31" hidden="1" x14ac:dyDescent="0.25">
      <c r="A190">
        <v>189</v>
      </c>
      <c r="B190" t="s">
        <v>69</v>
      </c>
      <c r="C190" t="s">
        <v>2250</v>
      </c>
      <c r="D190" t="s">
        <v>2146</v>
      </c>
      <c r="E190" t="s">
        <v>35</v>
      </c>
      <c r="F190" t="s">
        <v>162</v>
      </c>
      <c r="G190" t="s">
        <v>2251</v>
      </c>
      <c r="H190" t="s">
        <v>2252</v>
      </c>
      <c r="I190" t="s">
        <v>240</v>
      </c>
      <c r="J190" t="s">
        <v>2253</v>
      </c>
      <c r="K190" t="s">
        <v>2254</v>
      </c>
      <c r="L190" s="23" t="s">
        <v>2435</v>
      </c>
      <c r="M190" s="23" t="s">
        <v>243</v>
      </c>
      <c r="N190" s="23" t="s">
        <v>114</v>
      </c>
      <c r="O190" s="23" t="s">
        <v>2436</v>
      </c>
      <c r="P190" s="23" t="s">
        <v>600</v>
      </c>
      <c r="Q190" s="23" t="s">
        <v>156</v>
      </c>
      <c r="R190" s="23" t="s">
        <v>114</v>
      </c>
      <c r="S190" s="23" t="s">
        <v>2437</v>
      </c>
      <c r="T190" s="23" t="s">
        <v>1809</v>
      </c>
      <c r="U190" s="23" t="s">
        <v>69</v>
      </c>
      <c r="V190" s="23" t="s">
        <v>114</v>
      </c>
      <c r="W190" s="23" t="s">
        <v>1283</v>
      </c>
      <c r="X190" s="23" t="s">
        <v>2438</v>
      </c>
      <c r="Y190" s="23" t="s">
        <v>217</v>
      </c>
      <c r="Z190" s="23" t="s">
        <v>114</v>
      </c>
      <c r="AA190" s="23" t="s">
        <v>2439</v>
      </c>
      <c r="AB190" s="23" t="s">
        <v>2440</v>
      </c>
      <c r="AC190" s="23" t="s">
        <v>1082</v>
      </c>
      <c r="AD190" s="23" t="s">
        <v>114</v>
      </c>
      <c r="AE190" s="23" t="s">
        <v>798</v>
      </c>
    </row>
    <row r="191" spans="1:31" hidden="1" x14ac:dyDescent="0.25">
      <c r="A191">
        <v>190</v>
      </c>
      <c r="B191" t="s">
        <v>69</v>
      </c>
      <c r="C191" t="s">
        <v>2260</v>
      </c>
      <c r="D191" t="s">
        <v>2146</v>
      </c>
      <c r="E191" t="s">
        <v>35</v>
      </c>
      <c r="F191" t="s">
        <v>162</v>
      </c>
      <c r="G191" t="s">
        <v>2261</v>
      </c>
      <c r="H191" t="s">
        <v>2252</v>
      </c>
      <c r="I191" t="s">
        <v>240</v>
      </c>
      <c r="J191" t="s">
        <v>2262</v>
      </c>
      <c r="K191" t="s">
        <v>2263</v>
      </c>
      <c r="L191" s="23" t="s">
        <v>2441</v>
      </c>
      <c r="M191" s="23" t="s">
        <v>297</v>
      </c>
      <c r="N191" s="23" t="s">
        <v>114</v>
      </c>
      <c r="O191" s="23" t="s">
        <v>2442</v>
      </c>
      <c r="P191" s="23" t="s">
        <v>2443</v>
      </c>
      <c r="Q191" s="23" t="s">
        <v>507</v>
      </c>
      <c r="R191" s="23" t="s">
        <v>94</v>
      </c>
      <c r="S191" s="23" t="s">
        <v>2444</v>
      </c>
      <c r="T191" s="23" t="s">
        <v>1554</v>
      </c>
      <c r="U191" s="23" t="s">
        <v>297</v>
      </c>
      <c r="V191" s="23" t="s">
        <v>94</v>
      </c>
      <c r="W191" s="23" t="s">
        <v>1942</v>
      </c>
      <c r="X191" s="23" t="s">
        <v>2077</v>
      </c>
      <c r="Y191" s="23" t="s">
        <v>226</v>
      </c>
      <c r="Z191" s="23" t="s">
        <v>114</v>
      </c>
      <c r="AA191" s="23" t="s">
        <v>2445</v>
      </c>
      <c r="AB191" s="23" t="s">
        <v>2446</v>
      </c>
      <c r="AC191" s="23" t="s">
        <v>92</v>
      </c>
      <c r="AD191" s="23" t="s">
        <v>104</v>
      </c>
      <c r="AE191" s="23" t="s">
        <v>2447</v>
      </c>
    </row>
    <row r="192" spans="1:31" hidden="1" x14ac:dyDescent="0.25">
      <c r="A192">
        <v>191</v>
      </c>
      <c r="B192" t="s">
        <v>69</v>
      </c>
      <c r="C192" t="s">
        <v>2271</v>
      </c>
      <c r="D192" t="s">
        <v>2146</v>
      </c>
      <c r="E192" t="s">
        <v>35</v>
      </c>
      <c r="F192" t="s">
        <v>162</v>
      </c>
      <c r="G192" t="s">
        <v>2272</v>
      </c>
      <c r="H192" t="s">
        <v>2273</v>
      </c>
      <c r="I192" t="s">
        <v>163</v>
      </c>
      <c r="J192" t="s">
        <v>2274</v>
      </c>
      <c r="K192" t="s">
        <v>2275</v>
      </c>
      <c r="L192" s="23" t="s">
        <v>260</v>
      </c>
      <c r="M192" s="23" t="s">
        <v>158</v>
      </c>
      <c r="N192" s="23" t="s">
        <v>114</v>
      </c>
      <c r="O192" s="23" t="s">
        <v>465</v>
      </c>
      <c r="P192" s="23" t="s">
        <v>1345</v>
      </c>
      <c r="Q192" s="23" t="s">
        <v>151</v>
      </c>
      <c r="R192" s="23" t="s">
        <v>114</v>
      </c>
      <c r="S192" s="23" t="s">
        <v>464</v>
      </c>
      <c r="T192" s="23" t="s">
        <v>651</v>
      </c>
      <c r="U192" s="23" t="s">
        <v>150</v>
      </c>
      <c r="V192" s="23" t="s">
        <v>114</v>
      </c>
      <c r="W192" s="23" t="s">
        <v>764</v>
      </c>
      <c r="X192" s="23" t="s">
        <v>102</v>
      </c>
      <c r="Y192" s="23" t="s">
        <v>32</v>
      </c>
      <c r="Z192" s="23" t="s">
        <v>114</v>
      </c>
      <c r="AA192" s="23" t="s">
        <v>95</v>
      </c>
      <c r="AB192" s="23" t="s">
        <v>2448</v>
      </c>
      <c r="AC192" s="23" t="s">
        <v>97</v>
      </c>
      <c r="AD192" s="23" t="s">
        <v>114</v>
      </c>
      <c r="AE192" s="23" t="s">
        <v>357</v>
      </c>
    </row>
    <row r="193" spans="1:31" hidden="1" x14ac:dyDescent="0.25">
      <c r="A193">
        <v>192</v>
      </c>
      <c r="B193" t="s">
        <v>69</v>
      </c>
      <c r="C193" t="s">
        <v>2280</v>
      </c>
      <c r="D193" t="s">
        <v>2146</v>
      </c>
      <c r="E193" t="s">
        <v>35</v>
      </c>
      <c r="F193" t="s">
        <v>162</v>
      </c>
      <c r="G193" t="s">
        <v>2281</v>
      </c>
      <c r="H193" t="s">
        <v>2282</v>
      </c>
      <c r="I193" t="s">
        <v>163</v>
      </c>
      <c r="J193" t="s">
        <v>2283</v>
      </c>
      <c r="K193" t="s">
        <v>2284</v>
      </c>
      <c r="L193" s="23" t="s">
        <v>2449</v>
      </c>
      <c r="M193" s="23" t="s">
        <v>243</v>
      </c>
      <c r="N193" s="23" t="s">
        <v>114</v>
      </c>
      <c r="O193" s="23" t="s">
        <v>2450</v>
      </c>
      <c r="P193" s="23" t="s">
        <v>2451</v>
      </c>
      <c r="Q193" s="23" t="s">
        <v>245</v>
      </c>
      <c r="R193" s="23" t="s">
        <v>114</v>
      </c>
      <c r="S193" s="23" t="s">
        <v>2452</v>
      </c>
      <c r="T193" s="23" t="s">
        <v>2453</v>
      </c>
      <c r="U193" s="23" t="s">
        <v>158</v>
      </c>
      <c r="V193" s="23" t="s">
        <v>114</v>
      </c>
      <c r="W193" s="23" t="s">
        <v>2099</v>
      </c>
      <c r="X193" s="23" t="s">
        <v>2454</v>
      </c>
      <c r="Y193" s="23" t="s">
        <v>69</v>
      </c>
      <c r="Z193" s="23" t="s">
        <v>114</v>
      </c>
      <c r="AA193" s="23" t="s">
        <v>2455</v>
      </c>
      <c r="AB193" s="23" t="s">
        <v>2456</v>
      </c>
      <c r="AC193" s="23" t="s">
        <v>517</v>
      </c>
      <c r="AD193" s="23" t="s">
        <v>114</v>
      </c>
      <c r="AE193" s="23" t="s">
        <v>2457</v>
      </c>
    </row>
    <row r="194" spans="1:31" hidden="1" x14ac:dyDescent="0.25">
      <c r="A194">
        <v>193</v>
      </c>
      <c r="B194" t="s">
        <v>69</v>
      </c>
      <c r="C194" t="s">
        <v>2291</v>
      </c>
      <c r="D194" t="s">
        <v>2146</v>
      </c>
      <c r="E194" t="s">
        <v>35</v>
      </c>
      <c r="F194" t="s">
        <v>162</v>
      </c>
      <c r="G194" t="s">
        <v>2292</v>
      </c>
      <c r="H194" t="s">
        <v>2293</v>
      </c>
      <c r="I194" t="s">
        <v>163</v>
      </c>
      <c r="J194" t="s">
        <v>2294</v>
      </c>
      <c r="K194" t="s">
        <v>2295</v>
      </c>
      <c r="L194" s="23" t="s">
        <v>2458</v>
      </c>
      <c r="M194" s="23" t="s">
        <v>1418</v>
      </c>
      <c r="N194" s="23" t="s">
        <v>347</v>
      </c>
      <c r="O194" s="23" t="s">
        <v>2459</v>
      </c>
      <c r="P194" s="23" t="s">
        <v>2460</v>
      </c>
      <c r="Q194" s="23" t="s">
        <v>2109</v>
      </c>
      <c r="R194" s="23" t="s">
        <v>591</v>
      </c>
      <c r="S194" s="23" t="s">
        <v>2461</v>
      </c>
      <c r="T194" s="23" t="s">
        <v>2462</v>
      </c>
      <c r="U194" s="23" t="s">
        <v>895</v>
      </c>
      <c r="V194" s="23" t="s">
        <v>69</v>
      </c>
      <c r="W194" s="23" t="s">
        <v>2463</v>
      </c>
      <c r="X194" s="23" t="s">
        <v>2464</v>
      </c>
      <c r="Y194" s="23" t="s">
        <v>1061</v>
      </c>
      <c r="Z194" s="23" t="s">
        <v>138</v>
      </c>
      <c r="AA194" s="23" t="s">
        <v>2465</v>
      </c>
      <c r="AB194" s="23" t="s">
        <v>2466</v>
      </c>
      <c r="AC194" s="23" t="s">
        <v>2332</v>
      </c>
      <c r="AD194" s="23" t="s">
        <v>895</v>
      </c>
      <c r="AE194" s="23" t="s">
        <v>2467</v>
      </c>
    </row>
    <row r="195" spans="1:31" hidden="1" x14ac:dyDescent="0.25">
      <c r="A195">
        <v>194</v>
      </c>
      <c r="B195" t="s">
        <v>69</v>
      </c>
      <c r="C195" t="s">
        <v>2305</v>
      </c>
      <c r="D195" t="s">
        <v>2146</v>
      </c>
      <c r="E195" t="s">
        <v>35</v>
      </c>
      <c r="F195" t="s">
        <v>162</v>
      </c>
      <c r="G195" t="s">
        <v>2306</v>
      </c>
      <c r="H195" t="s">
        <v>2307</v>
      </c>
      <c r="I195" t="s">
        <v>240</v>
      </c>
      <c r="J195" t="s">
        <v>2308</v>
      </c>
      <c r="K195" t="s">
        <v>2309</v>
      </c>
      <c r="L195" s="23" t="s">
        <v>2468</v>
      </c>
      <c r="M195" s="23" t="s">
        <v>1500</v>
      </c>
      <c r="N195" s="23" t="s">
        <v>77</v>
      </c>
      <c r="O195" s="23" t="s">
        <v>2469</v>
      </c>
      <c r="P195" s="23" t="s">
        <v>2470</v>
      </c>
      <c r="Q195" s="23" t="s">
        <v>1100</v>
      </c>
      <c r="R195" s="23" t="s">
        <v>103</v>
      </c>
      <c r="S195" s="23" t="s">
        <v>2471</v>
      </c>
      <c r="T195" s="23" t="s">
        <v>2472</v>
      </c>
      <c r="U195" s="23" t="s">
        <v>981</v>
      </c>
      <c r="V195" s="23" t="s">
        <v>257</v>
      </c>
      <c r="W195" s="23" t="s">
        <v>2473</v>
      </c>
      <c r="X195" s="23" t="s">
        <v>2474</v>
      </c>
      <c r="Y195" s="23" t="s">
        <v>173</v>
      </c>
      <c r="Z195" s="23" t="s">
        <v>246</v>
      </c>
      <c r="AA195" s="23" t="s">
        <v>2475</v>
      </c>
      <c r="AB195" s="23" t="s">
        <v>2476</v>
      </c>
      <c r="AC195" s="23" t="s">
        <v>1524</v>
      </c>
      <c r="AD195" s="23" t="s">
        <v>156</v>
      </c>
      <c r="AE195" s="23" t="s">
        <v>2477</v>
      </c>
    </row>
    <row r="196" spans="1:31" hidden="1" x14ac:dyDescent="0.25">
      <c r="A196">
        <v>195</v>
      </c>
      <c r="B196" t="s">
        <v>69</v>
      </c>
      <c r="C196" t="s">
        <v>2322</v>
      </c>
      <c r="D196" t="s">
        <v>2146</v>
      </c>
      <c r="E196" t="s">
        <v>35</v>
      </c>
      <c r="F196" t="s">
        <v>162</v>
      </c>
      <c r="G196" t="s">
        <v>2323</v>
      </c>
      <c r="H196" t="s">
        <v>2307</v>
      </c>
      <c r="I196" t="s">
        <v>300</v>
      </c>
      <c r="J196" t="s">
        <v>2308</v>
      </c>
      <c r="K196" t="s">
        <v>2309</v>
      </c>
      <c r="L196" s="23" t="s">
        <v>1272</v>
      </c>
      <c r="M196" s="23" t="s">
        <v>1272</v>
      </c>
      <c r="N196" s="23" t="s">
        <v>1272</v>
      </c>
      <c r="O196" s="23" t="s">
        <v>1272</v>
      </c>
      <c r="P196" s="23" t="s">
        <v>1272</v>
      </c>
      <c r="Q196" s="23" t="s">
        <v>1272</v>
      </c>
      <c r="R196" s="23" t="s">
        <v>1272</v>
      </c>
      <c r="S196" s="23" t="s">
        <v>1272</v>
      </c>
      <c r="T196" s="23" t="s">
        <v>1272</v>
      </c>
      <c r="U196" s="23" t="s">
        <v>1272</v>
      </c>
      <c r="V196" s="23" t="s">
        <v>1272</v>
      </c>
      <c r="W196" s="23" t="s">
        <v>1272</v>
      </c>
      <c r="X196" s="23" t="s">
        <v>1272</v>
      </c>
      <c r="Y196" s="23" t="s">
        <v>1272</v>
      </c>
      <c r="Z196" s="23" t="s">
        <v>1272</v>
      </c>
      <c r="AA196" s="23" t="s">
        <v>1272</v>
      </c>
      <c r="AB196" s="23" t="s">
        <v>1272</v>
      </c>
      <c r="AC196" s="23" t="s">
        <v>1272</v>
      </c>
      <c r="AD196" s="23" t="s">
        <v>1272</v>
      </c>
      <c r="AE196" s="23" t="s">
        <v>1272</v>
      </c>
    </row>
    <row r="197" spans="1:31" hidden="1" x14ac:dyDescent="0.25">
      <c r="A197">
        <v>196</v>
      </c>
      <c r="B197" t="s">
        <v>69</v>
      </c>
      <c r="C197" t="s">
        <v>2324</v>
      </c>
      <c r="D197" t="s">
        <v>2146</v>
      </c>
      <c r="E197" t="s">
        <v>35</v>
      </c>
      <c r="F197" t="s">
        <v>162</v>
      </c>
      <c r="G197" t="s">
        <v>2325</v>
      </c>
      <c r="H197" t="s">
        <v>2326</v>
      </c>
      <c r="I197" t="s">
        <v>240</v>
      </c>
      <c r="J197" t="s">
        <v>2327</v>
      </c>
      <c r="K197" t="s">
        <v>2328</v>
      </c>
      <c r="L197" s="23" t="s">
        <v>2478</v>
      </c>
      <c r="M197" s="23" t="s">
        <v>301</v>
      </c>
      <c r="N197" s="23" t="s">
        <v>77</v>
      </c>
      <c r="O197" s="23" t="s">
        <v>2479</v>
      </c>
      <c r="P197" s="23" t="s">
        <v>2480</v>
      </c>
      <c r="Q197" s="23" t="s">
        <v>1283</v>
      </c>
      <c r="R197" s="23" t="s">
        <v>119</v>
      </c>
      <c r="S197" s="23" t="s">
        <v>2481</v>
      </c>
      <c r="T197" s="23" t="s">
        <v>2482</v>
      </c>
      <c r="U197" s="23" t="s">
        <v>991</v>
      </c>
      <c r="V197" s="23" t="s">
        <v>193</v>
      </c>
      <c r="W197" s="23" t="s">
        <v>2483</v>
      </c>
      <c r="X197" s="23" t="s">
        <v>2484</v>
      </c>
      <c r="Y197" s="23" t="s">
        <v>1052</v>
      </c>
      <c r="Z197" s="23" t="s">
        <v>574</v>
      </c>
      <c r="AA197" s="23" t="s">
        <v>2485</v>
      </c>
      <c r="AB197" s="23" t="s">
        <v>1425</v>
      </c>
      <c r="AC197" s="23" t="s">
        <v>662</v>
      </c>
      <c r="AD197" s="23" t="s">
        <v>133</v>
      </c>
      <c r="AE197" s="23" t="s">
        <v>2486</v>
      </c>
    </row>
    <row r="198" spans="1:31" hidden="1" x14ac:dyDescent="0.25">
      <c r="A198">
        <v>197</v>
      </c>
      <c r="B198" t="s">
        <v>69</v>
      </c>
      <c r="C198" t="s">
        <v>2337</v>
      </c>
      <c r="D198" t="s">
        <v>2146</v>
      </c>
      <c r="E198" t="s">
        <v>35</v>
      </c>
      <c r="F198" t="s">
        <v>162</v>
      </c>
      <c r="G198" t="s">
        <v>2338</v>
      </c>
      <c r="H198" t="s">
        <v>2326</v>
      </c>
      <c r="I198" t="s">
        <v>240</v>
      </c>
      <c r="J198" t="s">
        <v>2339</v>
      </c>
      <c r="K198" t="s">
        <v>2340</v>
      </c>
      <c r="L198" s="23" t="s">
        <v>2487</v>
      </c>
      <c r="M198" s="23" t="s">
        <v>2288</v>
      </c>
      <c r="N198" s="23" t="s">
        <v>192</v>
      </c>
      <c r="O198" s="23" t="s">
        <v>2488</v>
      </c>
      <c r="P198" s="23" t="s">
        <v>2489</v>
      </c>
      <c r="Q198" s="23" t="s">
        <v>2490</v>
      </c>
      <c r="R198" s="23" t="s">
        <v>85</v>
      </c>
      <c r="S198" s="23" t="s">
        <v>2491</v>
      </c>
      <c r="T198" s="23" t="s">
        <v>2492</v>
      </c>
      <c r="U198" s="23" t="s">
        <v>592</v>
      </c>
      <c r="V198" s="23" t="s">
        <v>76</v>
      </c>
      <c r="W198" s="23" t="s">
        <v>2493</v>
      </c>
      <c r="X198" s="23" t="s">
        <v>2494</v>
      </c>
      <c r="Y198" s="23" t="s">
        <v>469</v>
      </c>
      <c r="Z198" s="23" t="s">
        <v>477</v>
      </c>
      <c r="AA198" s="23" t="s">
        <v>2495</v>
      </c>
      <c r="AB198" s="23" t="s">
        <v>2496</v>
      </c>
      <c r="AC198" s="23" t="s">
        <v>2497</v>
      </c>
      <c r="AD198" s="23" t="s">
        <v>2498</v>
      </c>
      <c r="AE198" s="23" t="s">
        <v>2499</v>
      </c>
    </row>
    <row r="199" spans="1:31" hidden="1" x14ac:dyDescent="0.25">
      <c r="A199">
        <v>198</v>
      </c>
      <c r="B199" t="s">
        <v>69</v>
      </c>
      <c r="C199" t="s">
        <v>2354</v>
      </c>
      <c r="D199" t="s">
        <v>2146</v>
      </c>
      <c r="E199" t="s">
        <v>35</v>
      </c>
      <c r="F199" t="s">
        <v>162</v>
      </c>
      <c r="G199" t="s">
        <v>2355</v>
      </c>
      <c r="H199" t="s">
        <v>2356</v>
      </c>
      <c r="I199" t="s">
        <v>240</v>
      </c>
      <c r="J199" t="s">
        <v>2357</v>
      </c>
      <c r="K199" t="s">
        <v>2358</v>
      </c>
      <c r="L199" s="23" t="s">
        <v>2500</v>
      </c>
      <c r="M199" s="23" t="s">
        <v>495</v>
      </c>
      <c r="N199" s="23" t="s">
        <v>150</v>
      </c>
      <c r="O199" s="23" t="s">
        <v>2501</v>
      </c>
      <c r="P199" s="23" t="s">
        <v>2502</v>
      </c>
      <c r="Q199" s="23" t="s">
        <v>1845</v>
      </c>
      <c r="R199" s="23" t="s">
        <v>213</v>
      </c>
      <c r="S199" s="23" t="s">
        <v>2503</v>
      </c>
      <c r="T199" s="23" t="s">
        <v>2504</v>
      </c>
      <c r="U199" s="23" t="s">
        <v>477</v>
      </c>
      <c r="V199" s="23" t="s">
        <v>114</v>
      </c>
      <c r="W199" s="23" t="s">
        <v>2505</v>
      </c>
      <c r="X199" s="23" t="s">
        <v>2506</v>
      </c>
      <c r="Y199" s="23" t="s">
        <v>542</v>
      </c>
      <c r="Z199" s="23" t="s">
        <v>244</v>
      </c>
      <c r="AA199" s="23" t="s">
        <v>2507</v>
      </c>
      <c r="AB199" s="23" t="s">
        <v>2508</v>
      </c>
      <c r="AC199" s="23" t="s">
        <v>2509</v>
      </c>
      <c r="AD199" s="23" t="s">
        <v>130</v>
      </c>
      <c r="AE199" s="23" t="s">
        <v>2510</v>
      </c>
    </row>
    <row r="200" spans="1:31" hidden="1" x14ac:dyDescent="0.25">
      <c r="A200">
        <v>199</v>
      </c>
      <c r="B200" t="s">
        <v>130</v>
      </c>
      <c r="C200" t="s">
        <v>2511</v>
      </c>
      <c r="D200" t="s">
        <v>2512</v>
      </c>
      <c r="E200" t="s">
        <v>35</v>
      </c>
      <c r="F200" t="s">
        <v>36</v>
      </c>
      <c r="G200" t="s">
        <v>2513</v>
      </c>
      <c r="H200" t="s">
        <v>2514</v>
      </c>
      <c r="I200" t="s">
        <v>163</v>
      </c>
      <c r="J200" t="s">
        <v>2515</v>
      </c>
      <c r="K200" t="s">
        <v>2516</v>
      </c>
      <c r="L200" s="23" t="s">
        <v>2517</v>
      </c>
      <c r="M200" s="23" t="s">
        <v>107</v>
      </c>
      <c r="N200" s="23" t="s">
        <v>524</v>
      </c>
      <c r="O200" s="23" t="s">
        <v>2518</v>
      </c>
      <c r="P200" s="23" t="s">
        <v>2519</v>
      </c>
      <c r="Q200" s="23" t="s">
        <v>86</v>
      </c>
      <c r="R200" s="23" t="s">
        <v>2520</v>
      </c>
      <c r="S200" s="23" t="s">
        <v>2521</v>
      </c>
      <c r="T200" s="23" t="s">
        <v>2522</v>
      </c>
      <c r="U200" s="23" t="s">
        <v>2523</v>
      </c>
      <c r="V200" s="23" t="s">
        <v>70</v>
      </c>
      <c r="W200" s="23" t="s">
        <v>2524</v>
      </c>
      <c r="X200" s="23" t="s">
        <v>2525</v>
      </c>
      <c r="Y200" s="23" t="s">
        <v>2526</v>
      </c>
      <c r="Z200" s="23" t="s">
        <v>2527</v>
      </c>
      <c r="AA200" s="23" t="s">
        <v>2528</v>
      </c>
      <c r="AB200" s="23" t="s">
        <v>2529</v>
      </c>
      <c r="AC200" s="23" t="s">
        <v>2530</v>
      </c>
      <c r="AD200" s="23" t="s">
        <v>2531</v>
      </c>
      <c r="AE200" s="23" t="s">
        <v>2532</v>
      </c>
    </row>
    <row r="201" spans="1:31" hidden="1" x14ac:dyDescent="0.25">
      <c r="A201">
        <v>200</v>
      </c>
      <c r="B201" t="s">
        <v>130</v>
      </c>
      <c r="C201" t="s">
        <v>2533</v>
      </c>
      <c r="D201" t="s">
        <v>2512</v>
      </c>
      <c r="E201" t="s">
        <v>35</v>
      </c>
      <c r="F201" t="s">
        <v>36</v>
      </c>
      <c r="G201" t="s">
        <v>2534</v>
      </c>
      <c r="H201" t="s">
        <v>2514</v>
      </c>
      <c r="I201" t="s">
        <v>163</v>
      </c>
      <c r="J201" t="s">
        <v>2535</v>
      </c>
      <c r="K201" t="s">
        <v>2536</v>
      </c>
      <c r="L201" s="23" t="s">
        <v>2537</v>
      </c>
      <c r="M201" s="23" t="s">
        <v>1388</v>
      </c>
      <c r="N201" s="23" t="s">
        <v>301</v>
      </c>
      <c r="O201" s="23" t="s">
        <v>2538</v>
      </c>
      <c r="P201" s="23" t="s">
        <v>2539</v>
      </c>
      <c r="Q201" s="23" t="s">
        <v>47</v>
      </c>
      <c r="R201" s="23" t="s">
        <v>1155</v>
      </c>
      <c r="S201" s="23" t="s">
        <v>2540</v>
      </c>
      <c r="T201" s="23" t="s">
        <v>2541</v>
      </c>
      <c r="U201" s="23" t="s">
        <v>2366</v>
      </c>
      <c r="V201" s="23" t="s">
        <v>233</v>
      </c>
      <c r="W201" s="23" t="s">
        <v>2542</v>
      </c>
      <c r="X201" s="23" t="s">
        <v>2543</v>
      </c>
      <c r="Y201" s="23" t="s">
        <v>1155</v>
      </c>
      <c r="Z201" s="23" t="s">
        <v>366</v>
      </c>
      <c r="AA201" s="23" t="s">
        <v>2544</v>
      </c>
      <c r="AB201" s="23" t="s">
        <v>2545</v>
      </c>
      <c r="AC201" s="23" t="s">
        <v>2546</v>
      </c>
      <c r="AD201" s="23" t="s">
        <v>2547</v>
      </c>
      <c r="AE201" s="23" t="s">
        <v>2548</v>
      </c>
    </row>
    <row r="202" spans="1:31" hidden="1" x14ac:dyDescent="0.25">
      <c r="A202">
        <v>201</v>
      </c>
      <c r="B202" t="s">
        <v>130</v>
      </c>
      <c r="C202" t="s">
        <v>2549</v>
      </c>
      <c r="D202" t="s">
        <v>2512</v>
      </c>
      <c r="E202" t="s">
        <v>35</v>
      </c>
      <c r="F202" t="s">
        <v>36</v>
      </c>
      <c r="G202" t="s">
        <v>2550</v>
      </c>
      <c r="H202" t="s">
        <v>2514</v>
      </c>
      <c r="I202" t="s">
        <v>163</v>
      </c>
      <c r="J202" t="s">
        <v>2551</v>
      </c>
      <c r="K202" t="s">
        <v>2552</v>
      </c>
      <c r="L202" s="23" t="s">
        <v>2553</v>
      </c>
      <c r="M202" s="23" t="s">
        <v>1579</v>
      </c>
      <c r="N202" s="23" t="s">
        <v>192</v>
      </c>
      <c r="O202" s="23" t="s">
        <v>2554</v>
      </c>
      <c r="P202" s="23" t="s">
        <v>2555</v>
      </c>
      <c r="Q202" s="23" t="s">
        <v>2556</v>
      </c>
      <c r="R202" s="23" t="s">
        <v>133</v>
      </c>
      <c r="S202" s="23" t="s">
        <v>2557</v>
      </c>
      <c r="T202" s="23" t="s">
        <v>2558</v>
      </c>
      <c r="U202" s="23" t="s">
        <v>1142</v>
      </c>
      <c r="V202" s="23" t="s">
        <v>246</v>
      </c>
      <c r="W202" s="23" t="s">
        <v>2559</v>
      </c>
      <c r="X202" s="23" t="s">
        <v>2560</v>
      </c>
      <c r="Y202" s="23" t="s">
        <v>1809</v>
      </c>
      <c r="Z202" s="23" t="s">
        <v>590</v>
      </c>
      <c r="AA202" s="23" t="s">
        <v>2561</v>
      </c>
      <c r="AB202" s="23" t="s">
        <v>2562</v>
      </c>
      <c r="AC202" s="23" t="s">
        <v>2563</v>
      </c>
      <c r="AD202" s="23" t="s">
        <v>1743</v>
      </c>
      <c r="AE202" s="23" t="s">
        <v>2564</v>
      </c>
    </row>
    <row r="203" spans="1:31" hidden="1" x14ac:dyDescent="0.25">
      <c r="A203">
        <v>202</v>
      </c>
      <c r="B203" t="s">
        <v>130</v>
      </c>
      <c r="C203" t="s">
        <v>2565</v>
      </c>
      <c r="D203" t="s">
        <v>2512</v>
      </c>
      <c r="E203" t="s">
        <v>35</v>
      </c>
      <c r="F203" t="s">
        <v>36</v>
      </c>
      <c r="G203" t="s">
        <v>2566</v>
      </c>
      <c r="H203" t="s">
        <v>2567</v>
      </c>
      <c r="I203" t="s">
        <v>163</v>
      </c>
      <c r="J203" t="s">
        <v>2568</v>
      </c>
      <c r="K203" t="s">
        <v>2569</v>
      </c>
      <c r="L203" s="23" t="s">
        <v>2570</v>
      </c>
      <c r="M203" s="23" t="s">
        <v>2109</v>
      </c>
      <c r="N203" s="23" t="s">
        <v>247</v>
      </c>
      <c r="O203" s="23" t="s">
        <v>2571</v>
      </c>
      <c r="P203" s="23" t="s">
        <v>2572</v>
      </c>
      <c r="Q203" s="23" t="s">
        <v>2573</v>
      </c>
      <c r="R203" s="23" t="s">
        <v>1125</v>
      </c>
      <c r="S203" s="23" t="s">
        <v>2574</v>
      </c>
      <c r="T203" s="23" t="s">
        <v>2575</v>
      </c>
      <c r="U203" s="23" t="s">
        <v>2085</v>
      </c>
      <c r="V203" s="23" t="s">
        <v>32</v>
      </c>
      <c r="W203" s="23" t="s">
        <v>2576</v>
      </c>
      <c r="X203" s="23" t="s">
        <v>2577</v>
      </c>
      <c r="Y203" s="23" t="s">
        <v>1357</v>
      </c>
      <c r="Z203" s="23" t="s">
        <v>444</v>
      </c>
      <c r="AA203" s="23" t="s">
        <v>2578</v>
      </c>
      <c r="AB203" s="23" t="s">
        <v>2579</v>
      </c>
      <c r="AC203" s="23" t="s">
        <v>2580</v>
      </c>
      <c r="AD203" s="23" t="s">
        <v>651</v>
      </c>
      <c r="AE203" s="23" t="s">
        <v>2581</v>
      </c>
    </row>
    <row r="204" spans="1:31" hidden="1" x14ac:dyDescent="0.25">
      <c r="A204">
        <v>203</v>
      </c>
      <c r="B204" t="s">
        <v>130</v>
      </c>
      <c r="C204" t="s">
        <v>2582</v>
      </c>
      <c r="D204" t="s">
        <v>2512</v>
      </c>
      <c r="E204" t="s">
        <v>35</v>
      </c>
      <c r="F204" t="s">
        <v>36</v>
      </c>
      <c r="G204" t="s">
        <v>2583</v>
      </c>
      <c r="H204" t="s">
        <v>2584</v>
      </c>
      <c r="I204" t="s">
        <v>163</v>
      </c>
      <c r="J204" t="s">
        <v>2585</v>
      </c>
      <c r="K204" t="s">
        <v>2586</v>
      </c>
      <c r="L204" s="23" t="s">
        <v>2587</v>
      </c>
      <c r="M204" s="23" t="s">
        <v>2188</v>
      </c>
      <c r="N204" s="23" t="s">
        <v>94</v>
      </c>
      <c r="O204" s="23" t="s">
        <v>2588</v>
      </c>
      <c r="P204" s="23" t="s">
        <v>2431</v>
      </c>
      <c r="Q204" s="23" t="s">
        <v>2589</v>
      </c>
      <c r="R204" s="23" t="s">
        <v>104</v>
      </c>
      <c r="S204" s="23" t="s">
        <v>1396</v>
      </c>
      <c r="T204" s="23" t="s">
        <v>2064</v>
      </c>
      <c r="U204" s="23" t="s">
        <v>1325</v>
      </c>
      <c r="V204" s="23" t="s">
        <v>150</v>
      </c>
      <c r="W204" s="23" t="s">
        <v>2590</v>
      </c>
      <c r="X204" s="23" t="s">
        <v>2591</v>
      </c>
      <c r="Y204" s="23" t="s">
        <v>2592</v>
      </c>
      <c r="Z204" s="23" t="s">
        <v>150</v>
      </c>
      <c r="AA204" s="23" t="s">
        <v>2593</v>
      </c>
      <c r="AB204" s="23" t="s">
        <v>2594</v>
      </c>
      <c r="AC204" s="23" t="s">
        <v>2595</v>
      </c>
      <c r="AD204" s="23" t="s">
        <v>32</v>
      </c>
      <c r="AE204" s="23" t="s">
        <v>2596</v>
      </c>
    </row>
    <row r="205" spans="1:31" hidden="1" x14ac:dyDescent="0.25">
      <c r="A205">
        <v>204</v>
      </c>
      <c r="B205" t="s">
        <v>130</v>
      </c>
      <c r="C205" t="s">
        <v>2597</v>
      </c>
      <c r="D205" t="s">
        <v>2512</v>
      </c>
      <c r="E205" t="s">
        <v>35</v>
      </c>
      <c r="F205" t="s">
        <v>36</v>
      </c>
      <c r="G205" t="s">
        <v>2583</v>
      </c>
      <c r="H205" t="s">
        <v>2584</v>
      </c>
      <c r="I205" t="s">
        <v>163</v>
      </c>
      <c r="J205" t="s">
        <v>2585</v>
      </c>
      <c r="K205" t="s">
        <v>2586</v>
      </c>
      <c r="L205" s="23" t="s">
        <v>1272</v>
      </c>
      <c r="M205" s="23" t="s">
        <v>1272</v>
      </c>
      <c r="N205" s="23" t="s">
        <v>1272</v>
      </c>
      <c r="O205" s="23" t="s">
        <v>1272</v>
      </c>
      <c r="P205" s="23" t="s">
        <v>1272</v>
      </c>
      <c r="Q205" s="23" t="s">
        <v>1272</v>
      </c>
      <c r="R205" s="23" t="s">
        <v>1272</v>
      </c>
      <c r="S205" s="23" t="s">
        <v>1272</v>
      </c>
      <c r="T205" s="23" t="s">
        <v>1272</v>
      </c>
      <c r="U205" s="23" t="s">
        <v>1272</v>
      </c>
      <c r="V205" s="23" t="s">
        <v>1272</v>
      </c>
      <c r="W205" s="23" t="s">
        <v>1272</v>
      </c>
      <c r="X205" s="23" t="s">
        <v>1272</v>
      </c>
      <c r="Y205" s="23" t="s">
        <v>1272</v>
      </c>
      <c r="Z205" s="23" t="s">
        <v>1272</v>
      </c>
      <c r="AA205" s="23" t="s">
        <v>1272</v>
      </c>
      <c r="AB205" s="23" t="s">
        <v>1272</v>
      </c>
      <c r="AC205" s="23" t="s">
        <v>1272</v>
      </c>
      <c r="AD205" s="23" t="s">
        <v>1272</v>
      </c>
      <c r="AE205" s="23" t="s">
        <v>1272</v>
      </c>
    </row>
    <row r="206" spans="1:31" hidden="1" x14ac:dyDescent="0.25">
      <c r="A206">
        <v>205</v>
      </c>
      <c r="B206" t="s">
        <v>130</v>
      </c>
      <c r="C206" t="s">
        <v>2598</v>
      </c>
      <c r="D206" t="s">
        <v>2512</v>
      </c>
      <c r="E206" t="s">
        <v>35</v>
      </c>
      <c r="F206" t="s">
        <v>36</v>
      </c>
      <c r="G206" t="s">
        <v>2599</v>
      </c>
      <c r="H206" t="s">
        <v>2584</v>
      </c>
      <c r="I206" t="s">
        <v>163</v>
      </c>
      <c r="J206" t="s">
        <v>2585</v>
      </c>
      <c r="K206" t="s">
        <v>2586</v>
      </c>
      <c r="L206" s="23" t="s">
        <v>1272</v>
      </c>
      <c r="M206" s="23" t="s">
        <v>1272</v>
      </c>
      <c r="N206" s="23" t="s">
        <v>1272</v>
      </c>
      <c r="O206" s="23" t="s">
        <v>1272</v>
      </c>
      <c r="P206" s="23" t="s">
        <v>1272</v>
      </c>
      <c r="Q206" s="23" t="s">
        <v>1272</v>
      </c>
      <c r="R206" s="23" t="s">
        <v>1272</v>
      </c>
      <c r="S206" s="23" t="s">
        <v>1272</v>
      </c>
      <c r="T206" s="23" t="s">
        <v>1272</v>
      </c>
      <c r="U206" s="23" t="s">
        <v>1272</v>
      </c>
      <c r="V206" s="23" t="s">
        <v>1272</v>
      </c>
      <c r="W206" s="23" t="s">
        <v>1272</v>
      </c>
      <c r="X206" s="23" t="s">
        <v>1272</v>
      </c>
      <c r="Y206" s="23" t="s">
        <v>1272</v>
      </c>
      <c r="Z206" s="23" t="s">
        <v>1272</v>
      </c>
      <c r="AA206" s="23" t="s">
        <v>1272</v>
      </c>
      <c r="AB206" s="23" t="s">
        <v>1272</v>
      </c>
      <c r="AC206" s="23" t="s">
        <v>1272</v>
      </c>
      <c r="AD206" s="23" t="s">
        <v>1272</v>
      </c>
      <c r="AE206" s="23" t="s">
        <v>1272</v>
      </c>
    </row>
    <row r="207" spans="1:31" hidden="1" x14ac:dyDescent="0.25">
      <c r="A207">
        <v>206</v>
      </c>
      <c r="B207" t="s">
        <v>130</v>
      </c>
      <c r="C207" t="s">
        <v>2600</v>
      </c>
      <c r="D207" t="s">
        <v>2512</v>
      </c>
      <c r="E207" t="s">
        <v>35</v>
      </c>
      <c r="F207" t="s">
        <v>36</v>
      </c>
      <c r="G207" t="s">
        <v>2601</v>
      </c>
      <c r="H207" t="s">
        <v>2602</v>
      </c>
      <c r="I207" t="s">
        <v>163</v>
      </c>
      <c r="J207" t="s">
        <v>2603</v>
      </c>
      <c r="K207" t="s">
        <v>2604</v>
      </c>
      <c r="L207" s="23" t="s">
        <v>2458</v>
      </c>
      <c r="M207" s="23" t="s">
        <v>303</v>
      </c>
      <c r="N207" s="23" t="s">
        <v>77</v>
      </c>
      <c r="O207" s="23" t="s">
        <v>2605</v>
      </c>
      <c r="P207" s="23" t="s">
        <v>2606</v>
      </c>
      <c r="Q207" s="23" t="s">
        <v>160</v>
      </c>
      <c r="R207" s="23" t="s">
        <v>1032</v>
      </c>
      <c r="S207" s="23" t="s">
        <v>2607</v>
      </c>
      <c r="T207" s="23" t="s">
        <v>2608</v>
      </c>
      <c r="U207" s="23" t="s">
        <v>1032</v>
      </c>
      <c r="V207" s="23" t="s">
        <v>122</v>
      </c>
      <c r="W207" s="23" t="s">
        <v>2609</v>
      </c>
      <c r="X207" s="23" t="s">
        <v>2610</v>
      </c>
      <c r="Y207" s="23" t="s">
        <v>594</v>
      </c>
      <c r="Z207" s="23" t="s">
        <v>185</v>
      </c>
      <c r="AA207" s="23" t="s">
        <v>2611</v>
      </c>
      <c r="AB207" s="23" t="s">
        <v>2612</v>
      </c>
      <c r="AC207" s="23" t="s">
        <v>2613</v>
      </c>
      <c r="AD207" s="23" t="s">
        <v>455</v>
      </c>
      <c r="AE207" s="23" t="s">
        <v>2614</v>
      </c>
    </row>
    <row r="208" spans="1:31" hidden="1" x14ac:dyDescent="0.25">
      <c r="A208">
        <v>207</v>
      </c>
      <c r="B208" t="s">
        <v>130</v>
      </c>
      <c r="C208" t="s">
        <v>2615</v>
      </c>
      <c r="D208" t="s">
        <v>2512</v>
      </c>
      <c r="E208" t="s">
        <v>35</v>
      </c>
      <c r="F208" t="s">
        <v>36</v>
      </c>
      <c r="G208" t="s">
        <v>2616</v>
      </c>
      <c r="H208" t="s">
        <v>2602</v>
      </c>
      <c r="I208" t="s">
        <v>163</v>
      </c>
      <c r="J208" t="s">
        <v>2617</v>
      </c>
      <c r="K208" t="s">
        <v>2618</v>
      </c>
      <c r="L208" s="23" t="s">
        <v>1413</v>
      </c>
      <c r="M208" s="23" t="s">
        <v>159</v>
      </c>
      <c r="N208" s="23" t="s">
        <v>150</v>
      </c>
      <c r="O208" s="23" t="s">
        <v>2619</v>
      </c>
      <c r="P208" s="23" t="s">
        <v>1649</v>
      </c>
      <c r="Q208" s="23" t="s">
        <v>1533</v>
      </c>
      <c r="R208" s="23" t="s">
        <v>243</v>
      </c>
      <c r="S208" s="23" t="s">
        <v>533</v>
      </c>
      <c r="T208" s="23" t="s">
        <v>2620</v>
      </c>
      <c r="U208" s="23" t="s">
        <v>768</v>
      </c>
      <c r="V208" s="23" t="s">
        <v>104</v>
      </c>
      <c r="W208" s="23" t="s">
        <v>2621</v>
      </c>
      <c r="X208" s="23" t="s">
        <v>2622</v>
      </c>
      <c r="Y208" s="23" t="s">
        <v>929</v>
      </c>
      <c r="Z208" s="23" t="s">
        <v>32</v>
      </c>
      <c r="AA208" s="23" t="s">
        <v>2623</v>
      </c>
      <c r="AB208" s="23" t="s">
        <v>1140</v>
      </c>
      <c r="AC208" s="23" t="s">
        <v>1963</v>
      </c>
      <c r="AD208" s="23" t="s">
        <v>151</v>
      </c>
      <c r="AE208" s="23" t="s">
        <v>2624</v>
      </c>
    </row>
    <row r="209" spans="1:31" hidden="1" x14ac:dyDescent="0.25">
      <c r="A209">
        <v>208</v>
      </c>
      <c r="B209" t="s">
        <v>130</v>
      </c>
      <c r="C209" t="s">
        <v>2625</v>
      </c>
      <c r="D209" t="s">
        <v>2512</v>
      </c>
      <c r="E209" t="s">
        <v>35</v>
      </c>
      <c r="F209" t="s">
        <v>36</v>
      </c>
      <c r="G209" t="s">
        <v>2626</v>
      </c>
      <c r="H209" t="s">
        <v>2602</v>
      </c>
      <c r="I209" t="s">
        <v>163</v>
      </c>
      <c r="J209" t="s">
        <v>2627</v>
      </c>
      <c r="K209" t="s">
        <v>2628</v>
      </c>
      <c r="L209" s="23" t="s">
        <v>2629</v>
      </c>
      <c r="M209" s="23" t="s">
        <v>275</v>
      </c>
      <c r="N209" s="23" t="s">
        <v>246</v>
      </c>
      <c r="O209" s="23" t="s">
        <v>2444</v>
      </c>
      <c r="P209" s="23" t="s">
        <v>2630</v>
      </c>
      <c r="Q209" s="23" t="s">
        <v>84</v>
      </c>
      <c r="R209" s="23" t="s">
        <v>278</v>
      </c>
      <c r="S209" s="23" t="s">
        <v>2631</v>
      </c>
      <c r="T209" s="23" t="s">
        <v>2632</v>
      </c>
      <c r="U209" s="23" t="s">
        <v>197</v>
      </c>
      <c r="V209" s="23" t="s">
        <v>94</v>
      </c>
      <c r="W209" s="23" t="s">
        <v>1492</v>
      </c>
      <c r="X209" s="23" t="s">
        <v>2633</v>
      </c>
      <c r="Y209" s="23" t="s">
        <v>953</v>
      </c>
      <c r="Z209" s="23" t="s">
        <v>98</v>
      </c>
      <c r="AA209" s="23" t="s">
        <v>2634</v>
      </c>
      <c r="AB209" s="23" t="s">
        <v>2635</v>
      </c>
      <c r="AC209" s="23" t="s">
        <v>334</v>
      </c>
      <c r="AD209" s="23" t="s">
        <v>189</v>
      </c>
      <c r="AE209" s="23" t="s">
        <v>2636</v>
      </c>
    </row>
    <row r="210" spans="1:31" hidden="1" x14ac:dyDescent="0.25">
      <c r="A210">
        <v>209</v>
      </c>
      <c r="B210" t="s">
        <v>130</v>
      </c>
      <c r="C210" t="s">
        <v>2637</v>
      </c>
      <c r="D210" t="s">
        <v>2512</v>
      </c>
      <c r="E210" t="s">
        <v>35</v>
      </c>
      <c r="F210" t="s">
        <v>36</v>
      </c>
      <c r="G210" t="s">
        <v>2638</v>
      </c>
      <c r="H210" t="s">
        <v>2514</v>
      </c>
      <c r="I210" t="s">
        <v>163</v>
      </c>
      <c r="J210" t="s">
        <v>2639</v>
      </c>
      <c r="K210" t="s">
        <v>2640</v>
      </c>
      <c r="L210" s="23" t="s">
        <v>2641</v>
      </c>
      <c r="M210" s="23" t="s">
        <v>2642</v>
      </c>
      <c r="N210" s="23" t="s">
        <v>278</v>
      </c>
      <c r="O210" s="23" t="s">
        <v>2643</v>
      </c>
      <c r="P210" s="23" t="s">
        <v>2644</v>
      </c>
      <c r="Q210" s="23" t="s">
        <v>2645</v>
      </c>
      <c r="R210" s="23" t="s">
        <v>592</v>
      </c>
      <c r="S210" s="23" t="s">
        <v>2646</v>
      </c>
      <c r="T210" s="23" t="s">
        <v>2647</v>
      </c>
      <c r="U210" s="23" t="s">
        <v>1728</v>
      </c>
      <c r="V210" s="23" t="s">
        <v>76</v>
      </c>
      <c r="W210" s="23" t="s">
        <v>2648</v>
      </c>
      <c r="X210" s="23" t="s">
        <v>2649</v>
      </c>
      <c r="Y210" s="23" t="s">
        <v>2650</v>
      </c>
      <c r="Z210" s="23" t="s">
        <v>489</v>
      </c>
      <c r="AA210" s="23" t="s">
        <v>2651</v>
      </c>
      <c r="AB210" s="23" t="s">
        <v>2652</v>
      </c>
      <c r="AC210" s="23" t="s">
        <v>1902</v>
      </c>
      <c r="AD210" s="23" t="s">
        <v>229</v>
      </c>
      <c r="AE210" s="23" t="s">
        <v>2653</v>
      </c>
    </row>
    <row r="211" spans="1:31" hidden="1" x14ac:dyDescent="0.25">
      <c r="A211">
        <v>210</v>
      </c>
      <c r="B211" t="s">
        <v>130</v>
      </c>
      <c r="C211" t="s">
        <v>2654</v>
      </c>
      <c r="D211" t="s">
        <v>2512</v>
      </c>
      <c r="E211" t="s">
        <v>35</v>
      </c>
      <c r="F211" t="s">
        <v>36</v>
      </c>
      <c r="G211" t="s">
        <v>2655</v>
      </c>
      <c r="H211" t="s">
        <v>2514</v>
      </c>
      <c r="I211" t="s">
        <v>163</v>
      </c>
      <c r="J211" t="s">
        <v>2656</v>
      </c>
      <c r="K211" t="s">
        <v>2657</v>
      </c>
      <c r="L211" s="23" t="s">
        <v>444</v>
      </c>
      <c r="M211" s="23" t="s">
        <v>244</v>
      </c>
      <c r="N211" s="23" t="s">
        <v>94</v>
      </c>
      <c r="O211" s="23" t="s">
        <v>590</v>
      </c>
      <c r="P211" s="23" t="s">
        <v>783</v>
      </c>
      <c r="Q211" s="23" t="s">
        <v>257</v>
      </c>
      <c r="R211" s="23" t="s">
        <v>114</v>
      </c>
      <c r="S211" s="23" t="s">
        <v>1579</v>
      </c>
      <c r="T211" s="23" t="s">
        <v>1791</v>
      </c>
      <c r="U211" s="23" t="s">
        <v>104</v>
      </c>
      <c r="V211" s="23" t="s">
        <v>114</v>
      </c>
      <c r="W211" s="23" t="s">
        <v>166</v>
      </c>
      <c r="X211" s="23" t="s">
        <v>556</v>
      </c>
      <c r="Y211" s="23" t="s">
        <v>114</v>
      </c>
      <c r="Z211" s="23" t="s">
        <v>114</v>
      </c>
      <c r="AA211" s="23" t="s">
        <v>556</v>
      </c>
      <c r="AB211" s="23" t="s">
        <v>2658</v>
      </c>
      <c r="AC211" s="23" t="s">
        <v>103</v>
      </c>
      <c r="AD211" s="23" t="s">
        <v>94</v>
      </c>
      <c r="AE211" s="23" t="s">
        <v>520</v>
      </c>
    </row>
    <row r="212" spans="1:31" hidden="1" x14ac:dyDescent="0.25">
      <c r="A212">
        <v>211</v>
      </c>
      <c r="B212" t="s">
        <v>130</v>
      </c>
      <c r="C212" t="s">
        <v>2659</v>
      </c>
      <c r="D212" t="s">
        <v>2512</v>
      </c>
      <c r="E212" t="s">
        <v>35</v>
      </c>
      <c r="F212" t="s">
        <v>36</v>
      </c>
      <c r="G212" t="s">
        <v>2660</v>
      </c>
      <c r="H212" t="s">
        <v>2661</v>
      </c>
      <c r="I212" t="s">
        <v>163</v>
      </c>
      <c r="J212" t="s">
        <v>2662</v>
      </c>
      <c r="K212" t="s">
        <v>2663</v>
      </c>
      <c r="L212" s="23" t="s">
        <v>1315</v>
      </c>
      <c r="M212" s="23" t="s">
        <v>226</v>
      </c>
      <c r="N212" s="23" t="s">
        <v>150</v>
      </c>
      <c r="O212" s="23" t="s">
        <v>2064</v>
      </c>
      <c r="P212" s="23" t="s">
        <v>814</v>
      </c>
      <c r="Q212" s="23" t="s">
        <v>772</v>
      </c>
      <c r="R212" s="23" t="s">
        <v>150</v>
      </c>
      <c r="S212" s="23" t="s">
        <v>2664</v>
      </c>
      <c r="T212" s="23" t="s">
        <v>2665</v>
      </c>
      <c r="U212" s="23" t="s">
        <v>192</v>
      </c>
      <c r="V212" s="23" t="s">
        <v>94</v>
      </c>
      <c r="W212" s="23" t="s">
        <v>2666</v>
      </c>
      <c r="X212" s="23" t="s">
        <v>575</v>
      </c>
      <c r="Y212" s="23" t="s">
        <v>97</v>
      </c>
      <c r="Z212" s="23" t="s">
        <v>150</v>
      </c>
      <c r="AA212" s="23" t="s">
        <v>2667</v>
      </c>
      <c r="AB212" s="23" t="s">
        <v>2668</v>
      </c>
      <c r="AC212" s="23" t="s">
        <v>1144</v>
      </c>
      <c r="AD212" s="23" t="s">
        <v>213</v>
      </c>
      <c r="AE212" s="23" t="s">
        <v>2669</v>
      </c>
    </row>
    <row r="213" spans="1:31" hidden="1" x14ac:dyDescent="0.25">
      <c r="A213">
        <v>212</v>
      </c>
      <c r="B213" t="s">
        <v>130</v>
      </c>
      <c r="C213" t="s">
        <v>2511</v>
      </c>
      <c r="D213" t="s">
        <v>2512</v>
      </c>
      <c r="E213" t="s">
        <v>35</v>
      </c>
      <c r="F213" t="s">
        <v>162</v>
      </c>
      <c r="G213" t="s">
        <v>2513</v>
      </c>
      <c r="H213" t="s">
        <v>2514</v>
      </c>
      <c r="I213" t="s">
        <v>39</v>
      </c>
      <c r="J213" t="s">
        <v>2515</v>
      </c>
      <c r="K213" t="s">
        <v>2516</v>
      </c>
      <c r="L213" s="23" t="s">
        <v>847</v>
      </c>
      <c r="M213" s="23" t="s">
        <v>753</v>
      </c>
      <c r="N213" s="23" t="s">
        <v>2670</v>
      </c>
      <c r="O213" s="23" t="s">
        <v>2671</v>
      </c>
      <c r="P213" s="23" t="s">
        <v>2672</v>
      </c>
      <c r="Q213" s="23" t="s">
        <v>2673</v>
      </c>
      <c r="R213" s="23" t="s">
        <v>2674</v>
      </c>
      <c r="S213" s="23" t="s">
        <v>2675</v>
      </c>
      <c r="T213" s="23" t="s">
        <v>2676</v>
      </c>
      <c r="U213" s="23" t="s">
        <v>2677</v>
      </c>
      <c r="V213" s="23" t="s">
        <v>2678</v>
      </c>
      <c r="W213" s="23" t="s">
        <v>2679</v>
      </c>
      <c r="X213" s="23" t="s">
        <v>2680</v>
      </c>
      <c r="Y213" s="23" t="s">
        <v>2681</v>
      </c>
      <c r="Z213" s="23" t="s">
        <v>1883</v>
      </c>
      <c r="AA213" s="23" t="s">
        <v>2682</v>
      </c>
      <c r="AB213" s="23" t="s">
        <v>2683</v>
      </c>
      <c r="AC213" s="23" t="s">
        <v>2684</v>
      </c>
      <c r="AD213" s="23" t="s">
        <v>2685</v>
      </c>
      <c r="AE213" s="23" t="s">
        <v>2686</v>
      </c>
    </row>
    <row r="214" spans="1:31" hidden="1" x14ac:dyDescent="0.25">
      <c r="A214">
        <v>213</v>
      </c>
      <c r="B214" t="s">
        <v>130</v>
      </c>
      <c r="C214" t="s">
        <v>2533</v>
      </c>
      <c r="D214" t="s">
        <v>2512</v>
      </c>
      <c r="E214" t="s">
        <v>35</v>
      </c>
      <c r="F214" t="s">
        <v>162</v>
      </c>
      <c r="G214" t="s">
        <v>2534</v>
      </c>
      <c r="H214" t="s">
        <v>2514</v>
      </c>
      <c r="I214" t="s">
        <v>39</v>
      </c>
      <c r="J214" t="s">
        <v>2535</v>
      </c>
      <c r="K214" t="s">
        <v>2536</v>
      </c>
      <c r="L214" s="23" t="s">
        <v>2687</v>
      </c>
      <c r="M214" s="23" t="s">
        <v>532</v>
      </c>
      <c r="N214" s="23" t="s">
        <v>1014</v>
      </c>
      <c r="O214" s="23" t="s">
        <v>2688</v>
      </c>
      <c r="P214" s="23" t="s">
        <v>2689</v>
      </c>
      <c r="Q214" s="23" t="s">
        <v>2690</v>
      </c>
      <c r="R214" s="23" t="s">
        <v>1186</v>
      </c>
      <c r="S214" s="23" t="s">
        <v>2691</v>
      </c>
      <c r="T214" s="23" t="s">
        <v>2692</v>
      </c>
      <c r="U214" s="23" t="s">
        <v>165</v>
      </c>
      <c r="V214" s="23" t="s">
        <v>245</v>
      </c>
      <c r="W214" s="23" t="s">
        <v>164</v>
      </c>
      <c r="X214" s="23" t="s">
        <v>2693</v>
      </c>
      <c r="Y214" s="23" t="s">
        <v>1283</v>
      </c>
      <c r="Z214" s="23" t="s">
        <v>659</v>
      </c>
      <c r="AA214" s="23" t="s">
        <v>2694</v>
      </c>
      <c r="AB214" s="23" t="s">
        <v>2695</v>
      </c>
      <c r="AC214" s="23" t="s">
        <v>2696</v>
      </c>
      <c r="AD214" s="23" t="s">
        <v>1963</v>
      </c>
      <c r="AE214" s="23" t="s">
        <v>2697</v>
      </c>
    </row>
    <row r="215" spans="1:31" hidden="1" x14ac:dyDescent="0.25">
      <c r="A215">
        <v>214</v>
      </c>
      <c r="B215" t="s">
        <v>130</v>
      </c>
      <c r="C215" t="s">
        <v>2549</v>
      </c>
      <c r="D215" t="s">
        <v>2512</v>
      </c>
      <c r="E215" t="s">
        <v>35</v>
      </c>
      <c r="F215" t="s">
        <v>162</v>
      </c>
      <c r="G215" t="s">
        <v>2550</v>
      </c>
      <c r="H215" t="s">
        <v>2514</v>
      </c>
      <c r="I215" t="s">
        <v>39</v>
      </c>
      <c r="J215" t="s">
        <v>2551</v>
      </c>
      <c r="K215" t="s">
        <v>2552</v>
      </c>
      <c r="L215" s="23" t="s">
        <v>2698</v>
      </c>
      <c r="M215" s="23" t="s">
        <v>2366</v>
      </c>
      <c r="N215" s="23" t="s">
        <v>336</v>
      </c>
      <c r="O215" s="23" t="s">
        <v>2699</v>
      </c>
      <c r="P215" s="23" t="s">
        <v>2700</v>
      </c>
      <c r="Q215" s="23" t="s">
        <v>1066</v>
      </c>
      <c r="R215" s="23" t="s">
        <v>188</v>
      </c>
      <c r="S215" s="23" t="s">
        <v>2701</v>
      </c>
      <c r="T215" s="23" t="s">
        <v>2702</v>
      </c>
      <c r="U215" s="23" t="s">
        <v>1362</v>
      </c>
      <c r="V215" s="23" t="s">
        <v>32</v>
      </c>
      <c r="W215" s="23" t="s">
        <v>2703</v>
      </c>
      <c r="X215" s="23" t="s">
        <v>2704</v>
      </c>
      <c r="Y215" s="23" t="s">
        <v>1061</v>
      </c>
      <c r="Z215" s="23" t="s">
        <v>444</v>
      </c>
      <c r="AA215" s="23" t="s">
        <v>1943</v>
      </c>
      <c r="AB215" s="23" t="s">
        <v>2705</v>
      </c>
      <c r="AC215" s="23" t="s">
        <v>2706</v>
      </c>
      <c r="AD215" s="23" t="s">
        <v>1026</v>
      </c>
      <c r="AE215" s="23" t="s">
        <v>2707</v>
      </c>
    </row>
    <row r="216" spans="1:31" hidden="1" x14ac:dyDescent="0.25">
      <c r="A216">
        <v>215</v>
      </c>
      <c r="B216" t="s">
        <v>130</v>
      </c>
      <c r="C216" t="s">
        <v>2565</v>
      </c>
      <c r="D216" t="s">
        <v>2512</v>
      </c>
      <c r="E216" t="s">
        <v>35</v>
      </c>
      <c r="F216" t="s">
        <v>162</v>
      </c>
      <c r="G216" t="s">
        <v>2566</v>
      </c>
      <c r="H216" t="s">
        <v>2567</v>
      </c>
      <c r="I216" t="s">
        <v>39</v>
      </c>
      <c r="J216" t="s">
        <v>2568</v>
      </c>
      <c r="K216" t="s">
        <v>2569</v>
      </c>
      <c r="L216" s="23" t="s">
        <v>2708</v>
      </c>
      <c r="M216" s="23" t="s">
        <v>713</v>
      </c>
      <c r="N216" s="23" t="s">
        <v>76</v>
      </c>
      <c r="O216" s="23" t="s">
        <v>2709</v>
      </c>
      <c r="P216" s="23" t="s">
        <v>2572</v>
      </c>
      <c r="Q216" s="23" t="s">
        <v>471</v>
      </c>
      <c r="R216" s="23" t="s">
        <v>358</v>
      </c>
      <c r="S216" s="23" t="s">
        <v>2710</v>
      </c>
      <c r="T216" s="23" t="s">
        <v>2711</v>
      </c>
      <c r="U216" s="23" t="s">
        <v>1436</v>
      </c>
      <c r="V216" s="23" t="s">
        <v>193</v>
      </c>
      <c r="W216" s="23" t="s">
        <v>2712</v>
      </c>
      <c r="X216" s="23" t="s">
        <v>2713</v>
      </c>
      <c r="Y216" s="23" t="s">
        <v>581</v>
      </c>
      <c r="Z216" s="23" t="s">
        <v>426</v>
      </c>
      <c r="AA216" s="23" t="s">
        <v>2714</v>
      </c>
      <c r="AB216" s="23" t="s">
        <v>2715</v>
      </c>
      <c r="AC216" s="23" t="s">
        <v>2716</v>
      </c>
      <c r="AD216" s="23" t="s">
        <v>2717</v>
      </c>
      <c r="AE216" s="23" t="s">
        <v>2718</v>
      </c>
    </row>
    <row r="217" spans="1:31" hidden="1" x14ac:dyDescent="0.25">
      <c r="A217">
        <v>216</v>
      </c>
      <c r="B217" t="s">
        <v>130</v>
      </c>
      <c r="C217" t="s">
        <v>2582</v>
      </c>
      <c r="D217" t="s">
        <v>2512</v>
      </c>
      <c r="E217" t="s">
        <v>35</v>
      </c>
      <c r="F217" t="s">
        <v>162</v>
      </c>
      <c r="G217" t="s">
        <v>2583</v>
      </c>
      <c r="H217" t="s">
        <v>2584</v>
      </c>
      <c r="I217" t="s">
        <v>39</v>
      </c>
      <c r="J217" t="s">
        <v>2585</v>
      </c>
      <c r="K217" t="s">
        <v>2586</v>
      </c>
      <c r="L217" s="23" t="s">
        <v>79</v>
      </c>
      <c r="M217" s="23" t="s">
        <v>2102</v>
      </c>
      <c r="N217" s="23" t="s">
        <v>114</v>
      </c>
      <c r="O217" s="23" t="s">
        <v>2719</v>
      </c>
      <c r="P217" s="23" t="s">
        <v>2720</v>
      </c>
      <c r="Q217" s="23" t="s">
        <v>1022</v>
      </c>
      <c r="R217" s="23" t="s">
        <v>32</v>
      </c>
      <c r="S217" s="23" t="s">
        <v>2721</v>
      </c>
      <c r="T217" s="23" t="s">
        <v>1688</v>
      </c>
      <c r="U217" s="23" t="s">
        <v>1633</v>
      </c>
      <c r="V217" s="23" t="s">
        <v>94</v>
      </c>
      <c r="W217" s="23" t="s">
        <v>2722</v>
      </c>
      <c r="X217" s="23" t="s">
        <v>1888</v>
      </c>
      <c r="Y217" s="23" t="s">
        <v>2723</v>
      </c>
      <c r="Z217" s="23" t="s">
        <v>150</v>
      </c>
      <c r="AA217" s="23" t="s">
        <v>2443</v>
      </c>
      <c r="AB217" s="23" t="s">
        <v>2724</v>
      </c>
      <c r="AC217" s="23" t="s">
        <v>2725</v>
      </c>
      <c r="AD217" s="23" t="s">
        <v>93</v>
      </c>
      <c r="AE217" s="23" t="s">
        <v>2726</v>
      </c>
    </row>
    <row r="218" spans="1:31" hidden="1" x14ac:dyDescent="0.25">
      <c r="A218">
        <v>217</v>
      </c>
      <c r="B218" t="s">
        <v>130</v>
      </c>
      <c r="C218" t="s">
        <v>2597</v>
      </c>
      <c r="D218" t="s">
        <v>2512</v>
      </c>
      <c r="E218" t="s">
        <v>35</v>
      </c>
      <c r="F218" t="s">
        <v>162</v>
      </c>
      <c r="G218" t="s">
        <v>2583</v>
      </c>
      <c r="H218" t="s">
        <v>2584</v>
      </c>
      <c r="I218" t="s">
        <v>39</v>
      </c>
      <c r="J218" t="s">
        <v>2585</v>
      </c>
      <c r="K218" t="s">
        <v>2586</v>
      </c>
      <c r="L218" s="23" t="s">
        <v>1272</v>
      </c>
      <c r="M218" s="23" t="s">
        <v>1272</v>
      </c>
      <c r="N218" s="23" t="s">
        <v>1272</v>
      </c>
      <c r="O218" s="23" t="s">
        <v>1272</v>
      </c>
      <c r="P218" s="23" t="s">
        <v>1272</v>
      </c>
      <c r="Q218" s="23" t="s">
        <v>1272</v>
      </c>
      <c r="R218" s="23" t="s">
        <v>1272</v>
      </c>
      <c r="S218" s="23" t="s">
        <v>1272</v>
      </c>
      <c r="T218" s="23" t="s">
        <v>1272</v>
      </c>
      <c r="U218" s="23" t="s">
        <v>1272</v>
      </c>
      <c r="V218" s="23" t="s">
        <v>1272</v>
      </c>
      <c r="W218" s="23" t="s">
        <v>1272</v>
      </c>
      <c r="X218" s="23" t="s">
        <v>1272</v>
      </c>
      <c r="Y218" s="23" t="s">
        <v>1272</v>
      </c>
      <c r="Z218" s="23" t="s">
        <v>1272</v>
      </c>
      <c r="AA218" s="23" t="s">
        <v>1272</v>
      </c>
      <c r="AB218" s="23" t="s">
        <v>1272</v>
      </c>
      <c r="AC218" s="23" t="s">
        <v>1272</v>
      </c>
      <c r="AD218" s="23" t="s">
        <v>1272</v>
      </c>
      <c r="AE218" s="23" t="s">
        <v>1272</v>
      </c>
    </row>
    <row r="219" spans="1:31" hidden="1" x14ac:dyDescent="0.25">
      <c r="A219">
        <v>218</v>
      </c>
      <c r="B219" t="s">
        <v>130</v>
      </c>
      <c r="C219" t="s">
        <v>2598</v>
      </c>
      <c r="D219" t="s">
        <v>2512</v>
      </c>
      <c r="E219" t="s">
        <v>35</v>
      </c>
      <c r="F219" t="s">
        <v>162</v>
      </c>
      <c r="G219" t="s">
        <v>2583</v>
      </c>
      <c r="H219" t="s">
        <v>2584</v>
      </c>
      <c r="I219" t="s">
        <v>39</v>
      </c>
      <c r="J219" t="s">
        <v>2585</v>
      </c>
      <c r="K219" t="s">
        <v>2586</v>
      </c>
      <c r="L219" s="23" t="s">
        <v>1272</v>
      </c>
      <c r="M219" s="23" t="s">
        <v>1272</v>
      </c>
      <c r="N219" s="23" t="s">
        <v>1272</v>
      </c>
      <c r="O219" s="23" t="s">
        <v>1272</v>
      </c>
      <c r="P219" s="23" t="s">
        <v>1272</v>
      </c>
      <c r="Q219" s="23" t="s">
        <v>1272</v>
      </c>
      <c r="R219" s="23" t="s">
        <v>1272</v>
      </c>
      <c r="S219" s="23" t="s">
        <v>1272</v>
      </c>
      <c r="T219" s="23" t="s">
        <v>1272</v>
      </c>
      <c r="U219" s="23" t="s">
        <v>1272</v>
      </c>
      <c r="V219" s="23" t="s">
        <v>1272</v>
      </c>
      <c r="W219" s="23" t="s">
        <v>1272</v>
      </c>
      <c r="X219" s="23" t="s">
        <v>1272</v>
      </c>
      <c r="Y219" s="23" t="s">
        <v>1272</v>
      </c>
      <c r="Z219" s="23" t="s">
        <v>1272</v>
      </c>
      <c r="AA219" s="23" t="s">
        <v>1272</v>
      </c>
      <c r="AB219" s="23" t="s">
        <v>1272</v>
      </c>
      <c r="AC219" s="23" t="s">
        <v>1272</v>
      </c>
      <c r="AD219" s="23" t="s">
        <v>1272</v>
      </c>
      <c r="AE219" s="23" t="s">
        <v>1272</v>
      </c>
    </row>
    <row r="220" spans="1:31" hidden="1" x14ac:dyDescent="0.25">
      <c r="A220">
        <v>219</v>
      </c>
      <c r="B220" t="s">
        <v>130</v>
      </c>
      <c r="C220" t="s">
        <v>2600</v>
      </c>
      <c r="D220" t="s">
        <v>2512</v>
      </c>
      <c r="E220" t="s">
        <v>35</v>
      </c>
      <c r="F220" t="s">
        <v>162</v>
      </c>
      <c r="G220" t="s">
        <v>2601</v>
      </c>
      <c r="H220" t="s">
        <v>2602</v>
      </c>
      <c r="I220" t="s">
        <v>39</v>
      </c>
      <c r="J220" t="s">
        <v>2603</v>
      </c>
      <c r="K220" t="s">
        <v>2604</v>
      </c>
      <c r="L220" s="23" t="s">
        <v>2727</v>
      </c>
      <c r="M220" s="23" t="s">
        <v>256</v>
      </c>
      <c r="N220" s="23" t="s">
        <v>257</v>
      </c>
      <c r="O220" s="23" t="s">
        <v>2728</v>
      </c>
      <c r="P220" s="23" t="s">
        <v>2729</v>
      </c>
      <c r="Q220" s="23" t="s">
        <v>2730</v>
      </c>
      <c r="R220" s="23" t="s">
        <v>118</v>
      </c>
      <c r="S220" s="23" t="s">
        <v>2731</v>
      </c>
      <c r="T220" s="23" t="s">
        <v>2732</v>
      </c>
      <c r="U220" s="23" t="s">
        <v>256</v>
      </c>
      <c r="V220" s="23" t="s">
        <v>150</v>
      </c>
      <c r="W220" s="23" t="s">
        <v>2733</v>
      </c>
      <c r="X220" s="23" t="s">
        <v>2734</v>
      </c>
      <c r="Y220" s="23" t="s">
        <v>264</v>
      </c>
      <c r="Z220" s="23" t="s">
        <v>149</v>
      </c>
      <c r="AA220" s="23" t="s">
        <v>2735</v>
      </c>
      <c r="AB220" s="23" t="s">
        <v>2736</v>
      </c>
      <c r="AC220" s="23" t="s">
        <v>2737</v>
      </c>
      <c r="AD220" s="23" t="s">
        <v>216</v>
      </c>
      <c r="AE220" s="23" t="s">
        <v>2738</v>
      </c>
    </row>
    <row r="221" spans="1:31" hidden="1" x14ac:dyDescent="0.25">
      <c r="A221">
        <v>220</v>
      </c>
      <c r="B221" t="s">
        <v>130</v>
      </c>
      <c r="C221" t="s">
        <v>2615</v>
      </c>
      <c r="D221" t="s">
        <v>2512</v>
      </c>
      <c r="E221" t="s">
        <v>35</v>
      </c>
      <c r="F221" t="s">
        <v>162</v>
      </c>
      <c r="G221" t="s">
        <v>2616</v>
      </c>
      <c r="H221" t="s">
        <v>2602</v>
      </c>
      <c r="I221" t="s">
        <v>39</v>
      </c>
      <c r="J221" t="s">
        <v>2617</v>
      </c>
      <c r="K221" t="s">
        <v>2618</v>
      </c>
      <c r="L221" s="23" t="s">
        <v>2739</v>
      </c>
      <c r="M221" s="23" t="s">
        <v>1024</v>
      </c>
      <c r="N221" s="23" t="s">
        <v>150</v>
      </c>
      <c r="O221" s="23" t="s">
        <v>1603</v>
      </c>
      <c r="P221" s="23" t="s">
        <v>2527</v>
      </c>
      <c r="Q221" s="23" t="s">
        <v>592</v>
      </c>
      <c r="R221" s="23" t="s">
        <v>213</v>
      </c>
      <c r="S221" s="23" t="s">
        <v>2740</v>
      </c>
      <c r="T221" s="23" t="s">
        <v>2741</v>
      </c>
      <c r="U221" s="23" t="s">
        <v>347</v>
      </c>
      <c r="V221" s="23" t="s">
        <v>150</v>
      </c>
      <c r="W221" s="23" t="s">
        <v>2742</v>
      </c>
      <c r="X221" s="23" t="s">
        <v>2743</v>
      </c>
      <c r="Y221" s="23" t="s">
        <v>562</v>
      </c>
      <c r="Z221" s="23" t="s">
        <v>193</v>
      </c>
      <c r="AA221" s="23" t="s">
        <v>2744</v>
      </c>
      <c r="AB221" s="23" t="s">
        <v>1911</v>
      </c>
      <c r="AC221" s="23" t="s">
        <v>2745</v>
      </c>
      <c r="AD221" s="23" t="s">
        <v>192</v>
      </c>
      <c r="AE221" s="23" t="s">
        <v>2746</v>
      </c>
    </row>
    <row r="222" spans="1:31" hidden="1" x14ac:dyDescent="0.25">
      <c r="A222">
        <v>221</v>
      </c>
      <c r="B222" t="s">
        <v>130</v>
      </c>
      <c r="C222" t="s">
        <v>2625</v>
      </c>
      <c r="D222" t="s">
        <v>2512</v>
      </c>
      <c r="E222" t="s">
        <v>35</v>
      </c>
      <c r="F222" t="s">
        <v>162</v>
      </c>
      <c r="G222" t="s">
        <v>2626</v>
      </c>
      <c r="H222" t="s">
        <v>2602</v>
      </c>
      <c r="I222" t="s">
        <v>39</v>
      </c>
      <c r="J222" t="s">
        <v>2627</v>
      </c>
      <c r="K222" t="s">
        <v>2628</v>
      </c>
      <c r="L222" s="23" t="s">
        <v>2747</v>
      </c>
      <c r="M222" s="23" t="s">
        <v>189</v>
      </c>
      <c r="N222" s="23" t="s">
        <v>122</v>
      </c>
      <c r="O222" s="23" t="s">
        <v>2748</v>
      </c>
      <c r="P222" s="23" t="s">
        <v>2749</v>
      </c>
      <c r="Q222" s="23" t="s">
        <v>608</v>
      </c>
      <c r="R222" s="23" t="s">
        <v>149</v>
      </c>
      <c r="S222" s="23" t="s">
        <v>2750</v>
      </c>
      <c r="T222" s="23" t="s">
        <v>2751</v>
      </c>
      <c r="U222" s="23" t="s">
        <v>68</v>
      </c>
      <c r="V222" s="23" t="s">
        <v>150</v>
      </c>
      <c r="W222" s="23" t="s">
        <v>2752</v>
      </c>
      <c r="X222" s="23" t="s">
        <v>2753</v>
      </c>
      <c r="Y222" s="23" t="s">
        <v>133</v>
      </c>
      <c r="Z222" s="23" t="s">
        <v>150</v>
      </c>
      <c r="AA222" s="23" t="s">
        <v>2754</v>
      </c>
      <c r="AB222" s="23" t="s">
        <v>2755</v>
      </c>
      <c r="AC222" s="23" t="s">
        <v>2756</v>
      </c>
      <c r="AD222" s="23" t="s">
        <v>196</v>
      </c>
      <c r="AE222" s="23" t="s">
        <v>2757</v>
      </c>
    </row>
    <row r="223" spans="1:31" hidden="1" x14ac:dyDescent="0.25">
      <c r="A223">
        <v>222</v>
      </c>
      <c r="B223" t="s">
        <v>130</v>
      </c>
      <c r="C223" t="s">
        <v>2637</v>
      </c>
      <c r="D223" t="s">
        <v>2512</v>
      </c>
      <c r="E223" t="s">
        <v>35</v>
      </c>
      <c r="F223" t="s">
        <v>162</v>
      </c>
      <c r="G223" t="s">
        <v>2638</v>
      </c>
      <c r="H223" t="s">
        <v>2514</v>
      </c>
      <c r="I223" t="s">
        <v>39</v>
      </c>
      <c r="J223" t="s">
        <v>2639</v>
      </c>
      <c r="K223" t="s">
        <v>2640</v>
      </c>
      <c r="L223" s="23" t="s">
        <v>2758</v>
      </c>
      <c r="M223" s="23" t="s">
        <v>950</v>
      </c>
      <c r="N223" s="23" t="s">
        <v>556</v>
      </c>
      <c r="O223" s="23" t="s">
        <v>2759</v>
      </c>
      <c r="P223" s="23" t="s">
        <v>2760</v>
      </c>
      <c r="Q223" s="23" t="s">
        <v>2761</v>
      </c>
      <c r="R223" s="23" t="s">
        <v>160</v>
      </c>
      <c r="S223" s="23" t="s">
        <v>2762</v>
      </c>
      <c r="T223" s="23" t="s">
        <v>2447</v>
      </c>
      <c r="U223" s="23" t="s">
        <v>2763</v>
      </c>
      <c r="V223" s="23" t="s">
        <v>315</v>
      </c>
      <c r="W223" s="23" t="s">
        <v>2764</v>
      </c>
      <c r="X223" s="23" t="s">
        <v>2765</v>
      </c>
      <c r="Y223" s="23" t="s">
        <v>1414</v>
      </c>
      <c r="Z223" s="23" t="s">
        <v>492</v>
      </c>
      <c r="AA223" s="23" t="s">
        <v>2091</v>
      </c>
      <c r="AB223" s="23" t="s">
        <v>2766</v>
      </c>
      <c r="AC223" s="23" t="s">
        <v>2767</v>
      </c>
      <c r="AD223" s="23" t="s">
        <v>2768</v>
      </c>
      <c r="AE223" s="23" t="s">
        <v>2769</v>
      </c>
    </row>
    <row r="224" spans="1:31" hidden="1" x14ac:dyDescent="0.25">
      <c r="A224">
        <v>223</v>
      </c>
      <c r="B224" t="s">
        <v>130</v>
      </c>
      <c r="C224" t="s">
        <v>2654</v>
      </c>
      <c r="D224" t="s">
        <v>2512</v>
      </c>
      <c r="E224" t="s">
        <v>35</v>
      </c>
      <c r="F224" t="s">
        <v>162</v>
      </c>
      <c r="G224" t="s">
        <v>2655</v>
      </c>
      <c r="H224" t="s">
        <v>2514</v>
      </c>
      <c r="I224" t="s">
        <v>39</v>
      </c>
      <c r="J224" t="s">
        <v>2656</v>
      </c>
      <c r="K224" t="s">
        <v>2657</v>
      </c>
      <c r="L224" s="23" t="s">
        <v>525</v>
      </c>
      <c r="M224" s="23" t="s">
        <v>150</v>
      </c>
      <c r="N224" s="23" t="s">
        <v>114</v>
      </c>
      <c r="O224" s="23" t="s">
        <v>1996</v>
      </c>
      <c r="P224" s="23" t="s">
        <v>206</v>
      </c>
      <c r="Q224" s="23" t="s">
        <v>257</v>
      </c>
      <c r="R224" s="23" t="s">
        <v>114</v>
      </c>
      <c r="S224" s="23" t="s">
        <v>2770</v>
      </c>
      <c r="T224" s="23" t="s">
        <v>2771</v>
      </c>
      <c r="U224" s="23" t="s">
        <v>150</v>
      </c>
      <c r="V224" s="23" t="s">
        <v>114</v>
      </c>
      <c r="W224" s="23" t="s">
        <v>133</v>
      </c>
      <c r="X224" s="23" t="s">
        <v>73</v>
      </c>
      <c r="Y224" s="23" t="s">
        <v>94</v>
      </c>
      <c r="Z224" s="23" t="s">
        <v>114</v>
      </c>
      <c r="AA224" s="23" t="s">
        <v>245</v>
      </c>
      <c r="AB224" s="23" t="s">
        <v>2772</v>
      </c>
      <c r="AC224" s="23" t="s">
        <v>103</v>
      </c>
      <c r="AD224" s="23" t="s">
        <v>114</v>
      </c>
      <c r="AE224" s="23" t="s">
        <v>734</v>
      </c>
    </row>
    <row r="225" spans="1:31" hidden="1" x14ac:dyDescent="0.25">
      <c r="A225">
        <v>224</v>
      </c>
      <c r="B225" t="s">
        <v>130</v>
      </c>
      <c r="C225" t="s">
        <v>2659</v>
      </c>
      <c r="D225" t="s">
        <v>2512</v>
      </c>
      <c r="E225" t="s">
        <v>35</v>
      </c>
      <c r="F225" t="s">
        <v>162</v>
      </c>
      <c r="G225" t="s">
        <v>2660</v>
      </c>
      <c r="H225" t="s">
        <v>2661</v>
      </c>
      <c r="I225" t="s">
        <v>39</v>
      </c>
      <c r="J225" t="s">
        <v>2662</v>
      </c>
      <c r="K225" t="s">
        <v>2663</v>
      </c>
      <c r="L225" s="23" t="s">
        <v>1603</v>
      </c>
      <c r="M225" s="23" t="s">
        <v>1400</v>
      </c>
      <c r="N225" s="23" t="s">
        <v>94</v>
      </c>
      <c r="O225" s="23" t="s">
        <v>2773</v>
      </c>
      <c r="P225" s="23" t="s">
        <v>2774</v>
      </c>
      <c r="Q225" s="23" t="s">
        <v>304</v>
      </c>
      <c r="R225" s="23" t="s">
        <v>158</v>
      </c>
      <c r="S225" s="23" t="s">
        <v>2469</v>
      </c>
      <c r="T225" s="23" t="s">
        <v>2775</v>
      </c>
      <c r="U225" s="23" t="s">
        <v>574</v>
      </c>
      <c r="V225" s="23" t="s">
        <v>114</v>
      </c>
      <c r="W225" s="23" t="s">
        <v>2776</v>
      </c>
      <c r="X225" s="23" t="s">
        <v>1003</v>
      </c>
      <c r="Y225" s="23" t="s">
        <v>76</v>
      </c>
      <c r="Z225" s="23" t="s">
        <v>104</v>
      </c>
      <c r="AA225" s="23" t="s">
        <v>294</v>
      </c>
      <c r="AB225" s="23" t="s">
        <v>2777</v>
      </c>
      <c r="AC225" s="23" t="s">
        <v>1089</v>
      </c>
      <c r="AD225" s="23" t="s">
        <v>32</v>
      </c>
      <c r="AE225" s="23" t="s">
        <v>2778</v>
      </c>
    </row>
    <row r="226" spans="1:31" hidden="1" x14ac:dyDescent="0.25">
      <c r="A226">
        <v>225</v>
      </c>
      <c r="B226" t="s">
        <v>2779</v>
      </c>
      <c r="C226" t="s">
        <v>2780</v>
      </c>
      <c r="D226" t="s">
        <v>2781</v>
      </c>
      <c r="E226" t="s">
        <v>35</v>
      </c>
      <c r="F226" t="s">
        <v>36</v>
      </c>
      <c r="G226" t="s">
        <v>2782</v>
      </c>
      <c r="H226" t="s">
        <v>2783</v>
      </c>
      <c r="I226" t="s">
        <v>163</v>
      </c>
      <c r="J226" t="s">
        <v>2784</v>
      </c>
      <c r="K226" t="s">
        <v>2785</v>
      </c>
      <c r="L226" s="23" t="s">
        <v>2786</v>
      </c>
      <c r="M226" s="23" t="s">
        <v>32</v>
      </c>
      <c r="N226" s="23" t="s">
        <v>114</v>
      </c>
      <c r="O226" s="23" t="s">
        <v>2787</v>
      </c>
      <c r="P226" s="23" t="s">
        <v>527</v>
      </c>
      <c r="Q226" s="23" t="s">
        <v>193</v>
      </c>
      <c r="R226" s="23" t="s">
        <v>114</v>
      </c>
      <c r="S226" s="23" t="s">
        <v>2788</v>
      </c>
      <c r="T226" s="23" t="s">
        <v>2789</v>
      </c>
      <c r="U226" s="23" t="s">
        <v>150</v>
      </c>
      <c r="V226" s="23" t="s">
        <v>114</v>
      </c>
      <c r="W226" s="23" t="s">
        <v>1695</v>
      </c>
      <c r="X226" s="23" t="s">
        <v>215</v>
      </c>
      <c r="Y226" s="23" t="s">
        <v>149</v>
      </c>
      <c r="Z226" s="23" t="s">
        <v>213</v>
      </c>
      <c r="AA226" s="23" t="s">
        <v>2790</v>
      </c>
      <c r="AB226" s="23" t="s">
        <v>2791</v>
      </c>
      <c r="AC226" s="23" t="s">
        <v>155</v>
      </c>
      <c r="AD226" s="23" t="s">
        <v>213</v>
      </c>
      <c r="AE226" s="23" t="s">
        <v>1883</v>
      </c>
    </row>
    <row r="227" spans="1:31" hidden="1" x14ac:dyDescent="0.25">
      <c r="A227">
        <v>226</v>
      </c>
      <c r="B227" t="s">
        <v>2779</v>
      </c>
      <c r="C227" t="s">
        <v>2792</v>
      </c>
      <c r="D227" t="s">
        <v>2781</v>
      </c>
      <c r="E227" t="s">
        <v>35</v>
      </c>
      <c r="F227" t="s">
        <v>36</v>
      </c>
      <c r="G227" t="s">
        <v>2793</v>
      </c>
      <c r="H227" t="s">
        <v>2794</v>
      </c>
      <c r="I227" t="s">
        <v>163</v>
      </c>
      <c r="J227" t="s">
        <v>2795</v>
      </c>
      <c r="K227" t="s">
        <v>2796</v>
      </c>
      <c r="L227" s="23" t="s">
        <v>2797</v>
      </c>
      <c r="M227" s="23" t="s">
        <v>1717</v>
      </c>
      <c r="N227" s="23" t="s">
        <v>213</v>
      </c>
      <c r="O227" s="23" t="s">
        <v>2798</v>
      </c>
      <c r="P227" s="23" t="s">
        <v>2799</v>
      </c>
      <c r="Q227" s="23" t="s">
        <v>608</v>
      </c>
      <c r="R227" s="23" t="s">
        <v>253</v>
      </c>
      <c r="S227" s="23" t="s">
        <v>2800</v>
      </c>
      <c r="T227" s="23" t="s">
        <v>999</v>
      </c>
      <c r="U227" s="23" t="s">
        <v>315</v>
      </c>
      <c r="V227" s="23" t="s">
        <v>244</v>
      </c>
      <c r="W227" s="23" t="s">
        <v>446</v>
      </c>
      <c r="X227" s="23" t="s">
        <v>2801</v>
      </c>
      <c r="Y227" s="23" t="s">
        <v>201</v>
      </c>
      <c r="Z227" s="23" t="s">
        <v>196</v>
      </c>
      <c r="AA227" s="23" t="s">
        <v>2802</v>
      </c>
      <c r="AB227" s="23" t="s">
        <v>2803</v>
      </c>
      <c r="AC227" s="23" t="s">
        <v>337</v>
      </c>
      <c r="AD227" s="23" t="s">
        <v>220</v>
      </c>
      <c r="AE227" s="23" t="s">
        <v>2804</v>
      </c>
    </row>
    <row r="228" spans="1:31" hidden="1" x14ac:dyDescent="0.25">
      <c r="A228">
        <v>227</v>
      </c>
      <c r="B228" t="s">
        <v>2779</v>
      </c>
      <c r="C228" t="s">
        <v>2805</v>
      </c>
      <c r="D228" t="s">
        <v>2781</v>
      </c>
      <c r="E228" t="s">
        <v>35</v>
      </c>
      <c r="F228" t="s">
        <v>36</v>
      </c>
      <c r="G228" t="s">
        <v>2806</v>
      </c>
      <c r="H228" t="s">
        <v>2807</v>
      </c>
      <c r="I228" t="s">
        <v>163</v>
      </c>
      <c r="J228" t="s">
        <v>2808</v>
      </c>
      <c r="K228" t="s">
        <v>2809</v>
      </c>
      <c r="L228" s="23" t="s">
        <v>2810</v>
      </c>
      <c r="M228" s="23" t="s">
        <v>588</v>
      </c>
      <c r="N228" s="23" t="s">
        <v>77</v>
      </c>
      <c r="O228" s="23" t="s">
        <v>2811</v>
      </c>
      <c r="P228" s="23" t="s">
        <v>2812</v>
      </c>
      <c r="Q228" s="23" t="s">
        <v>123</v>
      </c>
      <c r="R228" s="23" t="s">
        <v>217</v>
      </c>
      <c r="S228" s="23" t="s">
        <v>2813</v>
      </c>
      <c r="T228" s="23" t="s">
        <v>2814</v>
      </c>
      <c r="U228" s="23" t="s">
        <v>233</v>
      </c>
      <c r="V228" s="23" t="s">
        <v>114</v>
      </c>
      <c r="W228" s="23" t="s">
        <v>560</v>
      </c>
      <c r="X228" s="23" t="s">
        <v>2815</v>
      </c>
      <c r="Y228" s="23" t="s">
        <v>1305</v>
      </c>
      <c r="Z228" s="23" t="s">
        <v>104</v>
      </c>
      <c r="AA228" s="23" t="s">
        <v>2816</v>
      </c>
      <c r="AB228" s="23" t="s">
        <v>2817</v>
      </c>
      <c r="AC228" s="23" t="s">
        <v>1640</v>
      </c>
      <c r="AD228" s="23" t="s">
        <v>253</v>
      </c>
      <c r="AE228" s="23" t="s">
        <v>2818</v>
      </c>
    </row>
    <row r="229" spans="1:31" hidden="1" x14ac:dyDescent="0.25">
      <c r="A229">
        <v>228</v>
      </c>
      <c r="B229" t="s">
        <v>2779</v>
      </c>
      <c r="C229" t="s">
        <v>2819</v>
      </c>
      <c r="D229" t="s">
        <v>2781</v>
      </c>
      <c r="E229" t="s">
        <v>35</v>
      </c>
      <c r="F229" t="s">
        <v>36</v>
      </c>
      <c r="G229" t="s">
        <v>2820</v>
      </c>
      <c r="H229" t="s">
        <v>2821</v>
      </c>
      <c r="I229" t="s">
        <v>163</v>
      </c>
      <c r="J229" t="s">
        <v>2822</v>
      </c>
      <c r="K229" t="s">
        <v>922</v>
      </c>
      <c r="L229" s="23" t="s">
        <v>2823</v>
      </c>
      <c r="M229" s="23" t="s">
        <v>2824</v>
      </c>
      <c r="N229" s="23" t="s">
        <v>278</v>
      </c>
      <c r="O229" s="23" t="s">
        <v>2825</v>
      </c>
      <c r="P229" s="23" t="s">
        <v>2826</v>
      </c>
      <c r="Q229" s="23" t="s">
        <v>2827</v>
      </c>
      <c r="R229" s="23" t="s">
        <v>230</v>
      </c>
      <c r="S229" s="23" t="s">
        <v>2828</v>
      </c>
      <c r="T229" s="23" t="s">
        <v>2829</v>
      </c>
      <c r="U229" s="23" t="s">
        <v>264</v>
      </c>
      <c r="V229" s="23" t="s">
        <v>217</v>
      </c>
      <c r="W229" s="23" t="s">
        <v>2830</v>
      </c>
      <c r="X229" s="23" t="s">
        <v>2831</v>
      </c>
      <c r="Y229" s="23" t="s">
        <v>2832</v>
      </c>
      <c r="Z229" s="23" t="s">
        <v>1791</v>
      </c>
      <c r="AA229" s="23" t="s">
        <v>2833</v>
      </c>
      <c r="AB229" s="23" t="s">
        <v>2834</v>
      </c>
      <c r="AC229" s="23" t="s">
        <v>1884</v>
      </c>
      <c r="AD229" s="23" t="s">
        <v>771</v>
      </c>
      <c r="AE229" s="23" t="s">
        <v>2835</v>
      </c>
    </row>
    <row r="230" spans="1:31" hidden="1" x14ac:dyDescent="0.25">
      <c r="A230">
        <v>229</v>
      </c>
      <c r="B230" t="s">
        <v>2779</v>
      </c>
      <c r="C230" t="s">
        <v>2836</v>
      </c>
      <c r="D230" t="s">
        <v>2781</v>
      </c>
      <c r="E230" t="s">
        <v>35</v>
      </c>
      <c r="F230" t="s">
        <v>36</v>
      </c>
      <c r="G230" t="s">
        <v>2566</v>
      </c>
      <c r="H230" t="s">
        <v>2821</v>
      </c>
      <c r="I230" t="s">
        <v>163</v>
      </c>
      <c r="J230" t="s">
        <v>2837</v>
      </c>
      <c r="K230" t="s">
        <v>2838</v>
      </c>
      <c r="L230" s="23" t="s">
        <v>2839</v>
      </c>
      <c r="M230" s="23" t="s">
        <v>92</v>
      </c>
      <c r="N230" s="23" t="s">
        <v>69</v>
      </c>
      <c r="O230" s="23" t="s">
        <v>2840</v>
      </c>
      <c r="P230" s="23" t="s">
        <v>2841</v>
      </c>
      <c r="Q230" s="23" t="s">
        <v>2842</v>
      </c>
      <c r="R230" s="23" t="s">
        <v>259</v>
      </c>
      <c r="S230" s="23" t="s">
        <v>2843</v>
      </c>
      <c r="T230" s="23" t="s">
        <v>2844</v>
      </c>
      <c r="U230" s="23" t="s">
        <v>525</v>
      </c>
      <c r="V230" s="23" t="s">
        <v>32</v>
      </c>
      <c r="W230" s="23" t="s">
        <v>2845</v>
      </c>
      <c r="X230" s="23" t="s">
        <v>2846</v>
      </c>
      <c r="Y230" s="23" t="s">
        <v>2847</v>
      </c>
      <c r="Z230" s="23" t="s">
        <v>468</v>
      </c>
      <c r="AA230" s="23" t="s">
        <v>2848</v>
      </c>
      <c r="AB230" s="23" t="s">
        <v>2849</v>
      </c>
      <c r="AC230" s="23" t="s">
        <v>2850</v>
      </c>
      <c r="AD230" s="23" t="s">
        <v>577</v>
      </c>
      <c r="AE230" s="23" t="s">
        <v>2851</v>
      </c>
    </row>
    <row r="231" spans="1:31" hidden="1" x14ac:dyDescent="0.25">
      <c r="A231">
        <v>230</v>
      </c>
      <c r="B231" t="s">
        <v>2779</v>
      </c>
      <c r="C231" t="s">
        <v>2852</v>
      </c>
      <c r="D231" t="s">
        <v>2781</v>
      </c>
      <c r="E231" t="s">
        <v>35</v>
      </c>
      <c r="F231" t="s">
        <v>36</v>
      </c>
      <c r="G231" t="s">
        <v>2853</v>
      </c>
      <c r="H231" t="s">
        <v>2854</v>
      </c>
      <c r="I231" t="s">
        <v>163</v>
      </c>
      <c r="J231" t="s">
        <v>2855</v>
      </c>
      <c r="K231" t="s">
        <v>2856</v>
      </c>
      <c r="L231" s="23" t="s">
        <v>2857</v>
      </c>
      <c r="M231" s="23" t="s">
        <v>562</v>
      </c>
      <c r="N231" s="23" t="s">
        <v>150</v>
      </c>
      <c r="O231" s="23" t="s">
        <v>2858</v>
      </c>
      <c r="P231" s="23" t="s">
        <v>2859</v>
      </c>
      <c r="Q231" s="23" t="s">
        <v>1514</v>
      </c>
      <c r="R231" s="23" t="s">
        <v>158</v>
      </c>
      <c r="S231" s="23" t="s">
        <v>1324</v>
      </c>
      <c r="T231" s="23" t="s">
        <v>74</v>
      </c>
      <c r="U231" s="23" t="s">
        <v>196</v>
      </c>
      <c r="V231" s="23" t="s">
        <v>104</v>
      </c>
      <c r="W231" s="23" t="s">
        <v>2001</v>
      </c>
      <c r="X231" s="23" t="s">
        <v>2860</v>
      </c>
      <c r="Y231" s="23" t="s">
        <v>1305</v>
      </c>
      <c r="Z231" s="23" t="s">
        <v>104</v>
      </c>
      <c r="AA231" s="23" t="s">
        <v>2861</v>
      </c>
      <c r="AB231" s="23" t="s">
        <v>2862</v>
      </c>
      <c r="AC231" s="23" t="s">
        <v>1865</v>
      </c>
      <c r="AD231" s="23" t="s">
        <v>93</v>
      </c>
      <c r="AE231" s="23" t="s">
        <v>2863</v>
      </c>
    </row>
    <row r="232" spans="1:31" hidden="1" x14ac:dyDescent="0.25">
      <c r="A232">
        <v>231</v>
      </c>
      <c r="B232" t="s">
        <v>2779</v>
      </c>
      <c r="C232" t="s">
        <v>2864</v>
      </c>
      <c r="D232" t="s">
        <v>2781</v>
      </c>
      <c r="E232" t="s">
        <v>35</v>
      </c>
      <c r="F232" t="s">
        <v>36</v>
      </c>
      <c r="G232" t="s">
        <v>2865</v>
      </c>
      <c r="H232" t="s">
        <v>2866</v>
      </c>
      <c r="I232" t="s">
        <v>163</v>
      </c>
      <c r="J232" t="s">
        <v>2867</v>
      </c>
      <c r="K232" t="s">
        <v>2868</v>
      </c>
      <c r="L232" s="23" t="s">
        <v>2869</v>
      </c>
      <c r="M232" s="23" t="s">
        <v>68</v>
      </c>
      <c r="N232" s="23" t="s">
        <v>94</v>
      </c>
      <c r="O232" s="23" t="s">
        <v>2279</v>
      </c>
      <c r="P232" s="23" t="s">
        <v>1016</v>
      </c>
      <c r="Q232" s="23" t="s">
        <v>772</v>
      </c>
      <c r="R232" s="23" t="s">
        <v>158</v>
      </c>
      <c r="S232" s="23" t="s">
        <v>2870</v>
      </c>
      <c r="T232" s="23" t="s">
        <v>1035</v>
      </c>
      <c r="U232" s="23" t="s">
        <v>347</v>
      </c>
      <c r="V232" s="23" t="s">
        <v>114</v>
      </c>
      <c r="W232" s="23" t="s">
        <v>2871</v>
      </c>
      <c r="X232" s="23" t="s">
        <v>2872</v>
      </c>
      <c r="Y232" s="23" t="s">
        <v>574</v>
      </c>
      <c r="Z232" s="23" t="s">
        <v>244</v>
      </c>
      <c r="AA232" s="23" t="s">
        <v>2873</v>
      </c>
      <c r="AB232" s="23" t="s">
        <v>2874</v>
      </c>
      <c r="AC232" s="23" t="s">
        <v>2875</v>
      </c>
      <c r="AD232" s="23" t="s">
        <v>257</v>
      </c>
      <c r="AE232" s="23" t="s">
        <v>2876</v>
      </c>
    </row>
    <row r="233" spans="1:31" hidden="1" x14ac:dyDescent="0.25">
      <c r="A233">
        <v>232</v>
      </c>
      <c r="B233" t="s">
        <v>2779</v>
      </c>
      <c r="C233" t="s">
        <v>2877</v>
      </c>
      <c r="D233" t="s">
        <v>2781</v>
      </c>
      <c r="E233" t="s">
        <v>35</v>
      </c>
      <c r="F233" t="s">
        <v>36</v>
      </c>
      <c r="G233" t="s">
        <v>2878</v>
      </c>
      <c r="H233" t="s">
        <v>2879</v>
      </c>
      <c r="I233" t="s">
        <v>163</v>
      </c>
      <c r="J233" t="s">
        <v>2880</v>
      </c>
      <c r="K233" t="s">
        <v>2881</v>
      </c>
      <c r="L233" s="23" t="s">
        <v>818</v>
      </c>
      <c r="M233" s="23" t="s">
        <v>297</v>
      </c>
      <c r="N233" s="23" t="s">
        <v>94</v>
      </c>
      <c r="O233" s="23" t="s">
        <v>274</v>
      </c>
      <c r="P233" s="23" t="s">
        <v>1901</v>
      </c>
      <c r="Q233" s="23" t="s">
        <v>366</v>
      </c>
      <c r="R233" s="23" t="s">
        <v>114</v>
      </c>
      <c r="S233" s="23" t="s">
        <v>2882</v>
      </c>
      <c r="T233" s="23" t="s">
        <v>2883</v>
      </c>
      <c r="U233" s="23" t="s">
        <v>69</v>
      </c>
      <c r="V233" s="23" t="s">
        <v>114</v>
      </c>
      <c r="W233" s="23" t="s">
        <v>776</v>
      </c>
      <c r="X233" s="23" t="s">
        <v>1089</v>
      </c>
      <c r="Y233" s="23" t="s">
        <v>570</v>
      </c>
      <c r="Z233" s="23" t="s">
        <v>114</v>
      </c>
      <c r="AA233" s="23" t="s">
        <v>307</v>
      </c>
      <c r="AB233" s="23" t="s">
        <v>798</v>
      </c>
      <c r="AC233" s="23" t="s">
        <v>2884</v>
      </c>
      <c r="AD233" s="23" t="s">
        <v>94</v>
      </c>
      <c r="AE233" s="23" t="s">
        <v>2885</v>
      </c>
    </row>
    <row r="234" spans="1:31" hidden="1" x14ac:dyDescent="0.25">
      <c r="A234">
        <v>233</v>
      </c>
      <c r="B234" t="s">
        <v>2779</v>
      </c>
      <c r="C234" t="s">
        <v>2886</v>
      </c>
      <c r="D234" t="s">
        <v>2781</v>
      </c>
      <c r="E234" t="s">
        <v>35</v>
      </c>
      <c r="F234" t="s">
        <v>36</v>
      </c>
      <c r="G234" t="s">
        <v>2887</v>
      </c>
      <c r="H234" t="s">
        <v>2879</v>
      </c>
      <c r="I234" t="s">
        <v>163</v>
      </c>
      <c r="J234" t="s">
        <v>2888</v>
      </c>
      <c r="K234" t="s">
        <v>2889</v>
      </c>
      <c r="L234" s="23" t="s">
        <v>2890</v>
      </c>
      <c r="M234" s="23" t="s">
        <v>303</v>
      </c>
      <c r="N234" s="23" t="s">
        <v>104</v>
      </c>
      <c r="O234" s="23" t="s">
        <v>2891</v>
      </c>
      <c r="P234" s="23" t="s">
        <v>2892</v>
      </c>
      <c r="Q234" s="23" t="s">
        <v>1388</v>
      </c>
      <c r="R234" s="23" t="s">
        <v>158</v>
      </c>
      <c r="S234" s="23" t="s">
        <v>2893</v>
      </c>
      <c r="T234" s="23" t="s">
        <v>2748</v>
      </c>
      <c r="U234" s="23" t="s">
        <v>120</v>
      </c>
      <c r="V234" s="23" t="s">
        <v>94</v>
      </c>
      <c r="W234" s="23" t="s">
        <v>1468</v>
      </c>
      <c r="X234" s="23" t="s">
        <v>2746</v>
      </c>
      <c r="Y234" s="23" t="s">
        <v>166</v>
      </c>
      <c r="Z234" s="23" t="s">
        <v>158</v>
      </c>
      <c r="AA234" s="23" t="s">
        <v>2894</v>
      </c>
      <c r="AB234" s="23" t="s">
        <v>2895</v>
      </c>
      <c r="AC234" s="23" t="s">
        <v>739</v>
      </c>
      <c r="AD234" s="23" t="s">
        <v>243</v>
      </c>
      <c r="AE234" s="23" t="s">
        <v>2896</v>
      </c>
    </row>
    <row r="235" spans="1:31" hidden="1" x14ac:dyDescent="0.25">
      <c r="A235">
        <v>234</v>
      </c>
      <c r="B235" t="s">
        <v>2779</v>
      </c>
      <c r="C235" t="s">
        <v>2897</v>
      </c>
      <c r="D235" t="s">
        <v>2781</v>
      </c>
      <c r="E235" t="s">
        <v>35</v>
      </c>
      <c r="F235" t="s">
        <v>36</v>
      </c>
      <c r="G235" t="s">
        <v>2898</v>
      </c>
      <c r="H235" t="s">
        <v>2879</v>
      </c>
      <c r="I235" t="s">
        <v>163</v>
      </c>
      <c r="J235" t="s">
        <v>2899</v>
      </c>
      <c r="K235" t="s">
        <v>2900</v>
      </c>
      <c r="L235" s="23" t="s">
        <v>2901</v>
      </c>
      <c r="M235" s="23" t="s">
        <v>723</v>
      </c>
      <c r="N235" s="23" t="s">
        <v>246</v>
      </c>
      <c r="O235" s="23" t="s">
        <v>2902</v>
      </c>
      <c r="P235" s="23" t="s">
        <v>2903</v>
      </c>
      <c r="Q235" s="23" t="s">
        <v>70</v>
      </c>
      <c r="R235" s="23" t="s">
        <v>120</v>
      </c>
      <c r="S235" s="23" t="s">
        <v>2904</v>
      </c>
      <c r="T235" s="23" t="s">
        <v>2905</v>
      </c>
      <c r="U235" s="23" t="s">
        <v>517</v>
      </c>
      <c r="V235" s="23" t="s">
        <v>244</v>
      </c>
      <c r="W235" s="23" t="s">
        <v>2906</v>
      </c>
      <c r="X235" s="23" t="s">
        <v>2907</v>
      </c>
      <c r="Y235" s="23" t="s">
        <v>92</v>
      </c>
      <c r="Z235" s="23" t="s">
        <v>315</v>
      </c>
      <c r="AA235" s="23" t="s">
        <v>2726</v>
      </c>
      <c r="AB235" s="23" t="s">
        <v>2908</v>
      </c>
      <c r="AC235" s="23" t="s">
        <v>882</v>
      </c>
      <c r="AD235" s="23" t="s">
        <v>1717</v>
      </c>
      <c r="AE235" s="23" t="s">
        <v>2909</v>
      </c>
    </row>
    <row r="236" spans="1:31" hidden="1" x14ac:dyDescent="0.25">
      <c r="A236">
        <v>235</v>
      </c>
      <c r="B236" t="s">
        <v>2779</v>
      </c>
      <c r="C236" t="s">
        <v>2780</v>
      </c>
      <c r="D236" t="s">
        <v>2781</v>
      </c>
      <c r="E236" t="s">
        <v>35</v>
      </c>
      <c r="F236" t="s">
        <v>162</v>
      </c>
      <c r="G236" t="s">
        <v>2782</v>
      </c>
      <c r="H236" t="s">
        <v>2783</v>
      </c>
      <c r="I236" t="s">
        <v>39</v>
      </c>
      <c r="J236" t="s">
        <v>2784</v>
      </c>
      <c r="K236" t="s">
        <v>2785</v>
      </c>
      <c r="L236" s="23" t="s">
        <v>480</v>
      </c>
      <c r="M236" s="23" t="s">
        <v>150</v>
      </c>
      <c r="N236" s="23" t="s">
        <v>114</v>
      </c>
      <c r="O236" s="23" t="s">
        <v>1480</v>
      </c>
      <c r="P236" s="23" t="s">
        <v>2910</v>
      </c>
      <c r="Q236" s="23" t="s">
        <v>244</v>
      </c>
      <c r="R236" s="23" t="s">
        <v>114</v>
      </c>
      <c r="S236" s="23" t="s">
        <v>178</v>
      </c>
      <c r="T236" s="23" t="s">
        <v>1775</v>
      </c>
      <c r="U236" s="23" t="s">
        <v>104</v>
      </c>
      <c r="V236" s="23" t="s">
        <v>114</v>
      </c>
      <c r="W236" s="23" t="s">
        <v>520</v>
      </c>
      <c r="X236" s="23" t="s">
        <v>2911</v>
      </c>
      <c r="Y236" s="23" t="s">
        <v>122</v>
      </c>
      <c r="Z236" s="23" t="s">
        <v>104</v>
      </c>
      <c r="AA236" s="23" t="s">
        <v>335</v>
      </c>
      <c r="AB236" s="23" t="s">
        <v>2398</v>
      </c>
      <c r="AC236" s="23" t="s">
        <v>69</v>
      </c>
      <c r="AD236" s="23" t="s">
        <v>104</v>
      </c>
      <c r="AE236" s="23" t="s">
        <v>2912</v>
      </c>
    </row>
    <row r="237" spans="1:31" hidden="1" x14ac:dyDescent="0.25">
      <c r="A237">
        <v>236</v>
      </c>
      <c r="B237" t="s">
        <v>2779</v>
      </c>
      <c r="C237" t="s">
        <v>2792</v>
      </c>
      <c r="D237" t="s">
        <v>2781</v>
      </c>
      <c r="E237" t="s">
        <v>35</v>
      </c>
      <c r="F237" t="s">
        <v>162</v>
      </c>
      <c r="G237" t="s">
        <v>2793</v>
      </c>
      <c r="H237" t="s">
        <v>2794</v>
      </c>
      <c r="I237" t="s">
        <v>39</v>
      </c>
      <c r="J237" t="s">
        <v>2795</v>
      </c>
      <c r="K237" t="s">
        <v>2796</v>
      </c>
      <c r="L237" s="23" t="s">
        <v>2913</v>
      </c>
      <c r="M237" s="23" t="s">
        <v>295</v>
      </c>
      <c r="N237" s="23" t="s">
        <v>98</v>
      </c>
      <c r="O237" s="23" t="s">
        <v>1849</v>
      </c>
      <c r="P237" s="23" t="s">
        <v>2914</v>
      </c>
      <c r="Q237" s="23" t="s">
        <v>2915</v>
      </c>
      <c r="R237" s="23" t="s">
        <v>217</v>
      </c>
      <c r="S237" s="23" t="s">
        <v>2916</v>
      </c>
      <c r="T237" s="23" t="s">
        <v>371</v>
      </c>
      <c r="U237" s="23" t="s">
        <v>155</v>
      </c>
      <c r="V237" s="23" t="s">
        <v>32</v>
      </c>
      <c r="W237" s="23" t="s">
        <v>2917</v>
      </c>
      <c r="X237" s="23" t="s">
        <v>2918</v>
      </c>
      <c r="Y237" s="23" t="s">
        <v>1651</v>
      </c>
      <c r="Z237" s="23" t="s">
        <v>247</v>
      </c>
      <c r="AA237" s="23" t="s">
        <v>2919</v>
      </c>
      <c r="AB237" s="23" t="s">
        <v>2920</v>
      </c>
      <c r="AC237" s="23" t="s">
        <v>520</v>
      </c>
      <c r="AD237" s="23" t="s">
        <v>487</v>
      </c>
      <c r="AE237" s="23" t="s">
        <v>2921</v>
      </c>
    </row>
    <row r="238" spans="1:31" hidden="1" x14ac:dyDescent="0.25">
      <c r="A238">
        <v>237</v>
      </c>
      <c r="B238" t="s">
        <v>2779</v>
      </c>
      <c r="C238" t="s">
        <v>2805</v>
      </c>
      <c r="D238" t="s">
        <v>2781</v>
      </c>
      <c r="E238" t="s">
        <v>35</v>
      </c>
      <c r="F238" t="s">
        <v>162</v>
      </c>
      <c r="G238" t="s">
        <v>2806</v>
      </c>
      <c r="H238" t="s">
        <v>2807</v>
      </c>
      <c r="I238" t="s">
        <v>39</v>
      </c>
      <c r="J238" t="s">
        <v>2808</v>
      </c>
      <c r="K238" t="s">
        <v>2809</v>
      </c>
      <c r="L238" s="23" t="s">
        <v>2922</v>
      </c>
      <c r="M238" s="23" t="s">
        <v>81</v>
      </c>
      <c r="N238" s="23" t="s">
        <v>122</v>
      </c>
      <c r="O238" s="23" t="s">
        <v>1593</v>
      </c>
      <c r="P238" s="23" t="s">
        <v>2923</v>
      </c>
      <c r="Q238" s="23" t="s">
        <v>2924</v>
      </c>
      <c r="R238" s="23" t="s">
        <v>479</v>
      </c>
      <c r="S238" s="23" t="s">
        <v>2925</v>
      </c>
      <c r="T238" s="23" t="s">
        <v>2926</v>
      </c>
      <c r="U238" s="23" t="s">
        <v>556</v>
      </c>
      <c r="V238" s="23" t="s">
        <v>94</v>
      </c>
      <c r="W238" s="23" t="s">
        <v>1491</v>
      </c>
      <c r="X238" s="23" t="s">
        <v>2927</v>
      </c>
      <c r="Y238" s="23" t="s">
        <v>301</v>
      </c>
      <c r="Z238" s="23" t="s">
        <v>114</v>
      </c>
      <c r="AA238" s="23" t="s">
        <v>2928</v>
      </c>
      <c r="AB238" s="23" t="s">
        <v>2929</v>
      </c>
      <c r="AC238" s="23" t="s">
        <v>1711</v>
      </c>
      <c r="AD238" s="23" t="s">
        <v>1032</v>
      </c>
      <c r="AE238" s="23" t="s">
        <v>2930</v>
      </c>
    </row>
    <row r="239" spans="1:31" hidden="1" x14ac:dyDescent="0.25">
      <c r="A239">
        <v>238</v>
      </c>
      <c r="B239" t="s">
        <v>2779</v>
      </c>
      <c r="C239" t="s">
        <v>2819</v>
      </c>
      <c r="D239" t="s">
        <v>2781</v>
      </c>
      <c r="E239" t="s">
        <v>35</v>
      </c>
      <c r="F239" t="s">
        <v>162</v>
      </c>
      <c r="G239" t="s">
        <v>2820</v>
      </c>
      <c r="H239" t="s">
        <v>2821</v>
      </c>
      <c r="I239" t="s">
        <v>39</v>
      </c>
      <c r="J239" t="s">
        <v>2822</v>
      </c>
      <c r="K239" t="s">
        <v>922</v>
      </c>
      <c r="L239" s="23" t="s">
        <v>2931</v>
      </c>
      <c r="M239" s="23" t="s">
        <v>105</v>
      </c>
      <c r="N239" s="23" t="s">
        <v>196</v>
      </c>
      <c r="O239" s="23" t="s">
        <v>2751</v>
      </c>
      <c r="P239" s="23" t="s">
        <v>2932</v>
      </c>
      <c r="Q239" s="23" t="s">
        <v>1519</v>
      </c>
      <c r="R239" s="23" t="s">
        <v>1705</v>
      </c>
      <c r="S239" s="23" t="s">
        <v>2933</v>
      </c>
      <c r="T239" s="23" t="s">
        <v>2934</v>
      </c>
      <c r="U239" s="23" t="s">
        <v>597</v>
      </c>
      <c r="V239" s="23" t="s">
        <v>247</v>
      </c>
      <c r="W239" s="23" t="s">
        <v>2935</v>
      </c>
      <c r="X239" s="23" t="s">
        <v>2936</v>
      </c>
      <c r="Y239" s="23" t="s">
        <v>333</v>
      </c>
      <c r="Z239" s="23" t="s">
        <v>52</v>
      </c>
      <c r="AA239" s="23" t="s">
        <v>2937</v>
      </c>
      <c r="AB239" s="23" t="s">
        <v>2938</v>
      </c>
      <c r="AC239" s="23" t="s">
        <v>2747</v>
      </c>
      <c r="AD239" s="23" t="s">
        <v>1325</v>
      </c>
      <c r="AE239" s="23" t="s">
        <v>2939</v>
      </c>
    </row>
    <row r="240" spans="1:31" hidden="1" x14ac:dyDescent="0.25">
      <c r="A240">
        <v>239</v>
      </c>
      <c r="B240" t="s">
        <v>2779</v>
      </c>
      <c r="C240" t="s">
        <v>2836</v>
      </c>
      <c r="D240" t="s">
        <v>2781</v>
      </c>
      <c r="E240" t="s">
        <v>35</v>
      </c>
      <c r="F240" t="s">
        <v>162</v>
      </c>
      <c r="G240" t="s">
        <v>2566</v>
      </c>
      <c r="H240" t="s">
        <v>2821</v>
      </c>
      <c r="I240" t="s">
        <v>39</v>
      </c>
      <c r="J240" t="s">
        <v>2837</v>
      </c>
      <c r="K240" t="s">
        <v>2838</v>
      </c>
      <c r="L240" s="23" t="s">
        <v>2940</v>
      </c>
      <c r="M240" s="23" t="s">
        <v>2941</v>
      </c>
      <c r="N240" s="23" t="s">
        <v>119</v>
      </c>
      <c r="O240" s="23" t="s">
        <v>2942</v>
      </c>
      <c r="P240" s="23" t="s">
        <v>2943</v>
      </c>
      <c r="Q240" s="23" t="s">
        <v>2944</v>
      </c>
      <c r="R240" s="23" t="s">
        <v>2216</v>
      </c>
      <c r="S240" s="23" t="s">
        <v>2945</v>
      </c>
      <c r="T240" s="23" t="s">
        <v>1440</v>
      </c>
      <c r="U240" s="23" t="s">
        <v>260</v>
      </c>
      <c r="V240" s="23" t="s">
        <v>32</v>
      </c>
      <c r="W240" s="23" t="s">
        <v>2946</v>
      </c>
      <c r="X240" s="23" t="s">
        <v>2947</v>
      </c>
      <c r="Y240" s="23" t="s">
        <v>2084</v>
      </c>
      <c r="Z240" s="23" t="s">
        <v>768</v>
      </c>
      <c r="AA240" s="23" t="s">
        <v>2948</v>
      </c>
      <c r="AB240" s="23" t="s">
        <v>2949</v>
      </c>
      <c r="AC240" s="23" t="s">
        <v>2140</v>
      </c>
      <c r="AD240" s="23" t="s">
        <v>1579</v>
      </c>
      <c r="AE240" s="23" t="s">
        <v>2950</v>
      </c>
    </row>
    <row r="241" spans="1:31" hidden="1" x14ac:dyDescent="0.25">
      <c r="A241">
        <v>240</v>
      </c>
      <c r="B241" t="s">
        <v>2779</v>
      </c>
      <c r="C241" t="s">
        <v>2852</v>
      </c>
      <c r="D241" t="s">
        <v>2781</v>
      </c>
      <c r="E241" t="s">
        <v>35</v>
      </c>
      <c r="F241" t="s">
        <v>162</v>
      </c>
      <c r="G241" t="s">
        <v>2853</v>
      </c>
      <c r="H241" t="s">
        <v>2854</v>
      </c>
      <c r="I241" t="s">
        <v>39</v>
      </c>
      <c r="J241" t="s">
        <v>2855</v>
      </c>
      <c r="K241" t="s">
        <v>2856</v>
      </c>
      <c r="L241" s="23" t="s">
        <v>2276</v>
      </c>
      <c r="M241" s="23" t="s">
        <v>426</v>
      </c>
      <c r="N241" s="23" t="s">
        <v>94</v>
      </c>
      <c r="O241" s="23" t="s">
        <v>2951</v>
      </c>
      <c r="P241" s="23" t="s">
        <v>2952</v>
      </c>
      <c r="Q241" s="23" t="s">
        <v>783</v>
      </c>
      <c r="R241" s="23" t="s">
        <v>32</v>
      </c>
      <c r="S241" s="23" t="s">
        <v>2953</v>
      </c>
      <c r="T241" s="23" t="s">
        <v>2954</v>
      </c>
      <c r="U241" s="23" t="s">
        <v>156</v>
      </c>
      <c r="V241" s="23" t="s">
        <v>150</v>
      </c>
      <c r="W241" s="23" t="s">
        <v>2955</v>
      </c>
      <c r="X241" s="23" t="s">
        <v>2956</v>
      </c>
      <c r="Y241" s="23" t="s">
        <v>591</v>
      </c>
      <c r="Z241" s="23" t="s">
        <v>244</v>
      </c>
      <c r="AA241" s="23" t="s">
        <v>2957</v>
      </c>
      <c r="AB241" s="23" t="s">
        <v>2385</v>
      </c>
      <c r="AC241" s="23" t="s">
        <v>2112</v>
      </c>
      <c r="AD241" s="23" t="s">
        <v>130</v>
      </c>
      <c r="AE241" s="23" t="s">
        <v>1946</v>
      </c>
    </row>
    <row r="242" spans="1:31" hidden="1" x14ac:dyDescent="0.25">
      <c r="A242">
        <v>241</v>
      </c>
      <c r="B242" t="s">
        <v>2779</v>
      </c>
      <c r="C242" t="s">
        <v>2864</v>
      </c>
      <c r="D242" t="s">
        <v>2781</v>
      </c>
      <c r="E242" t="s">
        <v>35</v>
      </c>
      <c r="F242" t="s">
        <v>162</v>
      </c>
      <c r="G242" t="s">
        <v>2865</v>
      </c>
      <c r="H242" t="s">
        <v>2866</v>
      </c>
      <c r="I242" t="s">
        <v>39</v>
      </c>
      <c r="J242" t="s">
        <v>2867</v>
      </c>
      <c r="K242" t="s">
        <v>2868</v>
      </c>
      <c r="L242" s="23" t="s">
        <v>1104</v>
      </c>
      <c r="M242" s="23" t="s">
        <v>192</v>
      </c>
      <c r="N242" s="23" t="s">
        <v>94</v>
      </c>
      <c r="O242" s="23" t="s">
        <v>1590</v>
      </c>
      <c r="P242" s="23" t="s">
        <v>2791</v>
      </c>
      <c r="Q242" s="23" t="s">
        <v>2958</v>
      </c>
      <c r="R242" s="23" t="s">
        <v>94</v>
      </c>
      <c r="S242" s="23" t="s">
        <v>2959</v>
      </c>
      <c r="T242" s="23" t="s">
        <v>2665</v>
      </c>
      <c r="U242" s="23" t="s">
        <v>196</v>
      </c>
      <c r="V242" s="23" t="s">
        <v>104</v>
      </c>
      <c r="W242" s="23" t="s">
        <v>2960</v>
      </c>
      <c r="X242" s="23" t="s">
        <v>2961</v>
      </c>
      <c r="Y242" s="23" t="s">
        <v>120</v>
      </c>
      <c r="Z242" s="23" t="s">
        <v>114</v>
      </c>
      <c r="AA242" s="23" t="s">
        <v>2962</v>
      </c>
      <c r="AB242" s="23" t="s">
        <v>2963</v>
      </c>
      <c r="AC242" s="23" t="s">
        <v>950</v>
      </c>
      <c r="AD242" s="23" t="s">
        <v>98</v>
      </c>
      <c r="AE242" s="23" t="s">
        <v>1478</v>
      </c>
    </row>
    <row r="243" spans="1:31" hidden="1" x14ac:dyDescent="0.25">
      <c r="A243">
        <v>242</v>
      </c>
      <c r="B243" t="s">
        <v>2779</v>
      </c>
      <c r="C243" t="s">
        <v>2877</v>
      </c>
      <c r="D243" t="s">
        <v>2781</v>
      </c>
      <c r="E243" t="s">
        <v>35</v>
      </c>
      <c r="F243" t="s">
        <v>162</v>
      </c>
      <c r="G243" t="s">
        <v>2878</v>
      </c>
      <c r="H243" t="s">
        <v>2879</v>
      </c>
      <c r="I243" t="s">
        <v>39</v>
      </c>
      <c r="J243" t="s">
        <v>2880</v>
      </c>
      <c r="K243" t="s">
        <v>2881</v>
      </c>
      <c r="L243" s="23" t="s">
        <v>2787</v>
      </c>
      <c r="M243" s="23" t="s">
        <v>347</v>
      </c>
      <c r="N243" s="23" t="s">
        <v>94</v>
      </c>
      <c r="O243" s="23" t="s">
        <v>1775</v>
      </c>
      <c r="P243" s="23" t="s">
        <v>2645</v>
      </c>
      <c r="Q243" s="23" t="s">
        <v>232</v>
      </c>
      <c r="R243" s="23" t="s">
        <v>158</v>
      </c>
      <c r="S243" s="23" t="s">
        <v>587</v>
      </c>
      <c r="T243" s="23" t="s">
        <v>650</v>
      </c>
      <c r="U243" s="23" t="s">
        <v>149</v>
      </c>
      <c r="V243" s="23" t="s">
        <v>94</v>
      </c>
      <c r="W243" s="23" t="s">
        <v>2435</v>
      </c>
      <c r="X243" s="23" t="s">
        <v>1414</v>
      </c>
      <c r="Y243" s="23" t="s">
        <v>68</v>
      </c>
      <c r="Z243" s="23" t="s">
        <v>150</v>
      </c>
      <c r="AA243" s="23" t="s">
        <v>469</v>
      </c>
      <c r="AB243" s="23" t="s">
        <v>1722</v>
      </c>
      <c r="AC243" s="23" t="s">
        <v>2405</v>
      </c>
      <c r="AD243" s="23" t="s">
        <v>193</v>
      </c>
      <c r="AE243" s="23" t="s">
        <v>2171</v>
      </c>
    </row>
    <row r="244" spans="1:31" hidden="1" x14ac:dyDescent="0.25">
      <c r="A244">
        <v>243</v>
      </c>
      <c r="B244" t="s">
        <v>2779</v>
      </c>
      <c r="C244" t="s">
        <v>2886</v>
      </c>
      <c r="D244" t="s">
        <v>2781</v>
      </c>
      <c r="E244" t="s">
        <v>35</v>
      </c>
      <c r="F244" t="s">
        <v>162</v>
      </c>
      <c r="G244" t="s">
        <v>2887</v>
      </c>
      <c r="H244" t="s">
        <v>2879</v>
      </c>
      <c r="I244" t="s">
        <v>39</v>
      </c>
      <c r="J244" t="s">
        <v>2888</v>
      </c>
      <c r="K244" t="s">
        <v>2889</v>
      </c>
      <c r="L244" s="23" t="s">
        <v>1510</v>
      </c>
      <c r="M244" s="23" t="s">
        <v>932</v>
      </c>
      <c r="N244" s="23" t="s">
        <v>94</v>
      </c>
      <c r="O244" s="23" t="s">
        <v>1927</v>
      </c>
      <c r="P244" s="23" t="s">
        <v>2964</v>
      </c>
      <c r="Q244" s="23" t="s">
        <v>2965</v>
      </c>
      <c r="R244" s="23" t="s">
        <v>150</v>
      </c>
      <c r="S244" s="23" t="s">
        <v>2966</v>
      </c>
      <c r="T244" s="23" t="s">
        <v>2967</v>
      </c>
      <c r="U244" s="23" t="s">
        <v>914</v>
      </c>
      <c r="V244" s="23" t="s">
        <v>94</v>
      </c>
      <c r="W244" s="23" t="s">
        <v>2968</v>
      </c>
      <c r="X244" s="23" t="s">
        <v>2969</v>
      </c>
      <c r="Y244" s="23" t="s">
        <v>1305</v>
      </c>
      <c r="Z244" s="23" t="s">
        <v>150</v>
      </c>
      <c r="AA244" s="23" t="s">
        <v>2970</v>
      </c>
      <c r="AB244" s="23" t="s">
        <v>2971</v>
      </c>
      <c r="AC244" s="23" t="s">
        <v>2074</v>
      </c>
      <c r="AD244" s="23" t="s">
        <v>77</v>
      </c>
      <c r="AE244" s="23" t="s">
        <v>2972</v>
      </c>
    </row>
    <row r="245" spans="1:31" hidden="1" x14ac:dyDescent="0.25">
      <c r="A245">
        <v>244</v>
      </c>
      <c r="B245" t="s">
        <v>2779</v>
      </c>
      <c r="C245" t="s">
        <v>2897</v>
      </c>
      <c r="D245" t="s">
        <v>2781</v>
      </c>
      <c r="E245" t="s">
        <v>35</v>
      </c>
      <c r="F245" t="s">
        <v>162</v>
      </c>
      <c r="G245" t="s">
        <v>2898</v>
      </c>
      <c r="H245" t="s">
        <v>2879</v>
      </c>
      <c r="I245" t="s">
        <v>39</v>
      </c>
      <c r="J245" t="s">
        <v>2899</v>
      </c>
      <c r="K245" t="s">
        <v>2900</v>
      </c>
      <c r="L245" s="23" t="s">
        <v>2973</v>
      </c>
      <c r="M245" s="23" t="s">
        <v>1503</v>
      </c>
      <c r="N245" s="23" t="s">
        <v>93</v>
      </c>
      <c r="O245" s="23" t="s">
        <v>2974</v>
      </c>
      <c r="P245" s="23" t="s">
        <v>2975</v>
      </c>
      <c r="Q245" s="23" t="s">
        <v>638</v>
      </c>
      <c r="R245" s="23" t="s">
        <v>233</v>
      </c>
      <c r="S245" s="23" t="s">
        <v>2976</v>
      </c>
      <c r="T245" s="23" t="s">
        <v>2977</v>
      </c>
      <c r="U245" s="23" t="s">
        <v>588</v>
      </c>
      <c r="V245" s="23" t="s">
        <v>213</v>
      </c>
      <c r="W245" s="23" t="s">
        <v>2297</v>
      </c>
      <c r="X245" s="23" t="s">
        <v>2978</v>
      </c>
      <c r="Y245" s="23" t="s">
        <v>1698</v>
      </c>
      <c r="Z245" s="23" t="s">
        <v>1400</v>
      </c>
      <c r="AA245" s="23" t="s">
        <v>2979</v>
      </c>
      <c r="AB245" s="23" t="s">
        <v>2980</v>
      </c>
      <c r="AC245" s="23" t="s">
        <v>2981</v>
      </c>
      <c r="AD245" s="23" t="s">
        <v>489</v>
      </c>
      <c r="AE245" s="23" t="s">
        <v>2982</v>
      </c>
    </row>
    <row r="246" spans="1:31" hidden="1" x14ac:dyDescent="0.25">
      <c r="A246">
        <v>245</v>
      </c>
      <c r="B246" t="s">
        <v>2983</v>
      </c>
      <c r="C246" t="s">
        <v>2984</v>
      </c>
      <c r="D246" t="s">
        <v>2985</v>
      </c>
      <c r="E246" t="s">
        <v>35</v>
      </c>
      <c r="F246" t="s">
        <v>162</v>
      </c>
      <c r="G246" t="s">
        <v>2986</v>
      </c>
      <c r="H246" t="s">
        <v>2987</v>
      </c>
      <c r="I246" t="s">
        <v>163</v>
      </c>
      <c r="J246" t="s">
        <v>2988</v>
      </c>
      <c r="K246" t="s">
        <v>2989</v>
      </c>
      <c r="L246" s="23" t="s">
        <v>731</v>
      </c>
      <c r="M246" s="23" t="s">
        <v>115</v>
      </c>
      <c r="N246" s="23" t="s">
        <v>244</v>
      </c>
      <c r="O246" s="23" t="s">
        <v>2990</v>
      </c>
      <c r="P246" s="23" t="s">
        <v>2991</v>
      </c>
      <c r="Q246" s="23" t="s">
        <v>1426</v>
      </c>
      <c r="R246" s="23" t="s">
        <v>213</v>
      </c>
      <c r="S246" s="23" t="s">
        <v>2992</v>
      </c>
      <c r="T246" s="23" t="s">
        <v>1348</v>
      </c>
      <c r="U246" s="23" t="s">
        <v>196</v>
      </c>
      <c r="V246" s="23" t="s">
        <v>104</v>
      </c>
      <c r="W246" s="23" t="s">
        <v>2993</v>
      </c>
      <c r="X246" s="23" t="s">
        <v>2994</v>
      </c>
      <c r="Y246" s="23" t="s">
        <v>477</v>
      </c>
      <c r="Z246" s="23" t="s">
        <v>244</v>
      </c>
      <c r="AA246" s="23" t="s">
        <v>283</v>
      </c>
      <c r="AB246" s="23" t="s">
        <v>2995</v>
      </c>
      <c r="AC246" s="23" t="s">
        <v>1177</v>
      </c>
      <c r="AD246" s="23" t="s">
        <v>347</v>
      </c>
      <c r="AE246" s="23" t="s">
        <v>2996</v>
      </c>
    </row>
    <row r="247" spans="1:31" hidden="1" x14ac:dyDescent="0.25">
      <c r="A247">
        <v>246</v>
      </c>
      <c r="B247" t="s">
        <v>2983</v>
      </c>
      <c r="C247" t="s">
        <v>2997</v>
      </c>
      <c r="D247" t="s">
        <v>2985</v>
      </c>
      <c r="E247" t="s">
        <v>35</v>
      </c>
      <c r="F247" t="s">
        <v>162</v>
      </c>
      <c r="G247" t="s">
        <v>2998</v>
      </c>
      <c r="H247" t="s">
        <v>2999</v>
      </c>
      <c r="I247" t="s">
        <v>240</v>
      </c>
      <c r="J247" t="s">
        <v>3000</v>
      </c>
      <c r="K247" t="s">
        <v>3001</v>
      </c>
      <c r="L247" s="23" t="s">
        <v>539</v>
      </c>
      <c r="M247" s="23" t="s">
        <v>118</v>
      </c>
      <c r="N247" s="23" t="s">
        <v>158</v>
      </c>
      <c r="O247" s="23" t="s">
        <v>3002</v>
      </c>
      <c r="P247" s="23" t="s">
        <v>3003</v>
      </c>
      <c r="Q247" s="23" t="s">
        <v>253</v>
      </c>
      <c r="R247" s="23" t="s">
        <v>94</v>
      </c>
      <c r="S247" s="23" t="s">
        <v>1001</v>
      </c>
      <c r="T247" s="23" t="s">
        <v>3004</v>
      </c>
      <c r="U247" s="23" t="s">
        <v>122</v>
      </c>
      <c r="V247" s="23" t="s">
        <v>114</v>
      </c>
      <c r="W247" s="23" t="s">
        <v>1522</v>
      </c>
      <c r="X247" s="23" t="s">
        <v>1185</v>
      </c>
      <c r="Y247" s="23" t="s">
        <v>243</v>
      </c>
      <c r="Z247" s="23" t="s">
        <v>114</v>
      </c>
      <c r="AA247" s="23" t="s">
        <v>3005</v>
      </c>
      <c r="AB247" s="23" t="s">
        <v>2199</v>
      </c>
      <c r="AC247" s="23" t="s">
        <v>220</v>
      </c>
      <c r="AD247" s="23" t="s">
        <v>122</v>
      </c>
      <c r="AE247" s="23" t="s">
        <v>3006</v>
      </c>
    </row>
    <row r="248" spans="1:31" hidden="1" x14ac:dyDescent="0.25">
      <c r="A248">
        <v>247</v>
      </c>
      <c r="B248" t="s">
        <v>2983</v>
      </c>
      <c r="C248" t="s">
        <v>3007</v>
      </c>
      <c r="D248" t="s">
        <v>2985</v>
      </c>
      <c r="E248" t="s">
        <v>35</v>
      </c>
      <c r="F248" t="s">
        <v>162</v>
      </c>
      <c r="G248" t="s">
        <v>3008</v>
      </c>
      <c r="H248" t="s">
        <v>3009</v>
      </c>
      <c r="I248" t="s">
        <v>240</v>
      </c>
      <c r="J248" t="s">
        <v>3010</v>
      </c>
      <c r="K248" t="s">
        <v>3011</v>
      </c>
      <c r="L248" s="23" t="s">
        <v>3012</v>
      </c>
      <c r="M248" s="23" t="s">
        <v>73</v>
      </c>
      <c r="N248" s="23" t="s">
        <v>114</v>
      </c>
      <c r="O248" s="23" t="s">
        <v>3013</v>
      </c>
      <c r="P248" s="23" t="s">
        <v>3014</v>
      </c>
      <c r="Q248" s="23" t="s">
        <v>1142</v>
      </c>
      <c r="R248" s="23" t="s">
        <v>98</v>
      </c>
      <c r="S248" s="23" t="s">
        <v>1652</v>
      </c>
      <c r="T248" s="23" t="s">
        <v>3015</v>
      </c>
      <c r="U248" s="23" t="s">
        <v>1507</v>
      </c>
      <c r="V248" s="23" t="s">
        <v>114</v>
      </c>
      <c r="W248" s="23" t="s">
        <v>3016</v>
      </c>
      <c r="X248" s="23" t="s">
        <v>3017</v>
      </c>
      <c r="Y248" s="23" t="s">
        <v>2771</v>
      </c>
      <c r="Z248" s="23" t="s">
        <v>244</v>
      </c>
      <c r="AA248" s="23" t="s">
        <v>3018</v>
      </c>
      <c r="AB248" s="23" t="s">
        <v>3019</v>
      </c>
      <c r="AC248" s="23" t="s">
        <v>1670</v>
      </c>
      <c r="AD248" s="23" t="s">
        <v>32</v>
      </c>
      <c r="AE248" s="23" t="s">
        <v>3020</v>
      </c>
    </row>
    <row r="249" spans="1:31" hidden="1" x14ac:dyDescent="0.25">
      <c r="A249">
        <v>248</v>
      </c>
      <c r="B249" t="s">
        <v>2983</v>
      </c>
      <c r="C249" t="s">
        <v>3021</v>
      </c>
      <c r="D249" t="s">
        <v>2985</v>
      </c>
      <c r="E249" t="s">
        <v>35</v>
      </c>
      <c r="F249" t="s">
        <v>162</v>
      </c>
      <c r="G249" t="s">
        <v>3022</v>
      </c>
      <c r="H249" t="s">
        <v>3023</v>
      </c>
      <c r="I249" t="s">
        <v>240</v>
      </c>
      <c r="J249" t="s">
        <v>3024</v>
      </c>
      <c r="K249" t="s">
        <v>3025</v>
      </c>
      <c r="L249" s="23" t="s">
        <v>1199</v>
      </c>
      <c r="M249" s="23" t="s">
        <v>253</v>
      </c>
      <c r="N249" s="23" t="s">
        <v>98</v>
      </c>
      <c r="O249" s="23" t="s">
        <v>698</v>
      </c>
      <c r="P249" s="23" t="s">
        <v>2278</v>
      </c>
      <c r="Q249" s="23" t="s">
        <v>772</v>
      </c>
      <c r="R249" s="23" t="s">
        <v>98</v>
      </c>
      <c r="S249" s="23" t="s">
        <v>2431</v>
      </c>
      <c r="T249" s="23" t="s">
        <v>3026</v>
      </c>
      <c r="U249" s="23" t="s">
        <v>119</v>
      </c>
      <c r="V249" s="23" t="s">
        <v>244</v>
      </c>
      <c r="W249" s="23" t="s">
        <v>3027</v>
      </c>
      <c r="X249" s="23" t="s">
        <v>3028</v>
      </c>
      <c r="Y249" s="23" t="s">
        <v>156</v>
      </c>
      <c r="Z249" s="23" t="s">
        <v>150</v>
      </c>
      <c r="AA249" s="23" t="s">
        <v>3029</v>
      </c>
      <c r="AB249" s="23" t="s">
        <v>1176</v>
      </c>
      <c r="AC249" s="23" t="s">
        <v>329</v>
      </c>
      <c r="AD249" s="23" t="s">
        <v>153</v>
      </c>
      <c r="AE249" s="23" t="s">
        <v>3030</v>
      </c>
    </row>
    <row r="250" spans="1:31" hidden="1" x14ac:dyDescent="0.25">
      <c r="A250">
        <v>249</v>
      </c>
      <c r="B250" t="s">
        <v>2983</v>
      </c>
      <c r="C250" t="s">
        <v>3031</v>
      </c>
      <c r="D250" t="s">
        <v>2985</v>
      </c>
      <c r="E250" t="s">
        <v>35</v>
      </c>
      <c r="F250" t="s">
        <v>162</v>
      </c>
      <c r="G250" t="s">
        <v>3032</v>
      </c>
      <c r="H250" t="s">
        <v>3033</v>
      </c>
      <c r="I250" t="s">
        <v>163</v>
      </c>
      <c r="J250" t="s">
        <v>3034</v>
      </c>
      <c r="K250" t="s">
        <v>3035</v>
      </c>
      <c r="L250" s="23" t="s">
        <v>1197</v>
      </c>
      <c r="M250" s="23" t="s">
        <v>196</v>
      </c>
      <c r="N250" s="23" t="s">
        <v>244</v>
      </c>
      <c r="O250" s="23" t="s">
        <v>2590</v>
      </c>
      <c r="P250" s="23" t="s">
        <v>966</v>
      </c>
      <c r="Q250" s="23" t="s">
        <v>639</v>
      </c>
      <c r="R250" s="23" t="s">
        <v>213</v>
      </c>
      <c r="S250" s="23" t="s">
        <v>2444</v>
      </c>
      <c r="T250" s="23" t="s">
        <v>2842</v>
      </c>
      <c r="U250" s="23" t="s">
        <v>192</v>
      </c>
      <c r="V250" s="23" t="s">
        <v>114</v>
      </c>
      <c r="W250" s="23" t="s">
        <v>1039</v>
      </c>
      <c r="X250" s="23" t="s">
        <v>2258</v>
      </c>
      <c r="Y250" s="23" t="s">
        <v>714</v>
      </c>
      <c r="Z250" s="23" t="s">
        <v>104</v>
      </c>
      <c r="AA250" s="23" t="s">
        <v>3036</v>
      </c>
      <c r="AB250" s="23" t="s">
        <v>3037</v>
      </c>
      <c r="AC250" s="23" t="s">
        <v>3038</v>
      </c>
      <c r="AD250" s="23" t="s">
        <v>69</v>
      </c>
      <c r="AE250" s="23" t="s">
        <v>2892</v>
      </c>
    </row>
    <row r="251" spans="1:31" hidden="1" x14ac:dyDescent="0.25">
      <c r="A251">
        <v>250</v>
      </c>
      <c r="B251" t="s">
        <v>2983</v>
      </c>
      <c r="C251" t="s">
        <v>3039</v>
      </c>
      <c r="D251" t="s">
        <v>2985</v>
      </c>
      <c r="E251" t="s">
        <v>35</v>
      </c>
      <c r="F251" t="s">
        <v>162</v>
      </c>
      <c r="G251" t="s">
        <v>3040</v>
      </c>
      <c r="H251" t="s">
        <v>3041</v>
      </c>
      <c r="I251" t="s">
        <v>240</v>
      </c>
      <c r="J251" t="s">
        <v>2339</v>
      </c>
      <c r="K251" t="s">
        <v>3042</v>
      </c>
      <c r="L251" s="23" t="s">
        <v>1121</v>
      </c>
      <c r="M251" s="23" t="s">
        <v>3043</v>
      </c>
      <c r="N251" s="23" t="s">
        <v>243</v>
      </c>
      <c r="O251" s="23" t="s">
        <v>3044</v>
      </c>
      <c r="P251" s="23" t="s">
        <v>3045</v>
      </c>
      <c r="Q251" s="23" t="s">
        <v>75</v>
      </c>
      <c r="R251" s="23" t="s">
        <v>76</v>
      </c>
      <c r="S251" s="23" t="s">
        <v>3046</v>
      </c>
      <c r="T251" s="23" t="s">
        <v>3047</v>
      </c>
      <c r="U251" s="23" t="s">
        <v>1069</v>
      </c>
      <c r="V251" s="23" t="s">
        <v>244</v>
      </c>
      <c r="W251" s="23" t="s">
        <v>3048</v>
      </c>
      <c r="X251" s="23" t="s">
        <v>3049</v>
      </c>
      <c r="Y251" s="23" t="s">
        <v>51</v>
      </c>
      <c r="Z251" s="23" t="s">
        <v>153</v>
      </c>
      <c r="AA251" s="23" t="s">
        <v>3050</v>
      </c>
      <c r="AB251" s="23" t="s">
        <v>3051</v>
      </c>
      <c r="AC251" s="23" t="s">
        <v>1729</v>
      </c>
      <c r="AD251" s="23" t="s">
        <v>120</v>
      </c>
      <c r="AE251" s="23" t="s">
        <v>3052</v>
      </c>
    </row>
    <row r="252" spans="1:31" hidden="1" x14ac:dyDescent="0.25">
      <c r="A252">
        <v>251</v>
      </c>
      <c r="B252" t="s">
        <v>2983</v>
      </c>
      <c r="C252" t="s">
        <v>3053</v>
      </c>
      <c r="D252" t="s">
        <v>2985</v>
      </c>
      <c r="E252" t="s">
        <v>35</v>
      </c>
      <c r="F252" t="s">
        <v>162</v>
      </c>
      <c r="G252" t="s">
        <v>3054</v>
      </c>
      <c r="H252" t="s">
        <v>3055</v>
      </c>
      <c r="I252" t="s">
        <v>163</v>
      </c>
      <c r="J252" t="s">
        <v>3056</v>
      </c>
      <c r="K252" t="s">
        <v>3057</v>
      </c>
      <c r="L252" s="23" t="s">
        <v>3058</v>
      </c>
      <c r="M252" s="23" t="s">
        <v>153</v>
      </c>
      <c r="N252" s="23" t="s">
        <v>114</v>
      </c>
      <c r="O252" s="23" t="s">
        <v>3059</v>
      </c>
      <c r="P252" s="23" t="s">
        <v>3060</v>
      </c>
      <c r="Q252" s="23" t="s">
        <v>556</v>
      </c>
      <c r="R252" s="23" t="s">
        <v>114</v>
      </c>
      <c r="S252" s="23" t="s">
        <v>3061</v>
      </c>
      <c r="T252" s="23" t="s">
        <v>2177</v>
      </c>
      <c r="U252" s="23" t="s">
        <v>98</v>
      </c>
      <c r="V252" s="23" t="s">
        <v>114</v>
      </c>
      <c r="W252" s="23" t="s">
        <v>2112</v>
      </c>
      <c r="X252" s="23" t="s">
        <v>3062</v>
      </c>
      <c r="Y252" s="23" t="s">
        <v>193</v>
      </c>
      <c r="Z252" s="23" t="s">
        <v>114</v>
      </c>
      <c r="AA252" s="23" t="s">
        <v>3063</v>
      </c>
      <c r="AB252" s="23" t="s">
        <v>3064</v>
      </c>
      <c r="AC252" s="23" t="s">
        <v>972</v>
      </c>
      <c r="AD252" s="23" t="s">
        <v>114</v>
      </c>
      <c r="AE252" s="23" t="s">
        <v>3065</v>
      </c>
    </row>
    <row r="253" spans="1:31" hidden="1" x14ac:dyDescent="0.25">
      <c r="A253">
        <v>252</v>
      </c>
      <c r="B253" t="s">
        <v>2983</v>
      </c>
      <c r="C253" t="s">
        <v>3066</v>
      </c>
      <c r="D253" t="s">
        <v>2985</v>
      </c>
      <c r="E253" t="s">
        <v>35</v>
      </c>
      <c r="F253" t="s">
        <v>162</v>
      </c>
      <c r="G253" t="s">
        <v>3067</v>
      </c>
      <c r="H253" t="s">
        <v>3068</v>
      </c>
      <c r="I253" t="s">
        <v>240</v>
      </c>
      <c r="J253" t="s">
        <v>3069</v>
      </c>
      <c r="K253" t="s">
        <v>3070</v>
      </c>
      <c r="L253" s="23" t="s">
        <v>3071</v>
      </c>
      <c r="M253" s="23" t="s">
        <v>598</v>
      </c>
      <c r="N253" s="23" t="s">
        <v>208</v>
      </c>
      <c r="O253" s="23" t="s">
        <v>2040</v>
      </c>
      <c r="P253" s="23" t="s">
        <v>3072</v>
      </c>
      <c r="Q253" s="23" t="s">
        <v>3073</v>
      </c>
      <c r="R253" s="23" t="s">
        <v>43</v>
      </c>
      <c r="S253" s="23" t="s">
        <v>789</v>
      </c>
      <c r="T253" s="23" t="s">
        <v>1741</v>
      </c>
      <c r="U253" s="23" t="s">
        <v>1507</v>
      </c>
      <c r="V253" s="23" t="s">
        <v>574</v>
      </c>
      <c r="W253" s="23" t="s">
        <v>3074</v>
      </c>
      <c r="X253" s="23" t="s">
        <v>3075</v>
      </c>
      <c r="Y253" s="23" t="s">
        <v>790</v>
      </c>
      <c r="Z253" s="23" t="s">
        <v>579</v>
      </c>
      <c r="AA253" s="23" t="s">
        <v>3076</v>
      </c>
      <c r="AB253" s="23" t="s">
        <v>3077</v>
      </c>
      <c r="AC253" s="23" t="s">
        <v>913</v>
      </c>
      <c r="AD253" s="23" t="s">
        <v>285</v>
      </c>
      <c r="AE253" s="23" t="s">
        <v>3078</v>
      </c>
    </row>
    <row r="254" spans="1:31" hidden="1" x14ac:dyDescent="0.25">
      <c r="A254">
        <v>253</v>
      </c>
      <c r="B254" t="s">
        <v>2983</v>
      </c>
      <c r="C254" t="s">
        <v>2984</v>
      </c>
      <c r="D254" t="s">
        <v>2985</v>
      </c>
      <c r="E254" t="s">
        <v>35</v>
      </c>
      <c r="F254" t="s">
        <v>162</v>
      </c>
      <c r="G254" t="s">
        <v>2986</v>
      </c>
      <c r="H254" t="s">
        <v>2987</v>
      </c>
      <c r="I254" t="s">
        <v>39</v>
      </c>
      <c r="J254" t="s">
        <v>2988</v>
      </c>
      <c r="K254" t="s">
        <v>2989</v>
      </c>
      <c r="L254" s="23" t="s">
        <v>2369</v>
      </c>
      <c r="M254" s="23" t="s">
        <v>1400</v>
      </c>
      <c r="N254" s="23" t="s">
        <v>114</v>
      </c>
      <c r="O254" s="23" t="s">
        <v>313</v>
      </c>
      <c r="P254" s="23" t="s">
        <v>3079</v>
      </c>
      <c r="Q254" s="23" t="s">
        <v>764</v>
      </c>
      <c r="R254" s="23" t="s">
        <v>213</v>
      </c>
      <c r="S254" s="23" t="s">
        <v>3080</v>
      </c>
      <c r="T254" s="23" t="s">
        <v>3081</v>
      </c>
      <c r="U254" s="23" t="s">
        <v>155</v>
      </c>
      <c r="V254" s="23" t="s">
        <v>114</v>
      </c>
      <c r="W254" s="23" t="s">
        <v>3082</v>
      </c>
      <c r="X254" s="23" t="s">
        <v>3083</v>
      </c>
      <c r="Y254" s="23" t="s">
        <v>159</v>
      </c>
      <c r="Z254" s="23" t="s">
        <v>94</v>
      </c>
      <c r="AA254" s="23" t="s">
        <v>3084</v>
      </c>
      <c r="AB254" s="23" t="s">
        <v>3085</v>
      </c>
      <c r="AC254" s="23" t="s">
        <v>3086</v>
      </c>
      <c r="AD254" s="23" t="s">
        <v>193</v>
      </c>
      <c r="AE254" s="23" t="s">
        <v>3087</v>
      </c>
    </row>
    <row r="255" spans="1:31" hidden="1" x14ac:dyDescent="0.25">
      <c r="A255">
        <v>254</v>
      </c>
      <c r="B255" t="s">
        <v>2983</v>
      </c>
      <c r="C255" t="s">
        <v>2997</v>
      </c>
      <c r="D255" t="s">
        <v>2985</v>
      </c>
      <c r="E255" t="s">
        <v>35</v>
      </c>
      <c r="F255" t="s">
        <v>36</v>
      </c>
      <c r="G255" t="s">
        <v>2998</v>
      </c>
      <c r="H255" t="s">
        <v>2999</v>
      </c>
      <c r="I255" t="s">
        <v>300</v>
      </c>
      <c r="J255" t="s">
        <v>3000</v>
      </c>
      <c r="K255" t="s">
        <v>3001</v>
      </c>
      <c r="L255" s="23" t="s">
        <v>220</v>
      </c>
      <c r="M255" s="23" t="s">
        <v>122</v>
      </c>
      <c r="N255" s="23" t="s">
        <v>114</v>
      </c>
      <c r="O255" s="23" t="s">
        <v>981</v>
      </c>
      <c r="P255" s="23" t="s">
        <v>1993</v>
      </c>
      <c r="Q255" s="23" t="s">
        <v>574</v>
      </c>
      <c r="R255" s="23" t="s">
        <v>114</v>
      </c>
      <c r="S255" s="23" t="s">
        <v>3088</v>
      </c>
      <c r="T255" s="23" t="s">
        <v>3089</v>
      </c>
      <c r="U255" s="23" t="s">
        <v>69</v>
      </c>
      <c r="V255" s="23" t="s">
        <v>114</v>
      </c>
      <c r="W255" s="23" t="s">
        <v>3090</v>
      </c>
      <c r="X255" s="23" t="s">
        <v>1001</v>
      </c>
      <c r="Y255" s="23" t="s">
        <v>77</v>
      </c>
      <c r="Z255" s="23" t="s">
        <v>114</v>
      </c>
      <c r="AA255" s="23" t="s">
        <v>3091</v>
      </c>
      <c r="AB255" s="23" t="s">
        <v>3092</v>
      </c>
      <c r="AC255" s="23" t="s">
        <v>216</v>
      </c>
      <c r="AD255" s="23" t="s">
        <v>114</v>
      </c>
      <c r="AE255" s="23" t="s">
        <v>3093</v>
      </c>
    </row>
    <row r="256" spans="1:31" hidden="1" x14ac:dyDescent="0.25">
      <c r="A256">
        <v>255</v>
      </c>
      <c r="B256" t="s">
        <v>2983</v>
      </c>
      <c r="C256" t="s">
        <v>3007</v>
      </c>
      <c r="D256" t="s">
        <v>2985</v>
      </c>
      <c r="E256" t="s">
        <v>35</v>
      </c>
      <c r="F256" t="s">
        <v>36</v>
      </c>
      <c r="G256" t="s">
        <v>3008</v>
      </c>
      <c r="H256" t="s">
        <v>3009</v>
      </c>
      <c r="I256" t="s">
        <v>300</v>
      </c>
      <c r="J256" t="s">
        <v>3010</v>
      </c>
      <c r="K256" t="s">
        <v>3011</v>
      </c>
      <c r="L256" s="23" t="s">
        <v>3094</v>
      </c>
      <c r="M256" s="23" t="s">
        <v>772</v>
      </c>
      <c r="N256" s="23" t="s">
        <v>98</v>
      </c>
      <c r="O256" s="23" t="s">
        <v>3095</v>
      </c>
      <c r="P256" s="23" t="s">
        <v>3096</v>
      </c>
      <c r="Q256" s="23" t="s">
        <v>308</v>
      </c>
      <c r="R256" s="23" t="s">
        <v>93</v>
      </c>
      <c r="S256" s="23" t="s">
        <v>1730</v>
      </c>
      <c r="T256" s="23" t="s">
        <v>3097</v>
      </c>
      <c r="U256" s="23" t="s">
        <v>189</v>
      </c>
      <c r="V256" s="23" t="s">
        <v>244</v>
      </c>
      <c r="W256" s="23" t="s">
        <v>3098</v>
      </c>
      <c r="X256" s="23" t="s">
        <v>3099</v>
      </c>
      <c r="Y256" s="23" t="s">
        <v>301</v>
      </c>
      <c r="Z256" s="23" t="s">
        <v>150</v>
      </c>
      <c r="AA256" s="23" t="s">
        <v>3100</v>
      </c>
      <c r="AB256" s="23" t="s">
        <v>3101</v>
      </c>
      <c r="AC256" s="23" t="s">
        <v>1751</v>
      </c>
      <c r="AD256" s="23" t="s">
        <v>336</v>
      </c>
      <c r="AE256" s="23" t="s">
        <v>3102</v>
      </c>
    </row>
    <row r="257" spans="1:31" hidden="1" x14ac:dyDescent="0.25">
      <c r="A257">
        <v>256</v>
      </c>
      <c r="B257" t="s">
        <v>2983</v>
      </c>
      <c r="C257" t="s">
        <v>3021</v>
      </c>
      <c r="D257" t="s">
        <v>2985</v>
      </c>
      <c r="E257" t="s">
        <v>35</v>
      </c>
      <c r="F257" t="s">
        <v>36</v>
      </c>
      <c r="G257" t="s">
        <v>3022</v>
      </c>
      <c r="H257" t="s">
        <v>3023</v>
      </c>
      <c r="I257" t="s">
        <v>300</v>
      </c>
      <c r="J257" t="s">
        <v>3024</v>
      </c>
      <c r="K257" t="s">
        <v>3025</v>
      </c>
      <c r="L257" s="23" t="s">
        <v>3103</v>
      </c>
      <c r="M257" s="23" t="s">
        <v>253</v>
      </c>
      <c r="N257" s="23" t="s">
        <v>114</v>
      </c>
      <c r="O257" s="23" t="s">
        <v>3104</v>
      </c>
      <c r="P257" s="23" t="s">
        <v>3105</v>
      </c>
      <c r="Q257" s="23" t="s">
        <v>1082</v>
      </c>
      <c r="R257" s="23" t="s">
        <v>94</v>
      </c>
      <c r="S257" s="23" t="s">
        <v>3106</v>
      </c>
      <c r="T257" s="23" t="s">
        <v>3091</v>
      </c>
      <c r="U257" s="23" t="s">
        <v>93</v>
      </c>
      <c r="V257" s="23" t="s">
        <v>114</v>
      </c>
      <c r="W257" s="23" t="s">
        <v>2547</v>
      </c>
      <c r="X257" s="23" t="s">
        <v>390</v>
      </c>
      <c r="Y257" s="23" t="s">
        <v>81</v>
      </c>
      <c r="Z257" s="23" t="s">
        <v>94</v>
      </c>
      <c r="AA257" s="23" t="s">
        <v>3107</v>
      </c>
      <c r="AB257" s="23" t="s">
        <v>3108</v>
      </c>
      <c r="AC257" s="23" t="s">
        <v>1705</v>
      </c>
      <c r="AD257" s="23" t="s">
        <v>104</v>
      </c>
      <c r="AE257" s="23" t="s">
        <v>1549</v>
      </c>
    </row>
    <row r="258" spans="1:31" hidden="1" x14ac:dyDescent="0.25">
      <c r="A258">
        <v>257</v>
      </c>
      <c r="B258" t="s">
        <v>2983</v>
      </c>
      <c r="C258" t="s">
        <v>3031</v>
      </c>
      <c r="D258" t="s">
        <v>2985</v>
      </c>
      <c r="E258" t="s">
        <v>35</v>
      </c>
      <c r="F258" t="s">
        <v>36</v>
      </c>
      <c r="G258" t="s">
        <v>3032</v>
      </c>
      <c r="H258" t="s">
        <v>3033</v>
      </c>
      <c r="I258" t="s">
        <v>39</v>
      </c>
      <c r="J258" t="s">
        <v>3034</v>
      </c>
      <c r="K258" t="s">
        <v>3035</v>
      </c>
      <c r="L258" s="23" t="s">
        <v>3109</v>
      </c>
      <c r="M258" s="23" t="s">
        <v>155</v>
      </c>
      <c r="N258" s="23" t="s">
        <v>104</v>
      </c>
      <c r="O258" s="23" t="s">
        <v>3110</v>
      </c>
      <c r="P258" s="23" t="s">
        <v>966</v>
      </c>
      <c r="Q258" s="23" t="s">
        <v>116</v>
      </c>
      <c r="R258" s="23" t="s">
        <v>244</v>
      </c>
      <c r="S258" s="23" t="s">
        <v>3111</v>
      </c>
      <c r="T258" s="23" t="s">
        <v>2873</v>
      </c>
      <c r="U258" s="23" t="s">
        <v>103</v>
      </c>
      <c r="V258" s="23" t="s">
        <v>94</v>
      </c>
      <c r="W258" s="23" t="s">
        <v>3112</v>
      </c>
      <c r="X258" s="23" t="s">
        <v>3113</v>
      </c>
      <c r="Y258" s="23" t="s">
        <v>81</v>
      </c>
      <c r="Z258" s="23" t="s">
        <v>104</v>
      </c>
      <c r="AA258" s="23" t="s">
        <v>59</v>
      </c>
      <c r="AB258" s="23" t="s">
        <v>3114</v>
      </c>
      <c r="AC258" s="23" t="s">
        <v>764</v>
      </c>
      <c r="AD258" s="23" t="s">
        <v>213</v>
      </c>
      <c r="AE258" s="23" t="s">
        <v>3115</v>
      </c>
    </row>
    <row r="259" spans="1:31" hidden="1" x14ac:dyDescent="0.25">
      <c r="A259">
        <v>258</v>
      </c>
      <c r="B259" t="s">
        <v>2983</v>
      </c>
      <c r="C259" t="s">
        <v>3039</v>
      </c>
      <c r="D259" t="s">
        <v>2985</v>
      </c>
      <c r="E259" t="s">
        <v>35</v>
      </c>
      <c r="F259" t="s">
        <v>36</v>
      </c>
      <c r="G259" t="s">
        <v>3040</v>
      </c>
      <c r="H259" t="s">
        <v>3041</v>
      </c>
      <c r="I259" t="s">
        <v>300</v>
      </c>
      <c r="J259" t="s">
        <v>2339</v>
      </c>
      <c r="K259" t="s">
        <v>3042</v>
      </c>
      <c r="L259" s="23" t="s">
        <v>3116</v>
      </c>
      <c r="M259" s="23" t="s">
        <v>2771</v>
      </c>
      <c r="N259" s="23" t="s">
        <v>158</v>
      </c>
      <c r="O259" s="23" t="s">
        <v>3117</v>
      </c>
      <c r="P259" s="23" t="s">
        <v>3118</v>
      </c>
      <c r="Q259" s="23" t="s">
        <v>3119</v>
      </c>
      <c r="R259" s="23" t="s">
        <v>76</v>
      </c>
      <c r="S259" s="23" t="s">
        <v>3120</v>
      </c>
      <c r="T259" s="23" t="s">
        <v>3121</v>
      </c>
      <c r="U259" s="23" t="s">
        <v>113</v>
      </c>
      <c r="V259" s="23" t="s">
        <v>244</v>
      </c>
      <c r="W259" s="23" t="s">
        <v>1285</v>
      </c>
      <c r="X259" s="23" t="s">
        <v>2409</v>
      </c>
      <c r="Y259" s="23" t="s">
        <v>507</v>
      </c>
      <c r="Z259" s="23" t="s">
        <v>32</v>
      </c>
      <c r="AA259" s="23" t="s">
        <v>3122</v>
      </c>
      <c r="AB259" s="23" t="s">
        <v>3123</v>
      </c>
      <c r="AC259" s="23" t="s">
        <v>1002</v>
      </c>
      <c r="AD259" s="23" t="s">
        <v>226</v>
      </c>
      <c r="AE259" s="23" t="s">
        <v>3124</v>
      </c>
    </row>
    <row r="260" spans="1:31" hidden="1" x14ac:dyDescent="0.25">
      <c r="A260">
        <v>259</v>
      </c>
      <c r="B260" t="s">
        <v>2983</v>
      </c>
      <c r="C260" t="s">
        <v>3053</v>
      </c>
      <c r="D260" t="s">
        <v>2985</v>
      </c>
      <c r="E260" t="s">
        <v>35</v>
      </c>
      <c r="F260" t="s">
        <v>36</v>
      </c>
      <c r="G260" t="s">
        <v>3054</v>
      </c>
      <c r="H260" t="s">
        <v>3055</v>
      </c>
      <c r="I260" t="s">
        <v>39</v>
      </c>
      <c r="J260" t="s">
        <v>3056</v>
      </c>
      <c r="K260" t="s">
        <v>3057</v>
      </c>
      <c r="L260" s="23" t="s">
        <v>2113</v>
      </c>
      <c r="M260" s="23" t="s">
        <v>257</v>
      </c>
      <c r="N260" s="23" t="s">
        <v>114</v>
      </c>
      <c r="O260" s="23" t="s">
        <v>177</v>
      </c>
      <c r="P260" s="23" t="s">
        <v>3125</v>
      </c>
      <c r="Q260" s="23" t="s">
        <v>574</v>
      </c>
      <c r="R260" s="23" t="s">
        <v>114</v>
      </c>
      <c r="S260" s="23" t="s">
        <v>3126</v>
      </c>
      <c r="T260" s="23" t="s">
        <v>3127</v>
      </c>
      <c r="U260" s="23" t="s">
        <v>257</v>
      </c>
      <c r="V260" s="23" t="s">
        <v>104</v>
      </c>
      <c r="W260" s="23" t="s">
        <v>1459</v>
      </c>
      <c r="X260" s="23" t="s">
        <v>3103</v>
      </c>
      <c r="Y260" s="23" t="s">
        <v>153</v>
      </c>
      <c r="Z260" s="23" t="s">
        <v>114</v>
      </c>
      <c r="AA260" s="23" t="s">
        <v>1315</v>
      </c>
      <c r="AB260" s="23" t="s">
        <v>3128</v>
      </c>
      <c r="AC260" s="23" t="s">
        <v>208</v>
      </c>
      <c r="AD260" s="23" t="s">
        <v>104</v>
      </c>
      <c r="AE260" s="23" t="s">
        <v>3129</v>
      </c>
    </row>
    <row r="261" spans="1:31" hidden="1" x14ac:dyDescent="0.25">
      <c r="A261">
        <v>260</v>
      </c>
      <c r="B261" t="s">
        <v>2983</v>
      </c>
      <c r="C261" t="s">
        <v>3066</v>
      </c>
      <c r="D261" t="s">
        <v>2985</v>
      </c>
      <c r="E261" t="s">
        <v>35</v>
      </c>
      <c r="F261" t="s">
        <v>36</v>
      </c>
      <c r="G261" t="s">
        <v>3067</v>
      </c>
      <c r="H261" t="s">
        <v>3068</v>
      </c>
      <c r="I261" t="s">
        <v>300</v>
      </c>
      <c r="J261" t="s">
        <v>3069</v>
      </c>
      <c r="K261" t="s">
        <v>3070</v>
      </c>
      <c r="L261" s="23" t="s">
        <v>3130</v>
      </c>
      <c r="M261" s="23" t="s">
        <v>593</v>
      </c>
      <c r="N261" s="23" t="s">
        <v>211</v>
      </c>
      <c r="O261" s="23" t="s">
        <v>3131</v>
      </c>
      <c r="P261" s="23" t="s">
        <v>3132</v>
      </c>
      <c r="Q261" s="23" t="s">
        <v>3133</v>
      </c>
      <c r="R261" s="23" t="s">
        <v>1497</v>
      </c>
      <c r="S261" s="23" t="s">
        <v>3134</v>
      </c>
      <c r="T261" s="23" t="s">
        <v>2185</v>
      </c>
      <c r="U261" s="23" t="s">
        <v>248</v>
      </c>
      <c r="V261" s="23" t="s">
        <v>574</v>
      </c>
      <c r="W261" s="23" t="s">
        <v>1372</v>
      </c>
      <c r="X261" s="23" t="s">
        <v>3135</v>
      </c>
      <c r="Y261" s="23" t="s">
        <v>165</v>
      </c>
      <c r="Z261" s="23" t="s">
        <v>2958</v>
      </c>
      <c r="AA261" s="23" t="s">
        <v>3136</v>
      </c>
      <c r="AB261" s="23" t="s">
        <v>3137</v>
      </c>
      <c r="AC261" s="23" t="s">
        <v>3138</v>
      </c>
      <c r="AD261" s="23" t="s">
        <v>581</v>
      </c>
      <c r="AE261" s="23" t="s">
        <v>3139</v>
      </c>
    </row>
    <row r="262" spans="1:31" hidden="1" x14ac:dyDescent="0.25">
      <c r="A262">
        <v>261</v>
      </c>
      <c r="B262" t="s">
        <v>3140</v>
      </c>
      <c r="C262" t="s">
        <v>3141</v>
      </c>
      <c r="D262" t="s">
        <v>3142</v>
      </c>
      <c r="E262" t="s">
        <v>35</v>
      </c>
      <c r="F262" t="s">
        <v>36</v>
      </c>
      <c r="G262" t="s">
        <v>3143</v>
      </c>
      <c r="H262" t="s">
        <v>3144</v>
      </c>
      <c r="I262" t="s">
        <v>163</v>
      </c>
      <c r="J262" t="s">
        <v>3145</v>
      </c>
      <c r="K262" t="s">
        <v>3146</v>
      </c>
      <c r="L262" s="23" t="s">
        <v>3147</v>
      </c>
      <c r="M262" s="23" t="s">
        <v>192</v>
      </c>
      <c r="N262" s="23" t="s">
        <v>94</v>
      </c>
      <c r="O262" s="23" t="s">
        <v>1568</v>
      </c>
      <c r="P262" s="23" t="s">
        <v>1281</v>
      </c>
      <c r="Q262" s="23" t="s">
        <v>245</v>
      </c>
      <c r="R262" s="23" t="s">
        <v>104</v>
      </c>
      <c r="S262" s="23" t="s">
        <v>844</v>
      </c>
      <c r="T262" s="23" t="s">
        <v>1724</v>
      </c>
      <c r="U262" s="23" t="s">
        <v>193</v>
      </c>
      <c r="V262" s="23" t="s">
        <v>114</v>
      </c>
      <c r="W262" s="23" t="s">
        <v>2084</v>
      </c>
      <c r="X262" s="23" t="s">
        <v>1694</v>
      </c>
      <c r="Y262" s="23" t="s">
        <v>197</v>
      </c>
      <c r="Z262" s="23" t="s">
        <v>104</v>
      </c>
      <c r="AA262" s="23" t="s">
        <v>3148</v>
      </c>
      <c r="AB262" s="23" t="s">
        <v>3149</v>
      </c>
      <c r="AC262" s="23" t="s">
        <v>929</v>
      </c>
      <c r="AD262" s="23" t="s">
        <v>244</v>
      </c>
      <c r="AE262" s="23" t="s">
        <v>1549</v>
      </c>
    </row>
    <row r="263" spans="1:31" hidden="1" x14ac:dyDescent="0.25">
      <c r="A263">
        <v>262</v>
      </c>
      <c r="B263" t="s">
        <v>3140</v>
      </c>
      <c r="C263" t="s">
        <v>3150</v>
      </c>
      <c r="D263" t="s">
        <v>3142</v>
      </c>
      <c r="E263" t="s">
        <v>35</v>
      </c>
      <c r="F263" t="s">
        <v>36</v>
      </c>
      <c r="G263" t="s">
        <v>3151</v>
      </c>
      <c r="H263" t="s">
        <v>3144</v>
      </c>
      <c r="I263" t="s">
        <v>163</v>
      </c>
      <c r="J263" t="s">
        <v>3152</v>
      </c>
      <c r="K263" t="s">
        <v>3153</v>
      </c>
      <c r="L263" s="23" t="s">
        <v>3154</v>
      </c>
      <c r="M263" s="23" t="s">
        <v>95</v>
      </c>
      <c r="N263" s="23" t="s">
        <v>1651</v>
      </c>
      <c r="O263" s="23" t="s">
        <v>3155</v>
      </c>
      <c r="P263" s="23" t="s">
        <v>3156</v>
      </c>
      <c r="Q263" s="23" t="s">
        <v>927</v>
      </c>
      <c r="R263" s="23" t="s">
        <v>2084</v>
      </c>
      <c r="S263" s="23" t="s">
        <v>3157</v>
      </c>
      <c r="T263" s="23" t="s">
        <v>3158</v>
      </c>
      <c r="U263" s="23" t="s">
        <v>2216</v>
      </c>
      <c r="V263" s="23" t="s">
        <v>155</v>
      </c>
      <c r="W263" s="23" t="s">
        <v>3159</v>
      </c>
      <c r="X263" s="23" t="s">
        <v>3160</v>
      </c>
      <c r="Y263" s="23" t="s">
        <v>2847</v>
      </c>
      <c r="Z263" s="23" t="s">
        <v>1724</v>
      </c>
      <c r="AA263" s="23" t="s">
        <v>3161</v>
      </c>
      <c r="AB263" s="23" t="s">
        <v>3162</v>
      </c>
      <c r="AC263" s="23" t="s">
        <v>3163</v>
      </c>
      <c r="AD263" s="23" t="s">
        <v>3164</v>
      </c>
      <c r="AE263" s="23" t="s">
        <v>3165</v>
      </c>
    </row>
    <row r="264" spans="1:31" hidden="1" x14ac:dyDescent="0.25">
      <c r="A264">
        <v>263</v>
      </c>
      <c r="B264" t="s">
        <v>3140</v>
      </c>
      <c r="C264" t="s">
        <v>3166</v>
      </c>
      <c r="D264" t="s">
        <v>3142</v>
      </c>
      <c r="E264" t="s">
        <v>35</v>
      </c>
      <c r="F264" t="s">
        <v>36</v>
      </c>
      <c r="G264" t="s">
        <v>3167</v>
      </c>
      <c r="H264" t="s">
        <v>3144</v>
      </c>
      <c r="I264" t="s">
        <v>163</v>
      </c>
      <c r="J264" t="s">
        <v>3168</v>
      </c>
      <c r="K264" t="s">
        <v>3169</v>
      </c>
      <c r="L264" s="23" t="s">
        <v>3170</v>
      </c>
      <c r="M264" s="23" t="s">
        <v>216</v>
      </c>
      <c r="N264" s="23" t="s">
        <v>93</v>
      </c>
      <c r="O264" s="23" t="s">
        <v>3171</v>
      </c>
      <c r="P264" s="23" t="s">
        <v>3172</v>
      </c>
      <c r="Q264" s="23" t="s">
        <v>2380</v>
      </c>
      <c r="R264" s="23" t="s">
        <v>297</v>
      </c>
      <c r="S264" s="23" t="s">
        <v>3173</v>
      </c>
      <c r="T264" s="23" t="s">
        <v>911</v>
      </c>
      <c r="U264" s="23" t="s">
        <v>149</v>
      </c>
      <c r="V264" s="23" t="s">
        <v>150</v>
      </c>
      <c r="W264" s="23" t="s">
        <v>1185</v>
      </c>
      <c r="X264" s="23" t="s">
        <v>2431</v>
      </c>
      <c r="Y264" s="23" t="s">
        <v>451</v>
      </c>
      <c r="Z264" s="23" t="s">
        <v>193</v>
      </c>
      <c r="AA264" s="23" t="s">
        <v>3174</v>
      </c>
      <c r="AB264" s="23" t="s">
        <v>3175</v>
      </c>
      <c r="AC264" s="23" t="s">
        <v>3176</v>
      </c>
      <c r="AD264" s="23" t="s">
        <v>113</v>
      </c>
      <c r="AE264" s="23" t="s">
        <v>3177</v>
      </c>
    </row>
    <row r="265" spans="1:31" hidden="1" x14ac:dyDescent="0.25">
      <c r="A265">
        <v>264</v>
      </c>
      <c r="B265" t="s">
        <v>3140</v>
      </c>
      <c r="C265" t="s">
        <v>3178</v>
      </c>
      <c r="D265" t="s">
        <v>3142</v>
      </c>
      <c r="E265" t="s">
        <v>35</v>
      </c>
      <c r="F265" t="s">
        <v>36</v>
      </c>
      <c r="G265" t="s">
        <v>3179</v>
      </c>
      <c r="H265" t="s">
        <v>3180</v>
      </c>
      <c r="I265" t="s">
        <v>300</v>
      </c>
      <c r="J265" t="s">
        <v>3181</v>
      </c>
      <c r="K265" t="s">
        <v>3182</v>
      </c>
      <c r="L265" s="23" t="s">
        <v>1383</v>
      </c>
      <c r="M265" s="23" t="s">
        <v>72</v>
      </c>
      <c r="N265" s="23" t="s">
        <v>2717</v>
      </c>
      <c r="O265" s="23" t="s">
        <v>3183</v>
      </c>
      <c r="P265" s="23" t="s">
        <v>3184</v>
      </c>
      <c r="Q265" s="23" t="s">
        <v>567</v>
      </c>
      <c r="R265" s="23" t="s">
        <v>3185</v>
      </c>
      <c r="S265" s="23" t="s">
        <v>3186</v>
      </c>
      <c r="T265" s="23" t="s">
        <v>2210</v>
      </c>
      <c r="U265" s="23" t="s">
        <v>489</v>
      </c>
      <c r="V265" s="23" t="s">
        <v>597</v>
      </c>
      <c r="W265" s="23" t="s">
        <v>2483</v>
      </c>
      <c r="X265" s="23" t="s">
        <v>3187</v>
      </c>
      <c r="Y265" s="23" t="s">
        <v>1545</v>
      </c>
      <c r="Z265" s="23" t="s">
        <v>3188</v>
      </c>
      <c r="AA265" s="23" t="s">
        <v>3189</v>
      </c>
      <c r="AB265" s="23" t="s">
        <v>3190</v>
      </c>
      <c r="AC265" s="23" t="s">
        <v>3061</v>
      </c>
      <c r="AD265" s="23" t="s">
        <v>3191</v>
      </c>
      <c r="AE265" s="23" t="s">
        <v>3192</v>
      </c>
    </row>
    <row r="266" spans="1:31" hidden="1" x14ac:dyDescent="0.25">
      <c r="A266">
        <v>265</v>
      </c>
      <c r="B266" t="s">
        <v>3140</v>
      </c>
      <c r="C266" t="s">
        <v>3193</v>
      </c>
      <c r="D266" t="s">
        <v>3142</v>
      </c>
      <c r="E266" t="s">
        <v>35</v>
      </c>
      <c r="F266" t="s">
        <v>36</v>
      </c>
      <c r="G266" t="s">
        <v>3194</v>
      </c>
      <c r="H266" t="s">
        <v>3195</v>
      </c>
      <c r="I266" t="s">
        <v>163</v>
      </c>
      <c r="J266" t="s">
        <v>3196</v>
      </c>
      <c r="K266" t="s">
        <v>3197</v>
      </c>
      <c r="L266" s="23" t="s">
        <v>3198</v>
      </c>
      <c r="M266" s="23" t="s">
        <v>805</v>
      </c>
      <c r="N266" s="23" t="s">
        <v>590</v>
      </c>
      <c r="O266" s="23" t="s">
        <v>997</v>
      </c>
      <c r="P266" s="23" t="s">
        <v>3199</v>
      </c>
      <c r="Q266" s="23" t="s">
        <v>523</v>
      </c>
      <c r="R266" s="23" t="s">
        <v>308</v>
      </c>
      <c r="S266" s="23" t="s">
        <v>3018</v>
      </c>
      <c r="T266" s="23" t="s">
        <v>3062</v>
      </c>
      <c r="U266" s="23" t="s">
        <v>1024</v>
      </c>
      <c r="V266" s="23" t="s">
        <v>226</v>
      </c>
      <c r="W266" s="23" t="s">
        <v>1748</v>
      </c>
      <c r="X266" s="23" t="s">
        <v>387</v>
      </c>
      <c r="Y266" s="23" t="s">
        <v>188</v>
      </c>
      <c r="Z266" s="23" t="s">
        <v>492</v>
      </c>
      <c r="AA266" s="23" t="s">
        <v>3200</v>
      </c>
      <c r="AB266" s="23" t="s">
        <v>3201</v>
      </c>
      <c r="AC266" s="23" t="s">
        <v>2961</v>
      </c>
      <c r="AD266" s="23" t="s">
        <v>2036</v>
      </c>
      <c r="AE266" s="23" t="s">
        <v>3202</v>
      </c>
    </row>
    <row r="267" spans="1:31" hidden="1" x14ac:dyDescent="0.25">
      <c r="A267">
        <v>266</v>
      </c>
      <c r="B267" t="s">
        <v>3140</v>
      </c>
      <c r="C267" t="s">
        <v>3203</v>
      </c>
      <c r="D267" t="s">
        <v>3142</v>
      </c>
      <c r="E267" t="s">
        <v>35</v>
      </c>
      <c r="F267" t="s">
        <v>36</v>
      </c>
      <c r="G267" t="s">
        <v>3204</v>
      </c>
      <c r="H267" t="s">
        <v>3195</v>
      </c>
      <c r="I267" t="s">
        <v>163</v>
      </c>
      <c r="J267" t="s">
        <v>3205</v>
      </c>
      <c r="K267" t="s">
        <v>3206</v>
      </c>
      <c r="L267" s="23" t="s">
        <v>3207</v>
      </c>
      <c r="M267" s="23" t="s">
        <v>659</v>
      </c>
      <c r="N267" s="23" t="s">
        <v>81</v>
      </c>
      <c r="O267" s="23" t="s">
        <v>3208</v>
      </c>
      <c r="P267" s="23" t="s">
        <v>3209</v>
      </c>
      <c r="Q267" s="23" t="s">
        <v>469</v>
      </c>
      <c r="R267" s="23" t="s">
        <v>723</v>
      </c>
      <c r="S267" s="23" t="s">
        <v>3210</v>
      </c>
      <c r="T267" s="23" t="s">
        <v>3211</v>
      </c>
      <c r="U267" s="23" t="s">
        <v>133</v>
      </c>
      <c r="V267" s="23" t="s">
        <v>336</v>
      </c>
      <c r="W267" s="23" t="s">
        <v>3212</v>
      </c>
      <c r="X267" s="23" t="s">
        <v>3213</v>
      </c>
      <c r="Y267" s="23" t="s">
        <v>2924</v>
      </c>
      <c r="Z267" s="23" t="s">
        <v>2123</v>
      </c>
      <c r="AA267" s="23" t="s">
        <v>3214</v>
      </c>
      <c r="AB267" s="23" t="s">
        <v>3215</v>
      </c>
      <c r="AC267" s="23" t="s">
        <v>865</v>
      </c>
      <c r="AD267" s="23" t="s">
        <v>1295</v>
      </c>
      <c r="AE267" s="23" t="s">
        <v>3216</v>
      </c>
    </row>
    <row r="268" spans="1:31" hidden="1" x14ac:dyDescent="0.25">
      <c r="A268">
        <v>267</v>
      </c>
      <c r="B268" t="s">
        <v>3140</v>
      </c>
      <c r="C268" t="s">
        <v>3217</v>
      </c>
      <c r="D268" t="s">
        <v>3142</v>
      </c>
      <c r="E268" t="s">
        <v>35</v>
      </c>
      <c r="F268" t="s">
        <v>36</v>
      </c>
      <c r="G268" t="s">
        <v>3218</v>
      </c>
      <c r="H268" t="s">
        <v>3195</v>
      </c>
      <c r="I268" t="s">
        <v>163</v>
      </c>
      <c r="J268" t="s">
        <v>3219</v>
      </c>
      <c r="K268" t="s">
        <v>3220</v>
      </c>
      <c r="L268" s="23" t="s">
        <v>204</v>
      </c>
      <c r="M268" s="23" t="s">
        <v>336</v>
      </c>
      <c r="N268" s="23" t="s">
        <v>114</v>
      </c>
      <c r="O268" s="23" t="s">
        <v>3221</v>
      </c>
      <c r="P268" s="23" t="s">
        <v>3222</v>
      </c>
      <c r="Q268" s="23" t="s">
        <v>1400</v>
      </c>
      <c r="R268" s="23" t="s">
        <v>98</v>
      </c>
      <c r="S268" s="23" t="s">
        <v>3029</v>
      </c>
      <c r="T268" s="23" t="s">
        <v>2613</v>
      </c>
      <c r="U268" s="23" t="s">
        <v>213</v>
      </c>
      <c r="V268" s="23" t="s">
        <v>114</v>
      </c>
      <c r="W268" s="23" t="s">
        <v>3223</v>
      </c>
      <c r="X268" s="23" t="s">
        <v>1413</v>
      </c>
      <c r="Y268" s="23" t="s">
        <v>253</v>
      </c>
      <c r="Z268" s="23" t="s">
        <v>244</v>
      </c>
      <c r="AA268" s="23" t="s">
        <v>684</v>
      </c>
      <c r="AB268" s="23" t="s">
        <v>3224</v>
      </c>
      <c r="AC268" s="23" t="s">
        <v>174</v>
      </c>
      <c r="AD268" s="23" t="s">
        <v>32</v>
      </c>
      <c r="AE268" s="23" t="s">
        <v>3225</v>
      </c>
    </row>
    <row r="269" spans="1:31" hidden="1" x14ac:dyDescent="0.25">
      <c r="A269">
        <v>268</v>
      </c>
      <c r="B269" t="s">
        <v>3140</v>
      </c>
      <c r="C269" t="s">
        <v>3226</v>
      </c>
      <c r="D269" t="s">
        <v>3142</v>
      </c>
      <c r="E269" t="s">
        <v>35</v>
      </c>
      <c r="F269" t="s">
        <v>36</v>
      </c>
      <c r="G269" t="s">
        <v>3227</v>
      </c>
      <c r="H269" t="s">
        <v>3195</v>
      </c>
      <c r="I269" t="s">
        <v>163</v>
      </c>
      <c r="J269" t="s">
        <v>3228</v>
      </c>
      <c r="K269" t="s">
        <v>3229</v>
      </c>
      <c r="L269" s="23" t="s">
        <v>3230</v>
      </c>
      <c r="M269" s="23" t="s">
        <v>1507</v>
      </c>
      <c r="N269" s="23" t="s">
        <v>257</v>
      </c>
      <c r="O269" s="23" t="s">
        <v>3231</v>
      </c>
      <c r="P269" s="23" t="s">
        <v>1868</v>
      </c>
      <c r="Q269" s="23" t="s">
        <v>408</v>
      </c>
      <c r="R269" s="23" t="s">
        <v>245</v>
      </c>
      <c r="S269" s="23" t="s">
        <v>3232</v>
      </c>
      <c r="T269" s="23" t="s">
        <v>3233</v>
      </c>
      <c r="U269" s="23" t="s">
        <v>347</v>
      </c>
      <c r="V269" s="23" t="s">
        <v>257</v>
      </c>
      <c r="W269" s="23" t="s">
        <v>523</v>
      </c>
      <c r="X269" s="23" t="s">
        <v>3234</v>
      </c>
      <c r="Y269" s="23" t="s">
        <v>2123</v>
      </c>
      <c r="Z269" s="23" t="s">
        <v>347</v>
      </c>
      <c r="AA269" s="23" t="s">
        <v>3235</v>
      </c>
      <c r="AB269" s="23" t="s">
        <v>1583</v>
      </c>
      <c r="AC269" s="23" t="s">
        <v>3236</v>
      </c>
      <c r="AD269" s="23" t="s">
        <v>991</v>
      </c>
      <c r="AE269" s="23" t="s">
        <v>3237</v>
      </c>
    </row>
    <row r="270" spans="1:31" hidden="1" x14ac:dyDescent="0.25">
      <c r="A270">
        <v>269</v>
      </c>
      <c r="B270" t="s">
        <v>3140</v>
      </c>
      <c r="C270" t="s">
        <v>3238</v>
      </c>
      <c r="D270" t="s">
        <v>3142</v>
      </c>
      <c r="E270" t="s">
        <v>35</v>
      </c>
      <c r="F270" t="s">
        <v>36</v>
      </c>
      <c r="G270" t="s">
        <v>3239</v>
      </c>
      <c r="H270" t="s">
        <v>3195</v>
      </c>
      <c r="I270" t="s">
        <v>163</v>
      </c>
      <c r="J270" t="s">
        <v>3240</v>
      </c>
      <c r="K270" t="s">
        <v>3241</v>
      </c>
      <c r="L270" s="23" t="s">
        <v>3242</v>
      </c>
      <c r="M270" s="23" t="s">
        <v>133</v>
      </c>
      <c r="N270" s="23" t="s">
        <v>73</v>
      </c>
      <c r="O270" s="23" t="s">
        <v>3243</v>
      </c>
      <c r="P270" s="23" t="s">
        <v>1604</v>
      </c>
      <c r="Q270" s="23" t="s">
        <v>2875</v>
      </c>
      <c r="R270" s="23" t="s">
        <v>1698</v>
      </c>
      <c r="S270" s="23" t="s">
        <v>3244</v>
      </c>
      <c r="T270" s="23" t="s">
        <v>1579</v>
      </c>
      <c r="U270" s="23" t="s">
        <v>347</v>
      </c>
      <c r="V270" s="23" t="s">
        <v>278</v>
      </c>
      <c r="W270" s="23" t="s">
        <v>309</v>
      </c>
      <c r="X270" s="23" t="s">
        <v>1181</v>
      </c>
      <c r="Y270" s="23" t="s">
        <v>116</v>
      </c>
      <c r="Z270" s="23" t="s">
        <v>3245</v>
      </c>
      <c r="AA270" s="23" t="s">
        <v>2590</v>
      </c>
      <c r="AB270" s="23" t="s">
        <v>3246</v>
      </c>
      <c r="AC270" s="23" t="s">
        <v>1758</v>
      </c>
      <c r="AD270" s="23" t="s">
        <v>70</v>
      </c>
      <c r="AE270" s="23" t="s">
        <v>3247</v>
      </c>
    </row>
    <row r="271" spans="1:31" hidden="1" x14ac:dyDescent="0.25">
      <c r="A271">
        <v>270</v>
      </c>
      <c r="B271" t="s">
        <v>3140</v>
      </c>
      <c r="C271" t="s">
        <v>3248</v>
      </c>
      <c r="D271" t="s">
        <v>3142</v>
      </c>
      <c r="E271" t="s">
        <v>35</v>
      </c>
      <c r="F271" t="s">
        <v>36</v>
      </c>
      <c r="G271" t="s">
        <v>3249</v>
      </c>
      <c r="H271" t="s">
        <v>3195</v>
      </c>
      <c r="I271" t="s">
        <v>163</v>
      </c>
      <c r="J271" t="s">
        <v>3250</v>
      </c>
      <c r="K271" t="s">
        <v>3251</v>
      </c>
      <c r="L271" s="23" t="s">
        <v>3252</v>
      </c>
      <c r="M271" s="23" t="s">
        <v>642</v>
      </c>
      <c r="N271" s="23" t="s">
        <v>1899</v>
      </c>
      <c r="O271" s="23" t="s">
        <v>3253</v>
      </c>
      <c r="P271" s="23" t="s">
        <v>3254</v>
      </c>
      <c r="Q271" s="23" t="s">
        <v>1746</v>
      </c>
      <c r="R271" s="23" t="s">
        <v>488</v>
      </c>
      <c r="S271" s="23" t="s">
        <v>3255</v>
      </c>
      <c r="T271" s="23" t="s">
        <v>3256</v>
      </c>
      <c r="U271" s="23" t="s">
        <v>2384</v>
      </c>
      <c r="V271" s="23" t="s">
        <v>275</v>
      </c>
      <c r="W271" s="23" t="s">
        <v>3257</v>
      </c>
      <c r="X271" s="23" t="s">
        <v>3258</v>
      </c>
      <c r="Y271" s="23" t="s">
        <v>3259</v>
      </c>
      <c r="Z271" s="23" t="s">
        <v>2313</v>
      </c>
      <c r="AA271" s="23" t="s">
        <v>3260</v>
      </c>
      <c r="AB271" s="23" t="s">
        <v>3261</v>
      </c>
      <c r="AC271" s="23" t="s">
        <v>3262</v>
      </c>
      <c r="AD271" s="23" t="s">
        <v>3263</v>
      </c>
      <c r="AE271" s="23" t="s">
        <v>3264</v>
      </c>
    </row>
    <row r="272" spans="1:31" hidden="1" x14ac:dyDescent="0.25">
      <c r="A272">
        <v>271</v>
      </c>
      <c r="B272" t="s">
        <v>3140</v>
      </c>
      <c r="C272" t="s">
        <v>3141</v>
      </c>
      <c r="D272" t="s">
        <v>3142</v>
      </c>
      <c r="E272" t="s">
        <v>35</v>
      </c>
      <c r="F272" t="s">
        <v>162</v>
      </c>
      <c r="G272" t="s">
        <v>3143</v>
      </c>
      <c r="H272" t="s">
        <v>3144</v>
      </c>
      <c r="I272" t="s">
        <v>39</v>
      </c>
      <c r="J272" t="s">
        <v>3145</v>
      </c>
      <c r="K272" t="s">
        <v>3146</v>
      </c>
      <c r="L272" s="23" t="s">
        <v>1186</v>
      </c>
      <c r="M272" s="23" t="s">
        <v>153</v>
      </c>
      <c r="N272" s="23" t="s">
        <v>114</v>
      </c>
      <c r="O272" s="23" t="s">
        <v>782</v>
      </c>
      <c r="P272" s="23" t="s">
        <v>3265</v>
      </c>
      <c r="Q272" s="23" t="s">
        <v>914</v>
      </c>
      <c r="R272" s="23" t="s">
        <v>94</v>
      </c>
      <c r="S272" s="23" t="s">
        <v>3266</v>
      </c>
      <c r="T272" s="23" t="s">
        <v>3267</v>
      </c>
      <c r="U272" s="23" t="s">
        <v>247</v>
      </c>
      <c r="V272" s="23" t="s">
        <v>114</v>
      </c>
      <c r="W272" s="23" t="s">
        <v>3268</v>
      </c>
      <c r="X272" s="23" t="s">
        <v>912</v>
      </c>
      <c r="Y272" s="23" t="s">
        <v>246</v>
      </c>
      <c r="Z272" s="23" t="s">
        <v>114</v>
      </c>
      <c r="AA272" s="23" t="s">
        <v>170</v>
      </c>
      <c r="AB272" s="23" t="s">
        <v>3269</v>
      </c>
      <c r="AC272" s="23" t="s">
        <v>1464</v>
      </c>
      <c r="AD272" s="23" t="s">
        <v>94</v>
      </c>
      <c r="AE272" s="23" t="s">
        <v>3084</v>
      </c>
    </row>
    <row r="273" spans="1:31" hidden="1" x14ac:dyDescent="0.25">
      <c r="A273">
        <v>272</v>
      </c>
      <c r="B273" t="s">
        <v>3140</v>
      </c>
      <c r="C273" t="s">
        <v>3150</v>
      </c>
      <c r="D273" t="s">
        <v>3142</v>
      </c>
      <c r="E273" t="s">
        <v>35</v>
      </c>
      <c r="F273" t="s">
        <v>162</v>
      </c>
      <c r="G273" t="s">
        <v>3151</v>
      </c>
      <c r="H273" t="s">
        <v>3144</v>
      </c>
      <c r="I273" t="s">
        <v>39</v>
      </c>
      <c r="J273" t="s">
        <v>3152</v>
      </c>
      <c r="K273" t="s">
        <v>3153</v>
      </c>
      <c r="L273" s="23" t="s">
        <v>3270</v>
      </c>
      <c r="M273" s="23" t="s">
        <v>3271</v>
      </c>
      <c r="N273" s="23" t="s">
        <v>302</v>
      </c>
      <c r="O273" s="23" t="s">
        <v>3272</v>
      </c>
      <c r="P273" s="23" t="s">
        <v>3273</v>
      </c>
      <c r="Q273" s="23" t="s">
        <v>3274</v>
      </c>
      <c r="R273" s="23" t="s">
        <v>3275</v>
      </c>
      <c r="S273" s="23" t="s">
        <v>3276</v>
      </c>
      <c r="T273" s="23" t="s">
        <v>3277</v>
      </c>
      <c r="U273" s="23" t="s">
        <v>329</v>
      </c>
      <c r="V273" s="23" t="s">
        <v>468</v>
      </c>
      <c r="W273" s="23" t="s">
        <v>3278</v>
      </c>
      <c r="X273" s="23" t="s">
        <v>2461</v>
      </c>
      <c r="Y273" s="23" t="s">
        <v>2388</v>
      </c>
      <c r="Z273" s="23" t="s">
        <v>234</v>
      </c>
      <c r="AA273" s="23" t="s">
        <v>3279</v>
      </c>
      <c r="AB273" s="23" t="s">
        <v>3280</v>
      </c>
      <c r="AC273" s="23" t="s">
        <v>3281</v>
      </c>
      <c r="AD273" s="23" t="s">
        <v>1517</v>
      </c>
      <c r="AE273" s="23" t="s">
        <v>3282</v>
      </c>
    </row>
    <row r="274" spans="1:31" hidden="1" x14ac:dyDescent="0.25">
      <c r="A274">
        <v>273</v>
      </c>
      <c r="B274" t="s">
        <v>3140</v>
      </c>
      <c r="C274" t="s">
        <v>3166</v>
      </c>
      <c r="D274" t="s">
        <v>3142</v>
      </c>
      <c r="E274" t="s">
        <v>35</v>
      </c>
      <c r="F274" t="s">
        <v>162</v>
      </c>
      <c r="G274" t="s">
        <v>3167</v>
      </c>
      <c r="H274" t="s">
        <v>3144</v>
      </c>
      <c r="I274" t="s">
        <v>39</v>
      </c>
      <c r="J274" t="s">
        <v>3168</v>
      </c>
      <c r="K274" t="s">
        <v>3169</v>
      </c>
      <c r="L274" s="23" t="s">
        <v>3283</v>
      </c>
      <c r="M274" s="23" t="s">
        <v>322</v>
      </c>
      <c r="N274" s="23" t="s">
        <v>138</v>
      </c>
      <c r="O274" s="23" t="s">
        <v>722</v>
      </c>
      <c r="P274" s="23" t="s">
        <v>3284</v>
      </c>
      <c r="Q274" s="23" t="s">
        <v>2085</v>
      </c>
      <c r="R274" s="23" t="s">
        <v>895</v>
      </c>
      <c r="S274" s="23" t="s">
        <v>2721</v>
      </c>
      <c r="T274" s="23" t="s">
        <v>3285</v>
      </c>
      <c r="U274" s="23" t="s">
        <v>315</v>
      </c>
      <c r="V274" s="23" t="s">
        <v>103</v>
      </c>
      <c r="W274" s="23" t="s">
        <v>3286</v>
      </c>
      <c r="X274" s="23" t="s">
        <v>3287</v>
      </c>
      <c r="Y274" s="23" t="s">
        <v>275</v>
      </c>
      <c r="Z274" s="23" t="s">
        <v>156</v>
      </c>
      <c r="AA274" s="23" t="s">
        <v>3288</v>
      </c>
      <c r="AB274" s="23" t="s">
        <v>3289</v>
      </c>
      <c r="AC274" s="23" t="s">
        <v>2075</v>
      </c>
      <c r="AD274" s="23" t="s">
        <v>950</v>
      </c>
      <c r="AE274" s="23" t="s">
        <v>3290</v>
      </c>
    </row>
    <row r="275" spans="1:31" hidden="1" x14ac:dyDescent="0.25">
      <c r="A275">
        <v>274</v>
      </c>
      <c r="B275" t="s">
        <v>3140</v>
      </c>
      <c r="C275" t="s">
        <v>3178</v>
      </c>
      <c r="D275" t="s">
        <v>3142</v>
      </c>
      <c r="E275" t="s">
        <v>35</v>
      </c>
      <c r="F275" t="s">
        <v>162</v>
      </c>
      <c r="G275" t="s">
        <v>3179</v>
      </c>
      <c r="H275" t="s">
        <v>3180</v>
      </c>
      <c r="I275" t="s">
        <v>240</v>
      </c>
      <c r="J275" t="s">
        <v>3181</v>
      </c>
      <c r="K275" t="s">
        <v>3182</v>
      </c>
      <c r="L275" s="23" t="s">
        <v>3291</v>
      </c>
      <c r="M275" s="23" t="s">
        <v>658</v>
      </c>
      <c r="N275" s="23" t="s">
        <v>200</v>
      </c>
      <c r="O275" s="23" t="s">
        <v>3292</v>
      </c>
      <c r="P275" s="23" t="s">
        <v>3293</v>
      </c>
      <c r="Q275" s="23" t="s">
        <v>840</v>
      </c>
      <c r="R275" s="23" t="s">
        <v>3294</v>
      </c>
      <c r="S275" s="23" t="s">
        <v>3295</v>
      </c>
      <c r="T275" s="23" t="s">
        <v>3296</v>
      </c>
      <c r="U275" s="23" t="s">
        <v>1464</v>
      </c>
      <c r="V275" s="23" t="s">
        <v>597</v>
      </c>
      <c r="W275" s="23" t="s">
        <v>3297</v>
      </c>
      <c r="X275" s="23" t="s">
        <v>3298</v>
      </c>
      <c r="Y275" s="23" t="s">
        <v>2439</v>
      </c>
      <c r="Z275" s="23" t="s">
        <v>3299</v>
      </c>
      <c r="AA275" s="23" t="s">
        <v>3300</v>
      </c>
      <c r="AB275" s="23" t="s">
        <v>1508</v>
      </c>
      <c r="AC275" s="23" t="s">
        <v>3301</v>
      </c>
      <c r="AD275" s="23" t="s">
        <v>3302</v>
      </c>
      <c r="AE275" s="23" t="s">
        <v>3303</v>
      </c>
    </row>
    <row r="276" spans="1:31" hidden="1" x14ac:dyDescent="0.25">
      <c r="A276">
        <v>275</v>
      </c>
      <c r="B276" t="s">
        <v>3140</v>
      </c>
      <c r="C276" t="s">
        <v>3193</v>
      </c>
      <c r="D276" t="s">
        <v>3142</v>
      </c>
      <c r="E276" t="s">
        <v>35</v>
      </c>
      <c r="F276" t="s">
        <v>162</v>
      </c>
      <c r="G276" t="s">
        <v>3194</v>
      </c>
      <c r="H276" t="s">
        <v>3195</v>
      </c>
      <c r="I276" t="s">
        <v>39</v>
      </c>
      <c r="J276" t="s">
        <v>3196</v>
      </c>
      <c r="K276" t="s">
        <v>3197</v>
      </c>
      <c r="L276" s="23" t="s">
        <v>2320</v>
      </c>
      <c r="M276" s="23" t="s">
        <v>1705</v>
      </c>
      <c r="N276" s="23" t="s">
        <v>113</v>
      </c>
      <c r="O276" s="23" t="s">
        <v>2670</v>
      </c>
      <c r="P276" s="23" t="s">
        <v>3304</v>
      </c>
      <c r="Q276" s="23" t="s">
        <v>3305</v>
      </c>
      <c r="R276" s="23" t="s">
        <v>3306</v>
      </c>
      <c r="S276" s="23" t="s">
        <v>3307</v>
      </c>
      <c r="T276" s="23" t="s">
        <v>1429</v>
      </c>
      <c r="U276" s="23" t="s">
        <v>295</v>
      </c>
      <c r="V276" s="23" t="s">
        <v>347</v>
      </c>
      <c r="W276" s="23" t="s">
        <v>3308</v>
      </c>
      <c r="X276" s="23" t="s">
        <v>3309</v>
      </c>
      <c r="Y276" s="23" t="s">
        <v>879</v>
      </c>
      <c r="Z276" s="23" t="s">
        <v>275</v>
      </c>
      <c r="AA276" s="23" t="s">
        <v>2432</v>
      </c>
      <c r="AB276" s="23" t="s">
        <v>3310</v>
      </c>
      <c r="AC276" s="23" t="s">
        <v>3311</v>
      </c>
      <c r="AD276" s="23" t="s">
        <v>262</v>
      </c>
      <c r="AE276" s="23" t="s">
        <v>3312</v>
      </c>
    </row>
    <row r="277" spans="1:31" hidden="1" x14ac:dyDescent="0.25">
      <c r="A277">
        <v>276</v>
      </c>
      <c r="B277" t="s">
        <v>3140</v>
      </c>
      <c r="C277" t="s">
        <v>3203</v>
      </c>
      <c r="D277" t="s">
        <v>3142</v>
      </c>
      <c r="E277" t="s">
        <v>35</v>
      </c>
      <c r="F277" t="s">
        <v>162</v>
      </c>
      <c r="G277" t="s">
        <v>3204</v>
      </c>
      <c r="H277" t="s">
        <v>3195</v>
      </c>
      <c r="I277" t="s">
        <v>39</v>
      </c>
      <c r="J277" t="s">
        <v>3205</v>
      </c>
      <c r="K277" t="s">
        <v>3206</v>
      </c>
      <c r="L277" s="23" t="s">
        <v>1136</v>
      </c>
      <c r="M277" s="23" t="s">
        <v>1651</v>
      </c>
      <c r="N277" s="23" t="s">
        <v>185</v>
      </c>
      <c r="O277" s="23" t="s">
        <v>3313</v>
      </c>
      <c r="P277" s="23" t="s">
        <v>3314</v>
      </c>
      <c r="Q277" s="23" t="s">
        <v>3315</v>
      </c>
      <c r="R277" s="23" t="s">
        <v>142</v>
      </c>
      <c r="S277" s="23" t="s">
        <v>3316</v>
      </c>
      <c r="T277" s="23" t="s">
        <v>3317</v>
      </c>
      <c r="U277" s="23" t="s">
        <v>981</v>
      </c>
      <c r="V277" s="23" t="s">
        <v>282</v>
      </c>
      <c r="W277" s="23" t="s">
        <v>3318</v>
      </c>
      <c r="X277" s="23" t="s">
        <v>3319</v>
      </c>
      <c r="Y277" s="23" t="s">
        <v>597</v>
      </c>
      <c r="Z277" s="23" t="s">
        <v>588</v>
      </c>
      <c r="AA277" s="23" t="s">
        <v>3320</v>
      </c>
      <c r="AB277" s="23" t="s">
        <v>3321</v>
      </c>
      <c r="AC277" s="23" t="s">
        <v>1181</v>
      </c>
      <c r="AD277" s="23" t="s">
        <v>2436</v>
      </c>
      <c r="AE277" s="23" t="s">
        <v>3322</v>
      </c>
    </row>
    <row r="278" spans="1:31" hidden="1" x14ac:dyDescent="0.25">
      <c r="A278">
        <v>277</v>
      </c>
      <c r="B278" t="s">
        <v>3140</v>
      </c>
      <c r="C278" t="s">
        <v>3217</v>
      </c>
      <c r="D278" t="s">
        <v>3142</v>
      </c>
      <c r="E278" t="s">
        <v>35</v>
      </c>
      <c r="F278" t="s">
        <v>162</v>
      </c>
      <c r="G278" t="s">
        <v>3218</v>
      </c>
      <c r="H278" t="s">
        <v>3195</v>
      </c>
      <c r="I278" t="s">
        <v>39</v>
      </c>
      <c r="J278" t="s">
        <v>3219</v>
      </c>
      <c r="K278" t="s">
        <v>3220</v>
      </c>
      <c r="L278" s="23" t="s">
        <v>3323</v>
      </c>
      <c r="M278" s="23" t="s">
        <v>76</v>
      </c>
      <c r="N278" s="23" t="s">
        <v>94</v>
      </c>
      <c r="O278" s="23" t="s">
        <v>1296</v>
      </c>
      <c r="P278" s="23" t="s">
        <v>3324</v>
      </c>
      <c r="Q278" s="23" t="s">
        <v>590</v>
      </c>
      <c r="R278" s="23" t="s">
        <v>98</v>
      </c>
      <c r="S278" s="23" t="s">
        <v>2115</v>
      </c>
      <c r="T278" s="23" t="s">
        <v>3325</v>
      </c>
      <c r="U278" s="23" t="s">
        <v>192</v>
      </c>
      <c r="V278" s="23" t="s">
        <v>94</v>
      </c>
      <c r="W278" s="23" t="s">
        <v>3326</v>
      </c>
      <c r="X278" s="23" t="s">
        <v>865</v>
      </c>
      <c r="Y278" s="23" t="s">
        <v>118</v>
      </c>
      <c r="Z278" s="23" t="s">
        <v>94</v>
      </c>
      <c r="AA278" s="23" t="s">
        <v>1684</v>
      </c>
      <c r="AB278" s="23" t="s">
        <v>3327</v>
      </c>
      <c r="AC278" s="23" t="s">
        <v>3328</v>
      </c>
      <c r="AD278" s="23" t="s">
        <v>122</v>
      </c>
      <c r="AE278" s="23" t="s">
        <v>3329</v>
      </c>
    </row>
    <row r="279" spans="1:31" hidden="1" x14ac:dyDescent="0.25">
      <c r="A279">
        <v>278</v>
      </c>
      <c r="B279" t="s">
        <v>3140</v>
      </c>
      <c r="C279" t="s">
        <v>3226</v>
      </c>
      <c r="D279" t="s">
        <v>3142</v>
      </c>
      <c r="E279" t="s">
        <v>35</v>
      </c>
      <c r="F279" t="s">
        <v>162</v>
      </c>
      <c r="G279" t="s">
        <v>3227</v>
      </c>
      <c r="H279" t="s">
        <v>3195</v>
      </c>
      <c r="I279" t="s">
        <v>39</v>
      </c>
      <c r="J279" t="s">
        <v>3228</v>
      </c>
      <c r="K279" t="s">
        <v>3229</v>
      </c>
      <c r="L279" s="23" t="s">
        <v>3330</v>
      </c>
      <c r="M279" s="23" t="s">
        <v>211</v>
      </c>
      <c r="N279" s="23" t="s">
        <v>130</v>
      </c>
      <c r="O279" s="23" t="s">
        <v>3275</v>
      </c>
      <c r="P279" s="23" t="s">
        <v>2620</v>
      </c>
      <c r="Q279" s="23" t="s">
        <v>1685</v>
      </c>
      <c r="R279" s="23" t="s">
        <v>295</v>
      </c>
      <c r="S279" s="23" t="s">
        <v>2290</v>
      </c>
      <c r="T279" s="23" t="s">
        <v>662</v>
      </c>
      <c r="U279" s="23" t="s">
        <v>97</v>
      </c>
      <c r="V279" s="23" t="s">
        <v>122</v>
      </c>
      <c r="W279" s="23" t="s">
        <v>412</v>
      </c>
      <c r="X279" s="23" t="s">
        <v>843</v>
      </c>
      <c r="Y279" s="23" t="s">
        <v>559</v>
      </c>
      <c r="Z279" s="23" t="s">
        <v>138</v>
      </c>
      <c r="AA279" s="23" t="s">
        <v>3331</v>
      </c>
      <c r="AB279" s="23" t="s">
        <v>3332</v>
      </c>
      <c r="AC279" s="23" t="s">
        <v>1533</v>
      </c>
      <c r="AD279" s="23" t="s">
        <v>507</v>
      </c>
      <c r="AE279" s="23" t="s">
        <v>855</v>
      </c>
    </row>
    <row r="280" spans="1:31" hidden="1" x14ac:dyDescent="0.25">
      <c r="A280">
        <v>279</v>
      </c>
      <c r="B280" t="s">
        <v>3140</v>
      </c>
      <c r="C280" t="s">
        <v>3238</v>
      </c>
      <c r="D280" t="s">
        <v>3142</v>
      </c>
      <c r="E280" t="s">
        <v>35</v>
      </c>
      <c r="F280" t="s">
        <v>162</v>
      </c>
      <c r="G280" t="s">
        <v>3239</v>
      </c>
      <c r="H280" t="s">
        <v>3195</v>
      </c>
      <c r="I280" t="s">
        <v>39</v>
      </c>
      <c r="J280" t="s">
        <v>3240</v>
      </c>
      <c r="K280" t="s">
        <v>3241</v>
      </c>
      <c r="L280" s="23" t="s">
        <v>598</v>
      </c>
      <c r="M280" s="23" t="s">
        <v>315</v>
      </c>
      <c r="N280" s="23" t="s">
        <v>97</v>
      </c>
      <c r="O280" s="23" t="s">
        <v>308</v>
      </c>
      <c r="P280" s="23" t="s">
        <v>3333</v>
      </c>
      <c r="Q280" s="23" t="s">
        <v>1922</v>
      </c>
      <c r="R280" s="23" t="s">
        <v>3328</v>
      </c>
      <c r="S280" s="23" t="s">
        <v>3334</v>
      </c>
      <c r="T280" s="23" t="s">
        <v>3335</v>
      </c>
      <c r="U280" s="23" t="s">
        <v>115</v>
      </c>
      <c r="V280" s="23" t="s">
        <v>185</v>
      </c>
      <c r="W280" s="23" t="s">
        <v>3336</v>
      </c>
      <c r="X280" s="23" t="s">
        <v>3337</v>
      </c>
      <c r="Y280" s="23" t="s">
        <v>588</v>
      </c>
      <c r="Z280" s="23" t="s">
        <v>579</v>
      </c>
      <c r="AA280" s="23" t="s">
        <v>3338</v>
      </c>
      <c r="AB280" s="23" t="s">
        <v>3339</v>
      </c>
      <c r="AC280" s="23" t="s">
        <v>78</v>
      </c>
      <c r="AD280" s="23" t="s">
        <v>385</v>
      </c>
      <c r="AE280" s="23" t="s">
        <v>3340</v>
      </c>
    </row>
    <row r="281" spans="1:31" hidden="1" x14ac:dyDescent="0.25">
      <c r="A281">
        <v>280</v>
      </c>
      <c r="B281" t="s">
        <v>3140</v>
      </c>
      <c r="C281" t="s">
        <v>3248</v>
      </c>
      <c r="D281" t="s">
        <v>3142</v>
      </c>
      <c r="E281" t="s">
        <v>35</v>
      </c>
      <c r="F281" t="s">
        <v>162</v>
      </c>
      <c r="G281" t="s">
        <v>3249</v>
      </c>
      <c r="H281" t="s">
        <v>3195</v>
      </c>
      <c r="I281" t="s">
        <v>39</v>
      </c>
      <c r="J281" t="s">
        <v>3250</v>
      </c>
      <c r="K281" t="s">
        <v>3251</v>
      </c>
      <c r="L281" s="23" t="s">
        <v>3341</v>
      </c>
      <c r="M281" s="23" t="s">
        <v>165</v>
      </c>
      <c r="N281" s="23" t="s">
        <v>492</v>
      </c>
      <c r="O281" s="23" t="s">
        <v>2992</v>
      </c>
      <c r="P281" s="23" t="s">
        <v>3342</v>
      </c>
      <c r="Q281" s="23" t="s">
        <v>263</v>
      </c>
      <c r="R281" s="23" t="s">
        <v>545</v>
      </c>
      <c r="S281" s="23" t="s">
        <v>3343</v>
      </c>
      <c r="T281" s="23" t="s">
        <v>3344</v>
      </c>
      <c r="U281" s="23" t="s">
        <v>488</v>
      </c>
      <c r="V281" s="23" t="s">
        <v>281</v>
      </c>
      <c r="W281" s="23" t="s">
        <v>3345</v>
      </c>
      <c r="X281" s="23" t="s">
        <v>3346</v>
      </c>
      <c r="Y281" s="23" t="s">
        <v>3347</v>
      </c>
      <c r="Z281" s="23" t="s">
        <v>3348</v>
      </c>
      <c r="AA281" s="23" t="s">
        <v>3349</v>
      </c>
      <c r="AB281" s="23" t="s">
        <v>3350</v>
      </c>
      <c r="AC281" s="23" t="s">
        <v>1189</v>
      </c>
      <c r="AD281" s="23" t="s">
        <v>3351</v>
      </c>
      <c r="AE281" s="23" t="s">
        <v>3352</v>
      </c>
    </row>
    <row r="282" spans="1:31" hidden="1" x14ac:dyDescent="0.25">
      <c r="A282">
        <v>281</v>
      </c>
      <c r="B282" t="s">
        <v>3353</v>
      </c>
      <c r="C282" t="s">
        <v>3354</v>
      </c>
      <c r="D282" t="s">
        <v>3355</v>
      </c>
      <c r="E282" t="s">
        <v>35</v>
      </c>
      <c r="F282" t="s">
        <v>36</v>
      </c>
      <c r="G282" t="s">
        <v>3356</v>
      </c>
      <c r="H282" t="s">
        <v>3357</v>
      </c>
      <c r="I282" t="s">
        <v>240</v>
      </c>
      <c r="J282" t="s">
        <v>3358</v>
      </c>
      <c r="K282" t="s">
        <v>3359</v>
      </c>
      <c r="L282" s="23" t="s">
        <v>3360</v>
      </c>
      <c r="M282" s="23" t="s">
        <v>388</v>
      </c>
      <c r="N282" s="23" t="s">
        <v>1527</v>
      </c>
      <c r="O282" s="23" t="s">
        <v>3361</v>
      </c>
      <c r="P282" s="23" t="s">
        <v>547</v>
      </c>
      <c r="Q282" s="23" t="s">
        <v>3362</v>
      </c>
      <c r="R282" s="23" t="s">
        <v>3363</v>
      </c>
      <c r="S282" s="23" t="s">
        <v>3364</v>
      </c>
      <c r="T282" s="23" t="s">
        <v>3365</v>
      </c>
      <c r="U282" s="23" t="s">
        <v>2768</v>
      </c>
      <c r="V282" s="23" t="s">
        <v>1155</v>
      </c>
      <c r="W282" s="23" t="s">
        <v>3366</v>
      </c>
      <c r="X282" s="23" t="s">
        <v>3367</v>
      </c>
      <c r="Y282" s="23" t="s">
        <v>3368</v>
      </c>
      <c r="Z282" s="23" t="s">
        <v>3369</v>
      </c>
      <c r="AA282" s="23" t="s">
        <v>3370</v>
      </c>
      <c r="AB282" s="23" t="s">
        <v>3371</v>
      </c>
      <c r="AC282" s="23" t="s">
        <v>3372</v>
      </c>
      <c r="AD282" s="23" t="s">
        <v>3373</v>
      </c>
      <c r="AE282" s="23" t="s">
        <v>3374</v>
      </c>
    </row>
    <row r="283" spans="1:31" hidden="1" x14ac:dyDescent="0.25">
      <c r="A283">
        <v>282</v>
      </c>
      <c r="B283" t="s">
        <v>3353</v>
      </c>
      <c r="C283" t="s">
        <v>3375</v>
      </c>
      <c r="D283" t="s">
        <v>3355</v>
      </c>
      <c r="E283" t="s">
        <v>35</v>
      </c>
      <c r="F283" t="s">
        <v>36</v>
      </c>
      <c r="G283" t="s">
        <v>3376</v>
      </c>
      <c r="H283" t="s">
        <v>3357</v>
      </c>
      <c r="I283" t="s">
        <v>240</v>
      </c>
      <c r="J283" t="s">
        <v>3377</v>
      </c>
      <c r="K283" t="s">
        <v>3378</v>
      </c>
      <c r="L283" s="23" t="s">
        <v>3379</v>
      </c>
      <c r="M283" s="23" t="s">
        <v>247</v>
      </c>
      <c r="N283" s="23" t="s">
        <v>94</v>
      </c>
      <c r="O283" s="23" t="s">
        <v>1556</v>
      </c>
      <c r="P283" s="23" t="s">
        <v>3334</v>
      </c>
      <c r="Q283" s="23" t="s">
        <v>220</v>
      </c>
      <c r="R283" s="23" t="s">
        <v>94</v>
      </c>
      <c r="S283" s="23" t="s">
        <v>107</v>
      </c>
      <c r="T283" s="23" t="s">
        <v>3380</v>
      </c>
      <c r="U283" s="23" t="s">
        <v>336</v>
      </c>
      <c r="V283" s="23" t="s">
        <v>104</v>
      </c>
      <c r="W283" s="23" t="s">
        <v>546</v>
      </c>
      <c r="X283" s="23" t="s">
        <v>1258</v>
      </c>
      <c r="Y283" s="23" t="s">
        <v>76</v>
      </c>
      <c r="Z283" s="23" t="s">
        <v>104</v>
      </c>
      <c r="AA283" s="23" t="s">
        <v>3381</v>
      </c>
      <c r="AB283" s="23" t="s">
        <v>3382</v>
      </c>
      <c r="AC283" s="23" t="s">
        <v>3383</v>
      </c>
      <c r="AD283" s="23" t="s">
        <v>158</v>
      </c>
      <c r="AE283" s="23" t="s">
        <v>3384</v>
      </c>
    </row>
    <row r="284" spans="1:31" hidden="1" x14ac:dyDescent="0.25">
      <c r="A284">
        <v>283</v>
      </c>
      <c r="B284" t="s">
        <v>3353</v>
      </c>
      <c r="C284" t="s">
        <v>3385</v>
      </c>
      <c r="D284" t="s">
        <v>3355</v>
      </c>
      <c r="E284" t="s">
        <v>35</v>
      </c>
      <c r="F284" t="s">
        <v>36</v>
      </c>
      <c r="G284" t="s">
        <v>3386</v>
      </c>
      <c r="H284" t="s">
        <v>3357</v>
      </c>
      <c r="I284" t="s">
        <v>240</v>
      </c>
      <c r="J284" t="s">
        <v>3387</v>
      </c>
      <c r="K284" t="s">
        <v>3388</v>
      </c>
      <c r="L284" s="23" t="s">
        <v>674</v>
      </c>
      <c r="M284" s="23" t="s">
        <v>407</v>
      </c>
      <c r="N284" s="23" t="s">
        <v>155</v>
      </c>
      <c r="O284" s="23" t="s">
        <v>1298</v>
      </c>
      <c r="P284" s="23" t="s">
        <v>3389</v>
      </c>
      <c r="Q284" s="23" t="s">
        <v>1845</v>
      </c>
      <c r="R284" s="23" t="s">
        <v>3328</v>
      </c>
      <c r="S284" s="23" t="s">
        <v>3390</v>
      </c>
      <c r="T284" s="23" t="s">
        <v>3391</v>
      </c>
      <c r="U284" s="23" t="s">
        <v>116</v>
      </c>
      <c r="V284" s="23" t="s">
        <v>151</v>
      </c>
      <c r="W284" s="23" t="s">
        <v>1875</v>
      </c>
      <c r="X284" s="23" t="s">
        <v>3392</v>
      </c>
      <c r="Y284" s="23" t="s">
        <v>3383</v>
      </c>
      <c r="Z284" s="23" t="s">
        <v>981</v>
      </c>
      <c r="AA284" s="23" t="s">
        <v>3393</v>
      </c>
      <c r="AB284" s="23" t="s">
        <v>3394</v>
      </c>
      <c r="AC284" s="23" t="s">
        <v>1664</v>
      </c>
      <c r="AD284" s="23" t="s">
        <v>261</v>
      </c>
      <c r="AE284" s="23" t="s">
        <v>3395</v>
      </c>
    </row>
    <row r="285" spans="1:31" hidden="1" x14ac:dyDescent="0.25">
      <c r="A285">
        <v>284</v>
      </c>
      <c r="B285" t="s">
        <v>3353</v>
      </c>
      <c r="C285" t="s">
        <v>3396</v>
      </c>
      <c r="D285" t="s">
        <v>3355</v>
      </c>
      <c r="E285" t="s">
        <v>35</v>
      </c>
      <c r="F285" t="s">
        <v>36</v>
      </c>
      <c r="G285" t="s">
        <v>3397</v>
      </c>
      <c r="H285" t="s">
        <v>3398</v>
      </c>
      <c r="I285" t="s">
        <v>240</v>
      </c>
      <c r="J285" t="s">
        <v>3399</v>
      </c>
      <c r="K285" t="s">
        <v>3400</v>
      </c>
      <c r="L285" s="23" t="s">
        <v>1993</v>
      </c>
      <c r="M285" s="23" t="s">
        <v>155</v>
      </c>
      <c r="N285" s="23" t="s">
        <v>150</v>
      </c>
      <c r="O285" s="23" t="s">
        <v>3401</v>
      </c>
      <c r="P285" s="23" t="s">
        <v>3402</v>
      </c>
      <c r="Q285" s="23" t="s">
        <v>805</v>
      </c>
      <c r="R285" s="23" t="s">
        <v>193</v>
      </c>
      <c r="S285" s="23" t="s">
        <v>1448</v>
      </c>
      <c r="T285" s="23" t="s">
        <v>3403</v>
      </c>
      <c r="U285" s="23" t="s">
        <v>157</v>
      </c>
      <c r="V285" s="23" t="s">
        <v>150</v>
      </c>
      <c r="W285" s="23" t="s">
        <v>3404</v>
      </c>
      <c r="X285" s="23" t="s">
        <v>3404</v>
      </c>
      <c r="Y285" s="23" t="s">
        <v>914</v>
      </c>
      <c r="Z285" s="23" t="s">
        <v>104</v>
      </c>
      <c r="AA285" s="23" t="s">
        <v>2591</v>
      </c>
      <c r="AB285" s="23" t="s">
        <v>3405</v>
      </c>
      <c r="AC285" s="23" t="s">
        <v>3406</v>
      </c>
      <c r="AD285" s="23" t="s">
        <v>103</v>
      </c>
      <c r="AE285" s="23" t="s">
        <v>3407</v>
      </c>
    </row>
    <row r="286" spans="1:31" hidden="1" x14ac:dyDescent="0.25">
      <c r="A286">
        <v>285</v>
      </c>
      <c r="B286" t="s">
        <v>3353</v>
      </c>
      <c r="C286" t="s">
        <v>3408</v>
      </c>
      <c r="D286" t="s">
        <v>3355</v>
      </c>
      <c r="E286" t="s">
        <v>35</v>
      </c>
      <c r="F286" t="s">
        <v>36</v>
      </c>
      <c r="G286" t="s">
        <v>3409</v>
      </c>
      <c r="H286" t="s">
        <v>3398</v>
      </c>
      <c r="I286" t="s">
        <v>240</v>
      </c>
      <c r="J286" t="s">
        <v>3410</v>
      </c>
      <c r="K286" t="s">
        <v>3411</v>
      </c>
      <c r="L286" s="23" t="s">
        <v>763</v>
      </c>
      <c r="M286" s="23" t="s">
        <v>1032</v>
      </c>
      <c r="N286" s="23" t="s">
        <v>150</v>
      </c>
      <c r="O286" s="23" t="s">
        <v>1133</v>
      </c>
      <c r="P286" s="23" t="s">
        <v>3412</v>
      </c>
      <c r="Q286" s="23" t="s">
        <v>245</v>
      </c>
      <c r="R286" s="23" t="s">
        <v>98</v>
      </c>
      <c r="S286" s="23" t="s">
        <v>3413</v>
      </c>
      <c r="T286" s="23" t="s">
        <v>2944</v>
      </c>
      <c r="U286" s="23" t="s">
        <v>130</v>
      </c>
      <c r="V286" s="23" t="s">
        <v>94</v>
      </c>
      <c r="W286" s="23" t="s">
        <v>3414</v>
      </c>
      <c r="X286" s="23" t="s">
        <v>3415</v>
      </c>
      <c r="Y286" s="23" t="s">
        <v>257</v>
      </c>
      <c r="Z286" s="23" t="s">
        <v>114</v>
      </c>
      <c r="AA286" s="23" t="s">
        <v>3416</v>
      </c>
      <c r="AB286" s="23" t="s">
        <v>3417</v>
      </c>
      <c r="AC286" s="23" t="s">
        <v>210</v>
      </c>
      <c r="AD286" s="23" t="s">
        <v>77</v>
      </c>
      <c r="AE286" s="23" t="s">
        <v>3418</v>
      </c>
    </row>
    <row r="287" spans="1:31" hidden="1" x14ac:dyDescent="0.25">
      <c r="A287">
        <v>286</v>
      </c>
      <c r="B287" t="s">
        <v>3353</v>
      </c>
      <c r="C287" t="s">
        <v>3419</v>
      </c>
      <c r="D287" t="s">
        <v>3355</v>
      </c>
      <c r="E287" t="s">
        <v>35</v>
      </c>
      <c r="F287" t="s">
        <v>36</v>
      </c>
      <c r="G287" t="s">
        <v>3420</v>
      </c>
      <c r="H287" t="s">
        <v>3398</v>
      </c>
      <c r="I287" t="s">
        <v>240</v>
      </c>
      <c r="J287" t="s">
        <v>3421</v>
      </c>
      <c r="K287" t="s">
        <v>3422</v>
      </c>
      <c r="L287" s="23" t="s">
        <v>494</v>
      </c>
      <c r="M287" s="23" t="s">
        <v>159</v>
      </c>
      <c r="N287" s="23" t="s">
        <v>32</v>
      </c>
      <c r="O287" s="23" t="s">
        <v>3423</v>
      </c>
      <c r="P287" s="23" t="s">
        <v>3424</v>
      </c>
      <c r="Q287" s="23" t="s">
        <v>2405</v>
      </c>
      <c r="R287" s="23" t="s">
        <v>153</v>
      </c>
      <c r="S287" s="23" t="s">
        <v>3425</v>
      </c>
      <c r="T287" s="23" t="s">
        <v>1116</v>
      </c>
      <c r="U287" s="23" t="s">
        <v>315</v>
      </c>
      <c r="V287" s="23" t="s">
        <v>244</v>
      </c>
      <c r="W287" s="23" t="s">
        <v>3426</v>
      </c>
      <c r="X287" s="23" t="s">
        <v>3427</v>
      </c>
      <c r="Y287" s="23" t="s">
        <v>188</v>
      </c>
      <c r="Z287" s="23" t="s">
        <v>153</v>
      </c>
      <c r="AA287" s="23" t="s">
        <v>3428</v>
      </c>
      <c r="AB287" s="23" t="s">
        <v>3429</v>
      </c>
      <c r="AC287" s="23" t="s">
        <v>1035</v>
      </c>
      <c r="AD287" s="23" t="s">
        <v>81</v>
      </c>
      <c r="AE287" s="23" t="s">
        <v>3430</v>
      </c>
    </row>
    <row r="288" spans="1:31" hidden="1" x14ac:dyDescent="0.25">
      <c r="A288">
        <v>287</v>
      </c>
      <c r="B288" t="s">
        <v>3353</v>
      </c>
      <c r="C288" t="s">
        <v>3431</v>
      </c>
      <c r="D288" t="s">
        <v>3355</v>
      </c>
      <c r="E288" t="s">
        <v>35</v>
      </c>
      <c r="F288" t="s">
        <v>36</v>
      </c>
      <c r="G288" t="s">
        <v>3432</v>
      </c>
      <c r="H288" t="s">
        <v>3433</v>
      </c>
      <c r="I288" t="s">
        <v>163</v>
      </c>
      <c r="J288" t="s">
        <v>3434</v>
      </c>
      <c r="K288" t="s">
        <v>3435</v>
      </c>
      <c r="L288" s="23" t="s">
        <v>3436</v>
      </c>
      <c r="M288" s="23" t="s">
        <v>827</v>
      </c>
      <c r="N288" s="23" t="s">
        <v>100</v>
      </c>
      <c r="O288" s="23" t="s">
        <v>3437</v>
      </c>
      <c r="P288" s="23" t="s">
        <v>3438</v>
      </c>
      <c r="Q288" s="23" t="s">
        <v>3439</v>
      </c>
      <c r="R288" s="23" t="s">
        <v>1439</v>
      </c>
      <c r="S288" s="23" t="s">
        <v>3440</v>
      </c>
      <c r="T288" s="23" t="s">
        <v>3372</v>
      </c>
      <c r="U288" s="23" t="s">
        <v>1480</v>
      </c>
      <c r="V288" s="23" t="s">
        <v>80</v>
      </c>
      <c r="W288" s="23" t="s">
        <v>916</v>
      </c>
      <c r="X288" s="23" t="s">
        <v>3441</v>
      </c>
      <c r="Y288" s="23" t="s">
        <v>1200</v>
      </c>
      <c r="Z288" s="23" t="s">
        <v>3442</v>
      </c>
      <c r="AA288" s="23" t="s">
        <v>3443</v>
      </c>
      <c r="AB288" s="23" t="s">
        <v>3444</v>
      </c>
      <c r="AC288" s="23" t="s">
        <v>1596</v>
      </c>
      <c r="AD288" s="23" t="s">
        <v>182</v>
      </c>
      <c r="AE288" s="23" t="s">
        <v>3445</v>
      </c>
    </row>
    <row r="289" spans="1:31" hidden="1" x14ac:dyDescent="0.25">
      <c r="A289">
        <v>288</v>
      </c>
      <c r="B289" t="s">
        <v>3353</v>
      </c>
      <c r="C289" t="s">
        <v>3446</v>
      </c>
      <c r="D289" t="s">
        <v>3355</v>
      </c>
      <c r="E289" t="s">
        <v>35</v>
      </c>
      <c r="F289" t="s">
        <v>36</v>
      </c>
      <c r="G289" t="s">
        <v>2566</v>
      </c>
      <c r="H289" t="s">
        <v>3357</v>
      </c>
      <c r="I289" t="s">
        <v>163</v>
      </c>
      <c r="J289" t="s">
        <v>3447</v>
      </c>
      <c r="K289" t="s">
        <v>3448</v>
      </c>
      <c r="L289" s="23" t="s">
        <v>3449</v>
      </c>
      <c r="M289" s="23" t="s">
        <v>43</v>
      </c>
      <c r="N289" s="23" t="s">
        <v>97</v>
      </c>
      <c r="O289" s="23" t="s">
        <v>3450</v>
      </c>
      <c r="P289" s="23" t="s">
        <v>3451</v>
      </c>
      <c r="Q289" s="23" t="s">
        <v>1674</v>
      </c>
      <c r="R289" s="23" t="s">
        <v>676</v>
      </c>
      <c r="S289" s="23" t="s">
        <v>3452</v>
      </c>
      <c r="T289" s="23" t="s">
        <v>3453</v>
      </c>
      <c r="U289" s="23" t="s">
        <v>1685</v>
      </c>
      <c r="V289" s="23" t="s">
        <v>93</v>
      </c>
      <c r="W289" s="23" t="s">
        <v>3454</v>
      </c>
      <c r="X289" s="23" t="s">
        <v>3455</v>
      </c>
      <c r="Y289" s="23" t="s">
        <v>3090</v>
      </c>
      <c r="Z289" s="23" t="s">
        <v>1464</v>
      </c>
      <c r="AA289" s="23" t="s">
        <v>3456</v>
      </c>
      <c r="AB289" s="23" t="s">
        <v>3457</v>
      </c>
      <c r="AC289" s="23" t="s">
        <v>1884</v>
      </c>
      <c r="AD289" s="23" t="s">
        <v>2231</v>
      </c>
      <c r="AE289" s="23" t="s">
        <v>3458</v>
      </c>
    </row>
    <row r="290" spans="1:31" hidden="1" x14ac:dyDescent="0.25">
      <c r="A290">
        <v>289</v>
      </c>
      <c r="B290" t="s">
        <v>3353</v>
      </c>
      <c r="C290" t="s">
        <v>3354</v>
      </c>
      <c r="D290" t="s">
        <v>3355</v>
      </c>
      <c r="E290" t="s">
        <v>35</v>
      </c>
      <c r="F290" t="s">
        <v>162</v>
      </c>
      <c r="G290" t="s">
        <v>3356</v>
      </c>
      <c r="H290" t="s">
        <v>3357</v>
      </c>
      <c r="I290" t="s">
        <v>300</v>
      </c>
      <c r="J290" t="s">
        <v>3358</v>
      </c>
      <c r="K290" t="s">
        <v>3359</v>
      </c>
      <c r="L290" s="23" t="s">
        <v>3459</v>
      </c>
      <c r="M290" s="23" t="s">
        <v>3460</v>
      </c>
      <c r="N290" s="23" t="s">
        <v>3003</v>
      </c>
      <c r="O290" s="23" t="s">
        <v>3461</v>
      </c>
      <c r="P290" s="23" t="s">
        <v>3462</v>
      </c>
      <c r="Q290" s="23" t="s">
        <v>3463</v>
      </c>
      <c r="R290" s="23" t="s">
        <v>3464</v>
      </c>
      <c r="S290" s="23" t="s">
        <v>3465</v>
      </c>
      <c r="T290" s="23" t="s">
        <v>718</v>
      </c>
      <c r="U290" s="23" t="s">
        <v>2188</v>
      </c>
      <c r="V290" s="23" t="s">
        <v>586</v>
      </c>
      <c r="W290" s="23" t="s">
        <v>3466</v>
      </c>
      <c r="X290" s="23" t="s">
        <v>1058</v>
      </c>
      <c r="Y290" s="23" t="s">
        <v>1332</v>
      </c>
      <c r="Z290" s="23" t="s">
        <v>737</v>
      </c>
      <c r="AA290" s="23" t="s">
        <v>3467</v>
      </c>
      <c r="AB290" s="23" t="s">
        <v>3468</v>
      </c>
      <c r="AC290" s="23" t="s">
        <v>3469</v>
      </c>
      <c r="AD290" s="23" t="s">
        <v>3470</v>
      </c>
      <c r="AE290" s="23" t="s">
        <v>3471</v>
      </c>
    </row>
    <row r="291" spans="1:31" hidden="1" x14ac:dyDescent="0.25">
      <c r="A291">
        <v>290</v>
      </c>
      <c r="B291" t="s">
        <v>3353</v>
      </c>
      <c r="C291" t="s">
        <v>3375</v>
      </c>
      <c r="D291" t="s">
        <v>3355</v>
      </c>
      <c r="E291" t="s">
        <v>35</v>
      </c>
      <c r="F291" t="s">
        <v>162</v>
      </c>
      <c r="G291" t="s">
        <v>3376</v>
      </c>
      <c r="H291" t="s">
        <v>3357</v>
      </c>
      <c r="I291" t="s">
        <v>300</v>
      </c>
      <c r="J291" t="s">
        <v>3377</v>
      </c>
      <c r="K291" t="s">
        <v>3378</v>
      </c>
      <c r="L291" s="23" t="s">
        <v>942</v>
      </c>
      <c r="M291" s="23" t="s">
        <v>97</v>
      </c>
      <c r="N291" s="23" t="s">
        <v>94</v>
      </c>
      <c r="O291" s="23" t="s">
        <v>3472</v>
      </c>
      <c r="P291" s="23" t="s">
        <v>3473</v>
      </c>
      <c r="Q291" s="23" t="s">
        <v>1069</v>
      </c>
      <c r="R291" s="23" t="s">
        <v>98</v>
      </c>
      <c r="S291" s="23" t="s">
        <v>3474</v>
      </c>
      <c r="T291" s="23" t="s">
        <v>2075</v>
      </c>
      <c r="U291" s="23" t="s">
        <v>246</v>
      </c>
      <c r="V291" s="23" t="s">
        <v>114</v>
      </c>
      <c r="W291" s="23" t="s">
        <v>2126</v>
      </c>
      <c r="X291" s="23" t="s">
        <v>470</v>
      </c>
      <c r="Y291" s="23" t="s">
        <v>197</v>
      </c>
      <c r="Z291" s="23" t="s">
        <v>94</v>
      </c>
      <c r="AA291" s="23" t="s">
        <v>3475</v>
      </c>
      <c r="AB291" s="23" t="s">
        <v>3476</v>
      </c>
      <c r="AC291" s="23" t="s">
        <v>633</v>
      </c>
      <c r="AD291" s="23" t="s">
        <v>158</v>
      </c>
      <c r="AE291" s="23" t="s">
        <v>273</v>
      </c>
    </row>
    <row r="292" spans="1:31" hidden="1" x14ac:dyDescent="0.25">
      <c r="A292">
        <v>291</v>
      </c>
      <c r="B292" t="s">
        <v>3353</v>
      </c>
      <c r="C292" t="s">
        <v>3385</v>
      </c>
      <c r="D292" t="s">
        <v>3355</v>
      </c>
      <c r="E292" t="s">
        <v>35</v>
      </c>
      <c r="F292" t="s">
        <v>162</v>
      </c>
      <c r="G292" t="s">
        <v>3386</v>
      </c>
      <c r="H292" t="s">
        <v>3357</v>
      </c>
      <c r="I292" t="s">
        <v>300</v>
      </c>
      <c r="J292" t="s">
        <v>3387</v>
      </c>
      <c r="K292" t="s">
        <v>3388</v>
      </c>
      <c r="L292" s="23" t="s">
        <v>3477</v>
      </c>
      <c r="M292" s="23" t="s">
        <v>392</v>
      </c>
      <c r="N292" s="23" t="s">
        <v>570</v>
      </c>
      <c r="O292" s="23" t="s">
        <v>1821</v>
      </c>
      <c r="P292" s="23" t="s">
        <v>3478</v>
      </c>
      <c r="Q292" s="23" t="s">
        <v>3479</v>
      </c>
      <c r="R292" s="23" t="s">
        <v>3306</v>
      </c>
      <c r="S292" s="23" t="s">
        <v>3480</v>
      </c>
      <c r="T292" s="23" t="s">
        <v>3481</v>
      </c>
      <c r="U292" s="23" t="s">
        <v>281</v>
      </c>
      <c r="V292" s="23" t="s">
        <v>336</v>
      </c>
      <c r="W292" s="23" t="s">
        <v>3482</v>
      </c>
      <c r="X292" s="23" t="s">
        <v>3483</v>
      </c>
      <c r="Y292" s="23" t="s">
        <v>1743</v>
      </c>
      <c r="Z292" s="23" t="s">
        <v>256</v>
      </c>
      <c r="AA292" s="23" t="s">
        <v>3484</v>
      </c>
      <c r="AB292" s="23" t="s">
        <v>3485</v>
      </c>
      <c r="AC292" s="23" t="s">
        <v>470</v>
      </c>
      <c r="AD292" s="23" t="s">
        <v>3236</v>
      </c>
      <c r="AE292" s="23" t="s">
        <v>3486</v>
      </c>
    </row>
    <row r="293" spans="1:31" hidden="1" x14ac:dyDescent="0.25">
      <c r="A293">
        <v>292</v>
      </c>
      <c r="B293" t="s">
        <v>3353</v>
      </c>
      <c r="C293" t="s">
        <v>3396</v>
      </c>
      <c r="D293" t="s">
        <v>3355</v>
      </c>
      <c r="E293" t="s">
        <v>35</v>
      </c>
      <c r="F293" t="s">
        <v>162</v>
      </c>
      <c r="G293" t="s">
        <v>3397</v>
      </c>
      <c r="H293" t="s">
        <v>3398</v>
      </c>
      <c r="I293" t="s">
        <v>300</v>
      </c>
      <c r="J293" t="s">
        <v>3399</v>
      </c>
      <c r="K293" t="s">
        <v>3400</v>
      </c>
      <c r="L293" s="23" t="s">
        <v>573</v>
      </c>
      <c r="M293" s="23" t="s">
        <v>278</v>
      </c>
      <c r="N293" s="23" t="s">
        <v>150</v>
      </c>
      <c r="O293" s="23" t="s">
        <v>2666</v>
      </c>
      <c r="P293" s="23" t="s">
        <v>3487</v>
      </c>
      <c r="Q293" s="23" t="s">
        <v>152</v>
      </c>
      <c r="R293" s="23" t="s">
        <v>257</v>
      </c>
      <c r="S293" s="23" t="s">
        <v>549</v>
      </c>
      <c r="T293" s="23" t="s">
        <v>3259</v>
      </c>
      <c r="U293" s="23" t="s">
        <v>217</v>
      </c>
      <c r="V293" s="23" t="s">
        <v>104</v>
      </c>
      <c r="W293" s="23" t="s">
        <v>1516</v>
      </c>
      <c r="X293" s="23" t="s">
        <v>2469</v>
      </c>
      <c r="Y293" s="23" t="s">
        <v>81</v>
      </c>
      <c r="Z293" s="23" t="s">
        <v>98</v>
      </c>
      <c r="AA293" s="23" t="s">
        <v>3488</v>
      </c>
      <c r="AB293" s="23" t="s">
        <v>3389</v>
      </c>
      <c r="AC293" s="23" t="s">
        <v>577</v>
      </c>
      <c r="AD293" s="23" t="s">
        <v>217</v>
      </c>
      <c r="AE293" s="23" t="s">
        <v>3489</v>
      </c>
    </row>
    <row r="294" spans="1:31" hidden="1" x14ac:dyDescent="0.25">
      <c r="A294">
        <v>293</v>
      </c>
      <c r="B294" t="s">
        <v>3353</v>
      </c>
      <c r="C294" t="s">
        <v>3408</v>
      </c>
      <c r="D294" t="s">
        <v>3355</v>
      </c>
      <c r="E294" t="s">
        <v>35</v>
      </c>
      <c r="F294" t="s">
        <v>162</v>
      </c>
      <c r="G294" t="s">
        <v>3409</v>
      </c>
      <c r="H294" t="s">
        <v>3398</v>
      </c>
      <c r="I294" t="s">
        <v>300</v>
      </c>
      <c r="J294" t="s">
        <v>3410</v>
      </c>
      <c r="K294" t="s">
        <v>3411</v>
      </c>
      <c r="L294" s="23" t="s">
        <v>1131</v>
      </c>
      <c r="M294" s="23" t="s">
        <v>253</v>
      </c>
      <c r="N294" s="23" t="s">
        <v>104</v>
      </c>
      <c r="O294" s="23" t="s">
        <v>1519</v>
      </c>
      <c r="P294" s="23" t="s">
        <v>3490</v>
      </c>
      <c r="Q294" s="23" t="s">
        <v>245</v>
      </c>
      <c r="R294" s="23" t="s">
        <v>94</v>
      </c>
      <c r="S294" s="23" t="s">
        <v>611</v>
      </c>
      <c r="T294" s="23" t="s">
        <v>3491</v>
      </c>
      <c r="U294" s="23" t="s">
        <v>347</v>
      </c>
      <c r="V294" s="23" t="s">
        <v>114</v>
      </c>
      <c r="W294" s="23" t="s">
        <v>1213</v>
      </c>
      <c r="X294" s="23" t="s">
        <v>3492</v>
      </c>
      <c r="Y294" s="23" t="s">
        <v>138</v>
      </c>
      <c r="Z294" s="23" t="s">
        <v>94</v>
      </c>
      <c r="AA294" s="23" t="s">
        <v>3493</v>
      </c>
      <c r="AB294" s="23" t="s">
        <v>3494</v>
      </c>
      <c r="AC294" s="23" t="s">
        <v>1728</v>
      </c>
      <c r="AD294" s="23" t="s">
        <v>98</v>
      </c>
      <c r="AE294" s="23" t="s">
        <v>3495</v>
      </c>
    </row>
    <row r="295" spans="1:31" hidden="1" x14ac:dyDescent="0.25">
      <c r="A295">
        <v>294</v>
      </c>
      <c r="B295" t="s">
        <v>3353</v>
      </c>
      <c r="C295" t="s">
        <v>3419</v>
      </c>
      <c r="D295" t="s">
        <v>3355</v>
      </c>
      <c r="E295" t="s">
        <v>35</v>
      </c>
      <c r="F295" t="s">
        <v>162</v>
      </c>
      <c r="G295" t="s">
        <v>3420</v>
      </c>
      <c r="H295" t="s">
        <v>3398</v>
      </c>
      <c r="I295" t="s">
        <v>300</v>
      </c>
      <c r="J295" t="s">
        <v>3421</v>
      </c>
      <c r="K295" t="s">
        <v>3422</v>
      </c>
      <c r="L295" s="23" t="s">
        <v>3496</v>
      </c>
      <c r="M295" s="23" t="s">
        <v>932</v>
      </c>
      <c r="N295" s="23" t="s">
        <v>213</v>
      </c>
      <c r="O295" s="23" t="s">
        <v>3497</v>
      </c>
      <c r="P295" s="23" t="s">
        <v>3498</v>
      </c>
      <c r="Q295" s="23" t="s">
        <v>1127</v>
      </c>
      <c r="R295" s="23" t="s">
        <v>211</v>
      </c>
      <c r="S295" s="23" t="s">
        <v>3499</v>
      </c>
      <c r="T295" s="23" t="s">
        <v>3500</v>
      </c>
      <c r="U295" s="23" t="s">
        <v>201</v>
      </c>
      <c r="V295" s="23" t="s">
        <v>77</v>
      </c>
      <c r="W295" s="23" t="s">
        <v>3501</v>
      </c>
      <c r="X295" s="23" t="s">
        <v>3502</v>
      </c>
      <c r="Y295" s="23" t="s">
        <v>917</v>
      </c>
      <c r="Z295" s="23" t="s">
        <v>336</v>
      </c>
      <c r="AA295" s="23" t="s">
        <v>3503</v>
      </c>
      <c r="AB295" s="23" t="s">
        <v>3504</v>
      </c>
      <c r="AC295" s="23" t="s">
        <v>3505</v>
      </c>
      <c r="AD295" s="23" t="s">
        <v>303</v>
      </c>
      <c r="AE295" s="23" t="s">
        <v>3506</v>
      </c>
    </row>
    <row r="296" spans="1:31" hidden="1" x14ac:dyDescent="0.25">
      <c r="A296">
        <v>295</v>
      </c>
      <c r="B296" t="s">
        <v>3353</v>
      </c>
      <c r="C296" t="s">
        <v>3431</v>
      </c>
      <c r="D296" t="s">
        <v>3355</v>
      </c>
      <c r="E296" t="s">
        <v>35</v>
      </c>
      <c r="F296" t="s">
        <v>162</v>
      </c>
      <c r="G296" t="s">
        <v>3432</v>
      </c>
      <c r="H296" t="s">
        <v>3433</v>
      </c>
      <c r="I296" t="s">
        <v>39</v>
      </c>
      <c r="J296" t="s">
        <v>3434</v>
      </c>
      <c r="K296" t="s">
        <v>3435</v>
      </c>
      <c r="L296" s="23" t="s">
        <v>3507</v>
      </c>
      <c r="M296" s="23" t="s">
        <v>1186</v>
      </c>
      <c r="N296" s="23" t="s">
        <v>579</v>
      </c>
      <c r="O296" s="23" t="s">
        <v>3508</v>
      </c>
      <c r="P296" s="23" t="s">
        <v>3509</v>
      </c>
      <c r="Q296" s="23" t="s">
        <v>3510</v>
      </c>
      <c r="R296" s="23" t="s">
        <v>2154</v>
      </c>
      <c r="S296" s="23" t="s">
        <v>3511</v>
      </c>
      <c r="T296" s="23" t="s">
        <v>3512</v>
      </c>
      <c r="U296" s="23" t="s">
        <v>3306</v>
      </c>
      <c r="V296" s="23" t="s">
        <v>208</v>
      </c>
      <c r="W296" s="23" t="s">
        <v>3513</v>
      </c>
      <c r="X296" s="23" t="s">
        <v>3514</v>
      </c>
      <c r="Y296" s="23" t="s">
        <v>2139</v>
      </c>
      <c r="Z296" s="23" t="s">
        <v>454</v>
      </c>
      <c r="AA296" s="23" t="s">
        <v>3515</v>
      </c>
      <c r="AB296" s="23" t="s">
        <v>3516</v>
      </c>
      <c r="AC296" s="23" t="s">
        <v>3517</v>
      </c>
      <c r="AD296" s="23" t="s">
        <v>3518</v>
      </c>
      <c r="AE296" s="23" t="s">
        <v>3519</v>
      </c>
    </row>
    <row r="297" spans="1:31" hidden="1" x14ac:dyDescent="0.25">
      <c r="A297">
        <v>296</v>
      </c>
      <c r="B297" t="s">
        <v>3353</v>
      </c>
      <c r="C297" t="s">
        <v>3446</v>
      </c>
      <c r="D297" t="s">
        <v>3355</v>
      </c>
      <c r="E297" t="s">
        <v>35</v>
      </c>
      <c r="F297" t="s">
        <v>162</v>
      </c>
      <c r="G297" t="s">
        <v>2566</v>
      </c>
      <c r="H297" t="s">
        <v>3357</v>
      </c>
      <c r="I297" t="s">
        <v>39</v>
      </c>
      <c r="J297" t="s">
        <v>3447</v>
      </c>
      <c r="K297" t="s">
        <v>3448</v>
      </c>
      <c r="L297" s="23" t="s">
        <v>3520</v>
      </c>
      <c r="M297" s="23" t="s">
        <v>542</v>
      </c>
      <c r="N297" s="23" t="s">
        <v>119</v>
      </c>
      <c r="O297" s="23" t="s">
        <v>3521</v>
      </c>
      <c r="P297" s="23" t="s">
        <v>3522</v>
      </c>
      <c r="Q297" s="23" t="s">
        <v>3523</v>
      </c>
      <c r="R297" s="23" t="s">
        <v>1096</v>
      </c>
      <c r="S297" s="23" t="s">
        <v>3524</v>
      </c>
      <c r="T297" s="23" t="s">
        <v>3525</v>
      </c>
      <c r="U297" s="23" t="s">
        <v>592</v>
      </c>
      <c r="V297" s="23" t="s">
        <v>282</v>
      </c>
      <c r="W297" s="23" t="s">
        <v>2630</v>
      </c>
      <c r="X297" s="23" t="s">
        <v>3526</v>
      </c>
      <c r="Y297" s="23" t="s">
        <v>1080</v>
      </c>
      <c r="Z297" s="23" t="s">
        <v>455</v>
      </c>
      <c r="AA297" s="23" t="s">
        <v>3527</v>
      </c>
      <c r="AB297" s="23" t="s">
        <v>3528</v>
      </c>
      <c r="AC297" s="23" t="s">
        <v>3463</v>
      </c>
      <c r="AD297" s="23" t="s">
        <v>586</v>
      </c>
      <c r="AE297" s="23" t="s">
        <v>3529</v>
      </c>
    </row>
    <row r="298" spans="1:31" hidden="1" x14ac:dyDescent="0.25">
      <c r="A298">
        <v>297</v>
      </c>
      <c r="B298" t="s">
        <v>3530</v>
      </c>
      <c r="C298" t="s">
        <v>3531</v>
      </c>
      <c r="D298" t="s">
        <v>3532</v>
      </c>
      <c r="E298" t="s">
        <v>35</v>
      </c>
      <c r="F298" t="s">
        <v>36</v>
      </c>
      <c r="G298" t="s">
        <v>3533</v>
      </c>
      <c r="H298" t="s">
        <v>3534</v>
      </c>
      <c r="I298" t="s">
        <v>240</v>
      </c>
      <c r="J298" t="s">
        <v>3535</v>
      </c>
      <c r="K298" t="s">
        <v>3536</v>
      </c>
      <c r="L298" s="23" t="s">
        <v>2184</v>
      </c>
      <c r="M298" s="23" t="s">
        <v>1014</v>
      </c>
      <c r="N298" s="23" t="s">
        <v>246</v>
      </c>
      <c r="O298" s="23" t="s">
        <v>667</v>
      </c>
      <c r="P298" s="23" t="s">
        <v>2541</v>
      </c>
      <c r="Q298" s="23" t="s">
        <v>1705</v>
      </c>
      <c r="R298" s="23" t="s">
        <v>233</v>
      </c>
      <c r="S298" s="23" t="s">
        <v>3537</v>
      </c>
      <c r="T298" s="23" t="s">
        <v>2277</v>
      </c>
      <c r="U298" s="23" t="s">
        <v>278</v>
      </c>
      <c r="V298" s="23" t="s">
        <v>122</v>
      </c>
      <c r="W298" s="23" t="s">
        <v>3538</v>
      </c>
      <c r="X298" s="23" t="s">
        <v>190</v>
      </c>
      <c r="Y298" s="23" t="s">
        <v>80</v>
      </c>
      <c r="Z298" s="23" t="s">
        <v>69</v>
      </c>
      <c r="AA298" s="23" t="s">
        <v>3539</v>
      </c>
      <c r="AB298" s="23" t="s">
        <v>3540</v>
      </c>
      <c r="AC298" s="23" t="s">
        <v>2085</v>
      </c>
      <c r="AD298" s="23" t="s">
        <v>133</v>
      </c>
      <c r="AE298" s="23" t="s">
        <v>3541</v>
      </c>
    </row>
    <row r="299" spans="1:31" hidden="1" x14ac:dyDescent="0.25">
      <c r="A299">
        <v>298</v>
      </c>
      <c r="B299" t="s">
        <v>3530</v>
      </c>
      <c r="C299" t="s">
        <v>3542</v>
      </c>
      <c r="D299" t="s">
        <v>3532</v>
      </c>
      <c r="E299" t="s">
        <v>35</v>
      </c>
      <c r="F299" t="s">
        <v>36</v>
      </c>
      <c r="G299" t="s">
        <v>3543</v>
      </c>
      <c r="H299" t="s">
        <v>3544</v>
      </c>
      <c r="I299" t="s">
        <v>240</v>
      </c>
      <c r="J299" t="s">
        <v>3545</v>
      </c>
      <c r="K299" t="s">
        <v>3546</v>
      </c>
      <c r="L299" s="23" t="s">
        <v>3547</v>
      </c>
      <c r="M299" s="23" t="s">
        <v>1685</v>
      </c>
      <c r="N299" s="23" t="s">
        <v>295</v>
      </c>
      <c r="O299" s="23" t="s">
        <v>3548</v>
      </c>
      <c r="P299" s="23" t="s">
        <v>3549</v>
      </c>
      <c r="Q299" s="23" t="s">
        <v>2737</v>
      </c>
      <c r="R299" s="23" t="s">
        <v>1144</v>
      </c>
      <c r="S299" s="23" t="s">
        <v>3550</v>
      </c>
      <c r="T299" s="23" t="s">
        <v>2497</v>
      </c>
      <c r="U299" s="23" t="s">
        <v>932</v>
      </c>
      <c r="V299" s="23" t="s">
        <v>247</v>
      </c>
      <c r="W299" s="23" t="s">
        <v>3551</v>
      </c>
      <c r="X299" s="23" t="s">
        <v>3122</v>
      </c>
      <c r="Y299" s="23" t="s">
        <v>1104</v>
      </c>
      <c r="Z299" s="23" t="s">
        <v>477</v>
      </c>
      <c r="AA299" s="23" t="s">
        <v>3552</v>
      </c>
      <c r="AB299" s="23" t="s">
        <v>3553</v>
      </c>
      <c r="AC299" s="23" t="s">
        <v>3554</v>
      </c>
      <c r="AD299" s="23" t="s">
        <v>1080</v>
      </c>
      <c r="AE299" s="23" t="s">
        <v>3555</v>
      </c>
    </row>
    <row r="300" spans="1:31" hidden="1" x14ac:dyDescent="0.25">
      <c r="A300">
        <v>299</v>
      </c>
      <c r="B300" t="s">
        <v>3530</v>
      </c>
      <c r="C300" t="s">
        <v>3556</v>
      </c>
      <c r="D300" t="s">
        <v>3532</v>
      </c>
      <c r="E300" t="s">
        <v>35</v>
      </c>
      <c r="F300" t="s">
        <v>36</v>
      </c>
      <c r="G300" t="s">
        <v>3557</v>
      </c>
      <c r="H300" t="s">
        <v>3558</v>
      </c>
      <c r="I300" t="s">
        <v>240</v>
      </c>
      <c r="J300" t="s">
        <v>3559</v>
      </c>
      <c r="K300" t="s">
        <v>3560</v>
      </c>
      <c r="L300" s="23" t="s">
        <v>3561</v>
      </c>
      <c r="M300" s="23" t="s">
        <v>214</v>
      </c>
      <c r="N300" s="23" t="s">
        <v>570</v>
      </c>
      <c r="O300" s="23" t="s">
        <v>3562</v>
      </c>
      <c r="P300" s="23" t="s">
        <v>3563</v>
      </c>
      <c r="Q300" s="23" t="s">
        <v>1044</v>
      </c>
      <c r="R300" s="23" t="s">
        <v>259</v>
      </c>
      <c r="S300" s="23" t="s">
        <v>3564</v>
      </c>
      <c r="T300" s="23" t="s">
        <v>2861</v>
      </c>
      <c r="U300" s="23" t="s">
        <v>188</v>
      </c>
      <c r="V300" s="23" t="s">
        <v>479</v>
      </c>
      <c r="W300" s="23" t="s">
        <v>3565</v>
      </c>
      <c r="X300" s="23" t="s">
        <v>1720</v>
      </c>
      <c r="Y300" s="23" t="s">
        <v>262</v>
      </c>
      <c r="Z300" s="23" t="s">
        <v>319</v>
      </c>
      <c r="AA300" s="23" t="s">
        <v>1101</v>
      </c>
      <c r="AB300" s="23" t="s">
        <v>3566</v>
      </c>
      <c r="AC300" s="23" t="s">
        <v>3567</v>
      </c>
      <c r="AD300" s="23" t="s">
        <v>84</v>
      </c>
      <c r="AE300" s="23" t="s">
        <v>3568</v>
      </c>
    </row>
    <row r="301" spans="1:31" hidden="1" x14ac:dyDescent="0.25">
      <c r="A301">
        <v>300</v>
      </c>
      <c r="B301" t="s">
        <v>3530</v>
      </c>
      <c r="C301" t="s">
        <v>3569</v>
      </c>
      <c r="D301" t="s">
        <v>3532</v>
      </c>
      <c r="E301" t="s">
        <v>35</v>
      </c>
      <c r="F301" t="s">
        <v>36</v>
      </c>
      <c r="G301" t="s">
        <v>3570</v>
      </c>
      <c r="H301" t="s">
        <v>3558</v>
      </c>
      <c r="I301" t="s">
        <v>240</v>
      </c>
      <c r="J301" t="s">
        <v>3571</v>
      </c>
      <c r="K301" t="s">
        <v>3572</v>
      </c>
      <c r="L301" s="23" t="s">
        <v>1155</v>
      </c>
      <c r="M301" s="23" t="s">
        <v>32</v>
      </c>
      <c r="N301" s="23" t="s">
        <v>114</v>
      </c>
      <c r="O301" s="23" t="s">
        <v>1939</v>
      </c>
      <c r="P301" s="23" t="s">
        <v>2435</v>
      </c>
      <c r="Q301" s="23" t="s">
        <v>93</v>
      </c>
      <c r="R301" s="23" t="s">
        <v>114</v>
      </c>
      <c r="S301" s="23" t="s">
        <v>161</v>
      </c>
      <c r="T301" s="23" t="s">
        <v>72</v>
      </c>
      <c r="U301" s="23" t="s">
        <v>150</v>
      </c>
      <c r="V301" s="23" t="s">
        <v>114</v>
      </c>
      <c r="W301" s="23" t="s">
        <v>201</v>
      </c>
      <c r="X301" s="23" t="s">
        <v>681</v>
      </c>
      <c r="Y301" s="23" t="s">
        <v>32</v>
      </c>
      <c r="Z301" s="23" t="s">
        <v>114</v>
      </c>
      <c r="AA301" s="23" t="s">
        <v>1497</v>
      </c>
      <c r="AB301" s="23" t="s">
        <v>3573</v>
      </c>
      <c r="AC301" s="23" t="s">
        <v>197</v>
      </c>
      <c r="AD301" s="23" t="s">
        <v>114</v>
      </c>
      <c r="AE301" s="23" t="s">
        <v>3574</v>
      </c>
    </row>
    <row r="302" spans="1:31" hidden="1" x14ac:dyDescent="0.25">
      <c r="A302">
        <v>301</v>
      </c>
      <c r="B302" t="s">
        <v>3530</v>
      </c>
      <c r="C302" t="s">
        <v>3575</v>
      </c>
      <c r="D302" t="s">
        <v>3532</v>
      </c>
      <c r="E302" t="s">
        <v>35</v>
      </c>
      <c r="F302" t="s">
        <v>36</v>
      </c>
      <c r="G302" t="s">
        <v>3576</v>
      </c>
      <c r="H302" t="s">
        <v>3577</v>
      </c>
      <c r="I302" t="s">
        <v>39</v>
      </c>
      <c r="J302" t="s">
        <v>3578</v>
      </c>
      <c r="K302" t="s">
        <v>3579</v>
      </c>
      <c r="L302" s="23" t="s">
        <v>3580</v>
      </c>
      <c r="M302" s="23" t="s">
        <v>155</v>
      </c>
      <c r="N302" s="23" t="s">
        <v>104</v>
      </c>
      <c r="O302" s="23" t="s">
        <v>3581</v>
      </c>
      <c r="P302" s="23" t="s">
        <v>3172</v>
      </c>
      <c r="Q302" s="23" t="s">
        <v>201</v>
      </c>
      <c r="R302" s="23" t="s">
        <v>104</v>
      </c>
      <c r="S302" s="23" t="s">
        <v>3582</v>
      </c>
      <c r="T302" s="23" t="s">
        <v>3583</v>
      </c>
      <c r="U302" s="23" t="s">
        <v>1032</v>
      </c>
      <c r="V302" s="23" t="s">
        <v>94</v>
      </c>
      <c r="W302" s="23" t="s">
        <v>1181</v>
      </c>
      <c r="X302" s="23" t="s">
        <v>3584</v>
      </c>
      <c r="Y302" s="23" t="s">
        <v>155</v>
      </c>
      <c r="Z302" s="23" t="s">
        <v>114</v>
      </c>
      <c r="AA302" s="23" t="s">
        <v>3585</v>
      </c>
      <c r="AB302" s="23" t="s">
        <v>3586</v>
      </c>
      <c r="AC302" s="23" t="s">
        <v>1267</v>
      </c>
      <c r="AD302" s="23" t="s">
        <v>244</v>
      </c>
      <c r="AE302" s="23" t="s">
        <v>3587</v>
      </c>
    </row>
    <row r="303" spans="1:31" hidden="1" x14ac:dyDescent="0.25">
      <c r="A303">
        <v>302</v>
      </c>
      <c r="B303" t="s">
        <v>3530</v>
      </c>
      <c r="C303" t="s">
        <v>3588</v>
      </c>
      <c r="D303" t="s">
        <v>3532</v>
      </c>
      <c r="E303" t="s">
        <v>35</v>
      </c>
      <c r="F303" t="s">
        <v>36</v>
      </c>
      <c r="G303" t="s">
        <v>3589</v>
      </c>
      <c r="H303" t="s">
        <v>3590</v>
      </c>
      <c r="I303" t="s">
        <v>240</v>
      </c>
      <c r="J303" t="s">
        <v>3591</v>
      </c>
      <c r="K303" t="s">
        <v>3592</v>
      </c>
      <c r="L303" s="23" t="s">
        <v>3593</v>
      </c>
      <c r="M303" s="23" t="s">
        <v>574</v>
      </c>
      <c r="N303" s="23" t="s">
        <v>94</v>
      </c>
      <c r="O303" s="23" t="s">
        <v>3594</v>
      </c>
      <c r="P303" s="23" t="s">
        <v>3595</v>
      </c>
      <c r="Q303" s="23" t="s">
        <v>972</v>
      </c>
      <c r="R303" s="23" t="s">
        <v>104</v>
      </c>
      <c r="S303" s="23" t="s">
        <v>3596</v>
      </c>
      <c r="T303" s="23" t="s">
        <v>3574</v>
      </c>
      <c r="U303" s="23" t="s">
        <v>247</v>
      </c>
      <c r="V303" s="23" t="s">
        <v>114</v>
      </c>
      <c r="W303" s="23" t="s">
        <v>3523</v>
      </c>
      <c r="X303" s="23" t="s">
        <v>2077</v>
      </c>
      <c r="Y303" s="23" t="s">
        <v>189</v>
      </c>
      <c r="Z303" s="23" t="s">
        <v>98</v>
      </c>
      <c r="AA303" s="23" t="s">
        <v>3597</v>
      </c>
      <c r="AB303" s="23" t="s">
        <v>3598</v>
      </c>
      <c r="AC303" s="23" t="s">
        <v>760</v>
      </c>
      <c r="AD303" s="23" t="s">
        <v>122</v>
      </c>
      <c r="AE303" s="23" t="s">
        <v>3599</v>
      </c>
    </row>
    <row r="304" spans="1:31" hidden="1" x14ac:dyDescent="0.25">
      <c r="A304">
        <v>303</v>
      </c>
      <c r="B304" t="s">
        <v>3530</v>
      </c>
      <c r="C304" t="s">
        <v>3600</v>
      </c>
      <c r="D304" t="s">
        <v>3532</v>
      </c>
      <c r="E304" t="s">
        <v>35</v>
      </c>
      <c r="F304" t="s">
        <v>36</v>
      </c>
      <c r="G304" t="s">
        <v>2898</v>
      </c>
      <c r="H304" t="s">
        <v>3601</v>
      </c>
      <c r="I304" t="s">
        <v>240</v>
      </c>
      <c r="J304" t="s">
        <v>3602</v>
      </c>
      <c r="K304" t="s">
        <v>3603</v>
      </c>
      <c r="L304" s="23" t="s">
        <v>3604</v>
      </c>
      <c r="M304" s="23" t="s">
        <v>633</v>
      </c>
      <c r="N304" s="23" t="s">
        <v>192</v>
      </c>
      <c r="O304" s="23" t="s">
        <v>3605</v>
      </c>
      <c r="P304" s="23" t="s">
        <v>3606</v>
      </c>
      <c r="Q304" s="23" t="s">
        <v>1139</v>
      </c>
      <c r="R304" s="23" t="s">
        <v>468</v>
      </c>
      <c r="S304" s="23" t="s">
        <v>3607</v>
      </c>
      <c r="T304" s="23" t="s">
        <v>3608</v>
      </c>
      <c r="U304" s="23" t="s">
        <v>953</v>
      </c>
      <c r="V304" s="23" t="s">
        <v>93</v>
      </c>
      <c r="W304" s="23" t="s">
        <v>3609</v>
      </c>
      <c r="X304" s="23" t="s">
        <v>3610</v>
      </c>
      <c r="Y304" s="23" t="s">
        <v>815</v>
      </c>
      <c r="Z304" s="23" t="s">
        <v>97</v>
      </c>
      <c r="AA304" s="23" t="s">
        <v>3611</v>
      </c>
      <c r="AB304" s="23" t="s">
        <v>3612</v>
      </c>
      <c r="AC304" s="23" t="s">
        <v>2739</v>
      </c>
      <c r="AD304" s="23" t="s">
        <v>805</v>
      </c>
      <c r="AE304" s="23" t="s">
        <v>3613</v>
      </c>
    </row>
    <row r="305" spans="1:31" hidden="1" x14ac:dyDescent="0.25">
      <c r="A305">
        <v>304</v>
      </c>
      <c r="B305" t="s">
        <v>3530</v>
      </c>
      <c r="C305" t="s">
        <v>3614</v>
      </c>
      <c r="D305" t="s">
        <v>3532</v>
      </c>
      <c r="E305" t="s">
        <v>35</v>
      </c>
      <c r="F305" t="s">
        <v>36</v>
      </c>
      <c r="G305" t="s">
        <v>3615</v>
      </c>
      <c r="H305" t="s">
        <v>3616</v>
      </c>
      <c r="I305" t="s">
        <v>240</v>
      </c>
      <c r="J305" t="s">
        <v>3617</v>
      </c>
      <c r="K305" t="s">
        <v>3618</v>
      </c>
      <c r="L305" s="23" t="s">
        <v>3619</v>
      </c>
      <c r="M305" s="23" t="s">
        <v>535</v>
      </c>
      <c r="N305" s="23" t="s">
        <v>1436</v>
      </c>
      <c r="O305" s="23" t="s">
        <v>3620</v>
      </c>
      <c r="P305" s="23" t="s">
        <v>1054</v>
      </c>
      <c r="Q305" s="23" t="s">
        <v>1517</v>
      </c>
      <c r="R305" s="23" t="s">
        <v>431</v>
      </c>
      <c r="S305" s="23" t="s">
        <v>3621</v>
      </c>
      <c r="T305" s="23" t="s">
        <v>3016</v>
      </c>
      <c r="U305" s="23" t="s">
        <v>80</v>
      </c>
      <c r="V305" s="23" t="s">
        <v>1144</v>
      </c>
      <c r="W305" s="23" t="s">
        <v>3622</v>
      </c>
      <c r="X305" s="23" t="s">
        <v>3623</v>
      </c>
      <c r="Y305" s="23" t="s">
        <v>1971</v>
      </c>
      <c r="Z305" s="23" t="s">
        <v>2285</v>
      </c>
      <c r="AA305" s="23" t="s">
        <v>3624</v>
      </c>
      <c r="AB305" s="23" t="s">
        <v>3625</v>
      </c>
      <c r="AC305" s="23" t="s">
        <v>3626</v>
      </c>
      <c r="AD305" s="23" t="s">
        <v>3627</v>
      </c>
      <c r="AE305" s="23" t="s">
        <v>3628</v>
      </c>
    </row>
    <row r="306" spans="1:31" hidden="1" x14ac:dyDescent="0.25">
      <c r="A306">
        <v>305</v>
      </c>
      <c r="B306" t="s">
        <v>3530</v>
      </c>
      <c r="C306" t="s">
        <v>3629</v>
      </c>
      <c r="D306" t="s">
        <v>3532</v>
      </c>
      <c r="E306" t="s">
        <v>35</v>
      </c>
      <c r="F306" t="s">
        <v>36</v>
      </c>
      <c r="G306" t="s">
        <v>3630</v>
      </c>
      <c r="H306" t="s">
        <v>3616</v>
      </c>
      <c r="I306" t="s">
        <v>39</v>
      </c>
      <c r="J306" t="s">
        <v>3631</v>
      </c>
      <c r="K306" t="s">
        <v>3632</v>
      </c>
      <c r="L306" s="23" t="s">
        <v>3274</v>
      </c>
      <c r="M306" s="23" t="s">
        <v>1480</v>
      </c>
      <c r="N306" s="23" t="s">
        <v>658</v>
      </c>
      <c r="O306" s="23" t="s">
        <v>2051</v>
      </c>
      <c r="P306" s="23" t="s">
        <v>3633</v>
      </c>
      <c r="Q306" s="23" t="s">
        <v>3634</v>
      </c>
      <c r="R306" s="23" t="s">
        <v>3635</v>
      </c>
      <c r="S306" s="23" t="s">
        <v>3636</v>
      </c>
      <c r="T306" s="23" t="s">
        <v>3619</v>
      </c>
      <c r="U306" s="23" t="s">
        <v>117</v>
      </c>
      <c r="V306" s="23" t="s">
        <v>972</v>
      </c>
      <c r="W306" s="23" t="s">
        <v>3637</v>
      </c>
      <c r="X306" s="23" t="s">
        <v>3638</v>
      </c>
      <c r="Y306" s="23" t="s">
        <v>1267</v>
      </c>
      <c r="Z306" s="23" t="s">
        <v>1533</v>
      </c>
      <c r="AA306" s="23" t="s">
        <v>2810</v>
      </c>
      <c r="AB306" s="23" t="s">
        <v>3639</v>
      </c>
      <c r="AC306" s="23" t="s">
        <v>2332</v>
      </c>
      <c r="AD306" s="23" t="s">
        <v>3619</v>
      </c>
      <c r="AE306" s="23" t="s">
        <v>3640</v>
      </c>
    </row>
    <row r="307" spans="1:31" hidden="1" x14ac:dyDescent="0.25">
      <c r="A307">
        <v>306</v>
      </c>
      <c r="B307" t="s">
        <v>3530</v>
      </c>
      <c r="C307" t="s">
        <v>3531</v>
      </c>
      <c r="D307" t="s">
        <v>3532</v>
      </c>
      <c r="E307" t="s">
        <v>35</v>
      </c>
      <c r="F307" t="s">
        <v>162</v>
      </c>
      <c r="G307" t="s">
        <v>3533</v>
      </c>
      <c r="H307" t="s">
        <v>3534</v>
      </c>
      <c r="I307" t="s">
        <v>300</v>
      </c>
      <c r="J307" t="s">
        <v>3535</v>
      </c>
      <c r="K307" t="s">
        <v>3536</v>
      </c>
      <c r="L307" s="23" t="s">
        <v>3305</v>
      </c>
      <c r="M307" s="23" t="s">
        <v>155</v>
      </c>
      <c r="N307" s="23" t="s">
        <v>193</v>
      </c>
      <c r="O307" s="23" t="s">
        <v>3641</v>
      </c>
      <c r="P307" s="23" t="s">
        <v>2046</v>
      </c>
      <c r="Q307" s="23" t="s">
        <v>1134</v>
      </c>
      <c r="R307" s="23" t="s">
        <v>768</v>
      </c>
      <c r="S307" s="23" t="s">
        <v>3642</v>
      </c>
      <c r="T307" s="23" t="s">
        <v>3643</v>
      </c>
      <c r="U307" s="23" t="s">
        <v>120</v>
      </c>
      <c r="V307" s="23" t="s">
        <v>193</v>
      </c>
      <c r="W307" s="23" t="s">
        <v>3644</v>
      </c>
      <c r="X307" s="23" t="s">
        <v>3645</v>
      </c>
      <c r="Y307" s="23" t="s">
        <v>1507</v>
      </c>
      <c r="Z307" s="23" t="s">
        <v>257</v>
      </c>
      <c r="AA307" s="23" t="s">
        <v>2332</v>
      </c>
      <c r="AB307" s="23" t="s">
        <v>3561</v>
      </c>
      <c r="AC307" s="23" t="s">
        <v>1414</v>
      </c>
      <c r="AD307" s="23" t="s">
        <v>2771</v>
      </c>
      <c r="AE307" s="23" t="s">
        <v>3646</v>
      </c>
    </row>
    <row r="308" spans="1:31" hidden="1" x14ac:dyDescent="0.25">
      <c r="A308">
        <v>307</v>
      </c>
      <c r="B308" t="s">
        <v>3530</v>
      </c>
      <c r="C308" t="s">
        <v>3542</v>
      </c>
      <c r="D308" t="s">
        <v>3532</v>
      </c>
      <c r="E308" t="s">
        <v>35</v>
      </c>
      <c r="F308" t="s">
        <v>162</v>
      </c>
      <c r="G308" t="s">
        <v>3543</v>
      </c>
      <c r="H308" t="s">
        <v>3544</v>
      </c>
      <c r="I308" t="s">
        <v>300</v>
      </c>
      <c r="J308" t="s">
        <v>3545</v>
      </c>
      <c r="K308" t="s">
        <v>3546</v>
      </c>
      <c r="L308" s="23" t="s">
        <v>3647</v>
      </c>
      <c r="M308" s="23" t="s">
        <v>879</v>
      </c>
      <c r="N308" s="23" t="s">
        <v>1024</v>
      </c>
      <c r="O308" s="23" t="s">
        <v>218</v>
      </c>
      <c r="P308" s="23" t="s">
        <v>3365</v>
      </c>
      <c r="Q308" s="23" t="s">
        <v>1200</v>
      </c>
      <c r="R308" s="23" t="s">
        <v>592</v>
      </c>
      <c r="S308" s="23" t="s">
        <v>3648</v>
      </c>
      <c r="T308" s="23" t="s">
        <v>3649</v>
      </c>
      <c r="U308" s="23" t="s">
        <v>599</v>
      </c>
      <c r="V308" s="23" t="s">
        <v>297</v>
      </c>
      <c r="W308" s="23" t="s">
        <v>3650</v>
      </c>
      <c r="X308" s="23" t="s">
        <v>3651</v>
      </c>
      <c r="Y308" s="23" t="s">
        <v>101</v>
      </c>
      <c r="Z308" s="23" t="s">
        <v>185</v>
      </c>
      <c r="AA308" s="23" t="s">
        <v>3652</v>
      </c>
      <c r="AB308" s="23" t="s">
        <v>3653</v>
      </c>
      <c r="AC308" s="23" t="s">
        <v>3654</v>
      </c>
      <c r="AD308" s="23" t="s">
        <v>782</v>
      </c>
      <c r="AE308" s="23" t="s">
        <v>3655</v>
      </c>
    </row>
    <row r="309" spans="1:31" hidden="1" x14ac:dyDescent="0.25">
      <c r="A309">
        <v>308</v>
      </c>
      <c r="B309" t="s">
        <v>3530</v>
      </c>
      <c r="C309" t="s">
        <v>3556</v>
      </c>
      <c r="D309" t="s">
        <v>3532</v>
      </c>
      <c r="E309" t="s">
        <v>35</v>
      </c>
      <c r="F309" t="s">
        <v>162</v>
      </c>
      <c r="G309" t="s">
        <v>3557</v>
      </c>
      <c r="H309" t="s">
        <v>3558</v>
      </c>
      <c r="I309" t="s">
        <v>300</v>
      </c>
      <c r="J309" t="s">
        <v>3559</v>
      </c>
      <c r="K309" t="s">
        <v>3560</v>
      </c>
      <c r="L309" s="23" t="s">
        <v>3656</v>
      </c>
      <c r="M309" s="23" t="s">
        <v>764</v>
      </c>
      <c r="N309" s="23" t="s">
        <v>570</v>
      </c>
      <c r="O309" s="23" t="s">
        <v>3657</v>
      </c>
      <c r="P309" s="23" t="s">
        <v>664</v>
      </c>
      <c r="Q309" s="23" t="s">
        <v>3573</v>
      </c>
      <c r="R309" s="23" t="s">
        <v>44</v>
      </c>
      <c r="S309" s="23" t="s">
        <v>785</v>
      </c>
      <c r="T309" s="23" t="s">
        <v>3658</v>
      </c>
      <c r="U309" s="23" t="s">
        <v>1144</v>
      </c>
      <c r="V309" s="23" t="s">
        <v>138</v>
      </c>
      <c r="W309" s="23" t="s">
        <v>2170</v>
      </c>
      <c r="X309" s="23" t="s">
        <v>3659</v>
      </c>
      <c r="Y309" s="23" t="s">
        <v>1388</v>
      </c>
      <c r="Z309" s="23" t="s">
        <v>914</v>
      </c>
      <c r="AA309" s="23" t="s">
        <v>3660</v>
      </c>
      <c r="AB309" s="23" t="s">
        <v>3661</v>
      </c>
      <c r="AC309" s="23" t="s">
        <v>568</v>
      </c>
      <c r="AD309" s="23" t="s">
        <v>2435</v>
      </c>
      <c r="AE309" s="23" t="s">
        <v>3662</v>
      </c>
    </row>
    <row r="310" spans="1:31" hidden="1" x14ac:dyDescent="0.25">
      <c r="A310">
        <v>309</v>
      </c>
      <c r="B310" t="s">
        <v>3530</v>
      </c>
      <c r="C310" t="s">
        <v>3569</v>
      </c>
      <c r="D310" t="s">
        <v>3532</v>
      </c>
      <c r="E310" t="s">
        <v>35</v>
      </c>
      <c r="F310" t="s">
        <v>162</v>
      </c>
      <c r="G310" t="s">
        <v>3570</v>
      </c>
      <c r="H310" t="s">
        <v>3558</v>
      </c>
      <c r="I310" t="s">
        <v>300</v>
      </c>
      <c r="J310" t="s">
        <v>3571</v>
      </c>
      <c r="K310" t="s">
        <v>3572</v>
      </c>
      <c r="L310" s="23" t="s">
        <v>556</v>
      </c>
      <c r="M310" s="23" t="s">
        <v>244</v>
      </c>
      <c r="N310" s="23" t="s">
        <v>114</v>
      </c>
      <c r="O310" s="23" t="s">
        <v>487</v>
      </c>
      <c r="P310" s="23" t="s">
        <v>1426</v>
      </c>
      <c r="Q310" s="23" t="s">
        <v>93</v>
      </c>
      <c r="R310" s="23" t="s">
        <v>114</v>
      </c>
      <c r="S310" s="23" t="s">
        <v>593</v>
      </c>
      <c r="T310" s="23" t="s">
        <v>3663</v>
      </c>
      <c r="U310" s="23" t="s">
        <v>153</v>
      </c>
      <c r="V310" s="23" t="s">
        <v>114</v>
      </c>
      <c r="W310" s="23" t="s">
        <v>862</v>
      </c>
      <c r="X310" s="23" t="s">
        <v>303</v>
      </c>
      <c r="Y310" s="23" t="s">
        <v>104</v>
      </c>
      <c r="Z310" s="23" t="s">
        <v>114</v>
      </c>
      <c r="AA310" s="23" t="s">
        <v>133</v>
      </c>
      <c r="AB310" s="23" t="s">
        <v>1227</v>
      </c>
      <c r="AC310" s="23" t="s">
        <v>297</v>
      </c>
      <c r="AD310" s="23" t="s">
        <v>114</v>
      </c>
      <c r="AE310" s="23" t="s">
        <v>3147</v>
      </c>
    </row>
    <row r="311" spans="1:31" hidden="1" x14ac:dyDescent="0.25">
      <c r="A311">
        <v>310</v>
      </c>
      <c r="B311" t="s">
        <v>3530</v>
      </c>
      <c r="C311" t="s">
        <v>3575</v>
      </c>
      <c r="D311" t="s">
        <v>3532</v>
      </c>
      <c r="E311" t="s">
        <v>35</v>
      </c>
      <c r="F311" t="s">
        <v>162</v>
      </c>
      <c r="G311" t="s">
        <v>3576</v>
      </c>
      <c r="H311" t="s">
        <v>3577</v>
      </c>
      <c r="I311" t="s">
        <v>163</v>
      </c>
      <c r="J311" t="s">
        <v>3578</v>
      </c>
      <c r="K311" t="s">
        <v>3579</v>
      </c>
      <c r="L311" s="23" t="s">
        <v>233</v>
      </c>
      <c r="M311" s="23" t="s">
        <v>158</v>
      </c>
      <c r="N311" s="23" t="s">
        <v>114</v>
      </c>
      <c r="O311" s="23" t="s">
        <v>245</v>
      </c>
      <c r="P311" s="23" t="s">
        <v>2143</v>
      </c>
      <c r="Q311" s="23" t="s">
        <v>130</v>
      </c>
      <c r="R311" s="23" t="s">
        <v>104</v>
      </c>
      <c r="S311" s="23" t="s">
        <v>3119</v>
      </c>
      <c r="T311" s="23" t="s">
        <v>3664</v>
      </c>
      <c r="U311" s="23" t="s">
        <v>77</v>
      </c>
      <c r="V311" s="23" t="s">
        <v>114</v>
      </c>
      <c r="W311" s="23" t="s">
        <v>3665</v>
      </c>
      <c r="X311" s="23" t="s">
        <v>1480</v>
      </c>
      <c r="Y311" s="23" t="s">
        <v>98</v>
      </c>
      <c r="Z311" s="23" t="s">
        <v>98</v>
      </c>
      <c r="AA311" s="23" t="s">
        <v>205</v>
      </c>
      <c r="AB311" s="23" t="s">
        <v>3666</v>
      </c>
      <c r="AC311" s="23" t="s">
        <v>297</v>
      </c>
      <c r="AD311" s="23" t="s">
        <v>158</v>
      </c>
      <c r="AE311" s="23" t="s">
        <v>939</v>
      </c>
    </row>
    <row r="312" spans="1:31" hidden="1" x14ac:dyDescent="0.25">
      <c r="A312">
        <v>311</v>
      </c>
      <c r="B312" t="s">
        <v>3530</v>
      </c>
      <c r="C312" t="s">
        <v>3588</v>
      </c>
      <c r="D312" t="s">
        <v>3532</v>
      </c>
      <c r="E312" t="s">
        <v>35</v>
      </c>
      <c r="F312" t="s">
        <v>162</v>
      </c>
      <c r="G312" t="s">
        <v>3589</v>
      </c>
      <c r="H312" t="s">
        <v>3590</v>
      </c>
      <c r="I312" t="s">
        <v>300</v>
      </c>
      <c r="J312" t="s">
        <v>3591</v>
      </c>
      <c r="K312" t="s">
        <v>3592</v>
      </c>
      <c r="L312" s="23" t="s">
        <v>3667</v>
      </c>
      <c r="M312" s="23" t="s">
        <v>211</v>
      </c>
      <c r="N312" s="23" t="s">
        <v>94</v>
      </c>
      <c r="O312" s="23" t="s">
        <v>3581</v>
      </c>
      <c r="P312" s="23" t="s">
        <v>3668</v>
      </c>
      <c r="Q312" s="23" t="s">
        <v>592</v>
      </c>
      <c r="R312" s="23" t="s">
        <v>158</v>
      </c>
      <c r="S312" s="23" t="s">
        <v>3669</v>
      </c>
      <c r="T312" s="23" t="s">
        <v>3670</v>
      </c>
      <c r="U312" s="23" t="s">
        <v>1014</v>
      </c>
      <c r="V312" s="23" t="s">
        <v>150</v>
      </c>
      <c r="W312" s="23" t="s">
        <v>3671</v>
      </c>
      <c r="X312" s="23" t="s">
        <v>1870</v>
      </c>
      <c r="Y312" s="23" t="s">
        <v>932</v>
      </c>
      <c r="Z312" s="23" t="s">
        <v>94</v>
      </c>
      <c r="AA312" s="23" t="s">
        <v>3672</v>
      </c>
      <c r="AB312" s="23" t="s">
        <v>3673</v>
      </c>
      <c r="AC312" s="23" t="s">
        <v>385</v>
      </c>
      <c r="AD312" s="23" t="s">
        <v>193</v>
      </c>
      <c r="AE312" s="23" t="s">
        <v>3674</v>
      </c>
    </row>
    <row r="313" spans="1:31" hidden="1" x14ac:dyDescent="0.25">
      <c r="A313">
        <v>312</v>
      </c>
      <c r="B313" t="s">
        <v>3530</v>
      </c>
      <c r="C313" t="s">
        <v>3600</v>
      </c>
      <c r="D313" t="s">
        <v>3532</v>
      </c>
      <c r="E313" t="s">
        <v>35</v>
      </c>
      <c r="F313" t="s">
        <v>162</v>
      </c>
      <c r="G313" t="s">
        <v>2898</v>
      </c>
      <c r="H313" t="s">
        <v>3601</v>
      </c>
      <c r="I313" t="s">
        <v>300</v>
      </c>
      <c r="J313" t="s">
        <v>3602</v>
      </c>
      <c r="K313" t="s">
        <v>3603</v>
      </c>
      <c r="L313" s="23" t="s">
        <v>3675</v>
      </c>
      <c r="M313" s="23" t="s">
        <v>51</v>
      </c>
      <c r="N313" s="23" t="s">
        <v>479</v>
      </c>
      <c r="O313" s="23" t="s">
        <v>3676</v>
      </c>
      <c r="P313" s="23" t="s">
        <v>3677</v>
      </c>
      <c r="Q313" s="23" t="s">
        <v>3221</v>
      </c>
      <c r="R313" s="23" t="s">
        <v>303</v>
      </c>
      <c r="S313" s="23" t="s">
        <v>3678</v>
      </c>
      <c r="T313" s="23" t="s">
        <v>3679</v>
      </c>
      <c r="U313" s="23" t="s">
        <v>1717</v>
      </c>
      <c r="V313" s="23" t="s">
        <v>246</v>
      </c>
      <c r="W313" s="23" t="s">
        <v>3680</v>
      </c>
      <c r="X313" s="23" t="s">
        <v>511</v>
      </c>
      <c r="Y313" s="23" t="s">
        <v>1089</v>
      </c>
      <c r="Z313" s="23" t="s">
        <v>196</v>
      </c>
      <c r="AA313" s="23" t="s">
        <v>3681</v>
      </c>
      <c r="AB313" s="23" t="s">
        <v>3682</v>
      </c>
      <c r="AC313" s="23" t="s">
        <v>3369</v>
      </c>
      <c r="AD313" s="23" t="s">
        <v>3383</v>
      </c>
      <c r="AE313" s="23" t="s">
        <v>3683</v>
      </c>
    </row>
    <row r="314" spans="1:31" hidden="1" x14ac:dyDescent="0.25">
      <c r="A314">
        <v>313</v>
      </c>
      <c r="B314" t="s">
        <v>3530</v>
      </c>
      <c r="C314" t="s">
        <v>3614</v>
      </c>
      <c r="D314" t="s">
        <v>3532</v>
      </c>
      <c r="E314" t="s">
        <v>35</v>
      </c>
      <c r="F314" t="s">
        <v>162</v>
      </c>
      <c r="G314" t="s">
        <v>3615</v>
      </c>
      <c r="H314" t="s">
        <v>3616</v>
      </c>
      <c r="I314" t="s">
        <v>300</v>
      </c>
      <c r="J314" t="s">
        <v>3617</v>
      </c>
      <c r="K314" t="s">
        <v>3618</v>
      </c>
      <c r="L314" s="23" t="s">
        <v>3684</v>
      </c>
      <c r="M314" s="23" t="s">
        <v>3306</v>
      </c>
      <c r="N314" s="23" t="s">
        <v>595</v>
      </c>
      <c r="O314" s="23" t="s">
        <v>3685</v>
      </c>
      <c r="P314" s="23" t="s">
        <v>3686</v>
      </c>
      <c r="Q314" s="23" t="s">
        <v>3687</v>
      </c>
      <c r="R314" s="23" t="s">
        <v>3688</v>
      </c>
      <c r="S314" s="23" t="s">
        <v>3689</v>
      </c>
      <c r="T314" s="23" t="s">
        <v>3690</v>
      </c>
      <c r="U314" s="23" t="s">
        <v>117</v>
      </c>
      <c r="V314" s="23" t="s">
        <v>3691</v>
      </c>
      <c r="W314" s="23" t="s">
        <v>3692</v>
      </c>
      <c r="X314" s="23" t="s">
        <v>3693</v>
      </c>
      <c r="Y314" s="23" t="s">
        <v>1579</v>
      </c>
      <c r="Z314" s="23" t="s">
        <v>2678</v>
      </c>
      <c r="AA314" s="23" t="s">
        <v>3694</v>
      </c>
      <c r="AB314" s="23" t="s">
        <v>3695</v>
      </c>
      <c r="AC314" s="23" t="s">
        <v>74</v>
      </c>
      <c r="AD314" s="23" t="s">
        <v>3696</v>
      </c>
      <c r="AE314" s="23" t="s">
        <v>3697</v>
      </c>
    </row>
    <row r="315" spans="1:31" hidden="1" x14ac:dyDescent="0.25">
      <c r="A315">
        <v>314</v>
      </c>
      <c r="B315" t="s">
        <v>3530</v>
      </c>
      <c r="C315" t="s">
        <v>3629</v>
      </c>
      <c r="D315" t="s">
        <v>3532</v>
      </c>
      <c r="E315" t="s">
        <v>35</v>
      </c>
      <c r="F315" t="s">
        <v>162</v>
      </c>
      <c r="G315" t="s">
        <v>3630</v>
      </c>
      <c r="H315" t="s">
        <v>3616</v>
      </c>
      <c r="I315" t="s">
        <v>163</v>
      </c>
      <c r="J315" t="s">
        <v>3631</v>
      </c>
      <c r="K315" t="s">
        <v>3632</v>
      </c>
      <c r="L315" s="23" t="s">
        <v>3698</v>
      </c>
      <c r="M315" s="23" t="s">
        <v>1685</v>
      </c>
      <c r="N315" s="23" t="s">
        <v>166</v>
      </c>
      <c r="O315" s="23" t="s">
        <v>3699</v>
      </c>
      <c r="P315" s="23" t="s">
        <v>3700</v>
      </c>
      <c r="Q315" s="23" t="s">
        <v>3701</v>
      </c>
      <c r="R315" s="23" t="s">
        <v>3702</v>
      </c>
      <c r="S315" s="23" t="s">
        <v>3703</v>
      </c>
      <c r="T315" s="23" t="s">
        <v>2744</v>
      </c>
      <c r="U315" s="23" t="s">
        <v>1587</v>
      </c>
      <c r="V315" s="23" t="s">
        <v>73</v>
      </c>
      <c r="W315" s="23" t="s">
        <v>3704</v>
      </c>
      <c r="X315" s="23" t="s">
        <v>3705</v>
      </c>
      <c r="Y315" s="23" t="s">
        <v>593</v>
      </c>
      <c r="Z315" s="23" t="s">
        <v>329</v>
      </c>
      <c r="AA315" s="23" t="s">
        <v>3706</v>
      </c>
      <c r="AB315" s="23" t="s">
        <v>3707</v>
      </c>
      <c r="AC315" s="23" t="s">
        <v>560</v>
      </c>
      <c r="AD315" s="23" t="s">
        <v>3336</v>
      </c>
      <c r="AE315" s="23" t="s">
        <v>3708</v>
      </c>
    </row>
    <row r="316" spans="1:31" hidden="1" x14ac:dyDescent="0.25">
      <c r="A316">
        <v>315</v>
      </c>
      <c r="B316" t="s">
        <v>217</v>
      </c>
      <c r="C316" t="s">
        <v>3709</v>
      </c>
      <c r="D316" t="s">
        <v>3710</v>
      </c>
      <c r="E316" t="s">
        <v>35</v>
      </c>
      <c r="F316" t="s">
        <v>36</v>
      </c>
      <c r="G316" t="s">
        <v>3711</v>
      </c>
      <c r="H316" t="s">
        <v>3712</v>
      </c>
      <c r="I316" t="s">
        <v>163</v>
      </c>
      <c r="J316" t="s">
        <v>3713</v>
      </c>
      <c r="K316" t="s">
        <v>3714</v>
      </c>
      <c r="L316" s="23" t="s">
        <v>3715</v>
      </c>
      <c r="M316" s="23" t="s">
        <v>295</v>
      </c>
      <c r="N316" s="23" t="s">
        <v>150</v>
      </c>
      <c r="O316" s="23" t="s">
        <v>3716</v>
      </c>
      <c r="P316" s="23" t="s">
        <v>3717</v>
      </c>
      <c r="Q316" s="23" t="s">
        <v>782</v>
      </c>
      <c r="R316" s="23" t="s">
        <v>213</v>
      </c>
      <c r="S316" s="23" t="s">
        <v>3718</v>
      </c>
      <c r="T316" s="23" t="s">
        <v>3719</v>
      </c>
      <c r="U316" s="23" t="s">
        <v>115</v>
      </c>
      <c r="V316" s="23" t="s">
        <v>98</v>
      </c>
      <c r="W316" s="23" t="s">
        <v>3720</v>
      </c>
      <c r="X316" s="23" t="s">
        <v>3721</v>
      </c>
      <c r="Y316" s="23" t="s">
        <v>507</v>
      </c>
      <c r="Z316" s="23" t="s">
        <v>94</v>
      </c>
      <c r="AA316" s="23" t="s">
        <v>3722</v>
      </c>
      <c r="AB316" s="23" t="s">
        <v>3723</v>
      </c>
      <c r="AC316" s="23" t="s">
        <v>3724</v>
      </c>
      <c r="AD316" s="23" t="s">
        <v>130</v>
      </c>
      <c r="AE316" s="23" t="s">
        <v>3725</v>
      </c>
    </row>
    <row r="317" spans="1:31" hidden="1" x14ac:dyDescent="0.25">
      <c r="A317">
        <v>316</v>
      </c>
      <c r="B317" t="s">
        <v>217</v>
      </c>
      <c r="C317" t="s">
        <v>3726</v>
      </c>
      <c r="D317" t="s">
        <v>3710</v>
      </c>
      <c r="E317" t="s">
        <v>35</v>
      </c>
      <c r="F317" t="s">
        <v>36</v>
      </c>
      <c r="G317" t="s">
        <v>3727</v>
      </c>
      <c r="H317" t="s">
        <v>3728</v>
      </c>
      <c r="I317" t="s">
        <v>163</v>
      </c>
      <c r="J317" t="s">
        <v>3729</v>
      </c>
      <c r="K317" t="s">
        <v>3730</v>
      </c>
      <c r="L317" s="23" t="s">
        <v>1459</v>
      </c>
      <c r="M317" s="23" t="s">
        <v>93</v>
      </c>
      <c r="N317" s="23" t="s">
        <v>114</v>
      </c>
      <c r="O317" s="23" t="s">
        <v>3731</v>
      </c>
      <c r="P317" s="23" t="s">
        <v>612</v>
      </c>
      <c r="Q317" s="23" t="s">
        <v>81</v>
      </c>
      <c r="R317" s="23" t="s">
        <v>114</v>
      </c>
      <c r="S317" s="23" t="s">
        <v>3732</v>
      </c>
      <c r="T317" s="23" t="s">
        <v>3733</v>
      </c>
      <c r="U317" s="23" t="s">
        <v>32</v>
      </c>
      <c r="V317" s="23" t="s">
        <v>114</v>
      </c>
      <c r="W317" s="23" t="s">
        <v>3233</v>
      </c>
      <c r="X317" s="23" t="s">
        <v>958</v>
      </c>
      <c r="Y317" s="23" t="s">
        <v>213</v>
      </c>
      <c r="Z317" s="23" t="s">
        <v>114</v>
      </c>
      <c r="AA317" s="23" t="s">
        <v>258</v>
      </c>
      <c r="AB317" s="23" t="s">
        <v>3734</v>
      </c>
      <c r="AC317" s="23" t="s">
        <v>477</v>
      </c>
      <c r="AD317" s="23" t="s">
        <v>114</v>
      </c>
      <c r="AE317" s="23" t="s">
        <v>3735</v>
      </c>
    </row>
    <row r="318" spans="1:31" hidden="1" x14ac:dyDescent="0.25">
      <c r="A318">
        <v>317</v>
      </c>
      <c r="B318" t="s">
        <v>217</v>
      </c>
      <c r="C318" t="s">
        <v>3736</v>
      </c>
      <c r="D318" t="s">
        <v>3710</v>
      </c>
      <c r="E318" t="s">
        <v>35</v>
      </c>
      <c r="F318" t="s">
        <v>36</v>
      </c>
      <c r="G318" t="s">
        <v>3737</v>
      </c>
      <c r="H318" t="s">
        <v>3738</v>
      </c>
      <c r="I318" t="s">
        <v>300</v>
      </c>
      <c r="J318" t="s">
        <v>3739</v>
      </c>
      <c r="K318" t="s">
        <v>3740</v>
      </c>
      <c r="L318" s="23" t="s">
        <v>3741</v>
      </c>
      <c r="M318" s="23" t="s">
        <v>507</v>
      </c>
      <c r="N318" s="23" t="s">
        <v>93</v>
      </c>
      <c r="O318" s="23" t="s">
        <v>3742</v>
      </c>
      <c r="P318" s="23" t="s">
        <v>3743</v>
      </c>
      <c r="Q318" s="23" t="s">
        <v>335</v>
      </c>
      <c r="R318" s="23" t="s">
        <v>278</v>
      </c>
      <c r="S318" s="23" t="s">
        <v>3744</v>
      </c>
      <c r="T318" s="23" t="s">
        <v>2265</v>
      </c>
      <c r="U318" s="23" t="s">
        <v>303</v>
      </c>
      <c r="V318" s="23" t="s">
        <v>94</v>
      </c>
      <c r="W318" s="23" t="s">
        <v>3745</v>
      </c>
      <c r="X318" s="23" t="s">
        <v>3746</v>
      </c>
      <c r="Y318" s="23" t="s">
        <v>3747</v>
      </c>
      <c r="Z318" s="23" t="s">
        <v>77</v>
      </c>
      <c r="AA318" s="23" t="s">
        <v>3748</v>
      </c>
      <c r="AB318" s="23" t="s">
        <v>3749</v>
      </c>
      <c r="AC318" s="23" t="s">
        <v>3750</v>
      </c>
      <c r="AD318" s="23" t="s">
        <v>115</v>
      </c>
      <c r="AE318" s="23" t="s">
        <v>3751</v>
      </c>
    </row>
    <row r="319" spans="1:31" hidden="1" x14ac:dyDescent="0.25">
      <c r="A319">
        <v>318</v>
      </c>
      <c r="B319" t="s">
        <v>217</v>
      </c>
      <c r="C319" t="s">
        <v>3752</v>
      </c>
      <c r="D319" t="s">
        <v>3710</v>
      </c>
      <c r="E319" t="s">
        <v>35</v>
      </c>
      <c r="F319" t="s">
        <v>36</v>
      </c>
      <c r="G319" t="s">
        <v>3753</v>
      </c>
      <c r="H319" t="s">
        <v>3754</v>
      </c>
      <c r="I319" t="s">
        <v>163</v>
      </c>
      <c r="J319" t="s">
        <v>3755</v>
      </c>
      <c r="K319" t="s">
        <v>3756</v>
      </c>
      <c r="L319" s="23" t="s">
        <v>3757</v>
      </c>
      <c r="M319" s="23" t="s">
        <v>629</v>
      </c>
      <c r="N319" s="23" t="s">
        <v>68</v>
      </c>
      <c r="O319" s="23" t="s">
        <v>3758</v>
      </c>
      <c r="P319" s="23" t="s">
        <v>3759</v>
      </c>
      <c r="Q319" s="23" t="s">
        <v>3760</v>
      </c>
      <c r="R319" s="23" t="s">
        <v>3691</v>
      </c>
      <c r="S319" s="23" t="s">
        <v>3761</v>
      </c>
      <c r="T319" s="23" t="s">
        <v>3762</v>
      </c>
      <c r="U319" s="23" t="s">
        <v>681</v>
      </c>
      <c r="V319" s="23" t="s">
        <v>76</v>
      </c>
      <c r="W319" s="23" t="s">
        <v>3763</v>
      </c>
      <c r="X319" s="23" t="s">
        <v>3764</v>
      </c>
      <c r="Y319" s="23" t="s">
        <v>3765</v>
      </c>
      <c r="Z319" s="23" t="s">
        <v>166</v>
      </c>
      <c r="AA319" s="23" t="s">
        <v>3766</v>
      </c>
      <c r="AB319" s="23" t="s">
        <v>3767</v>
      </c>
      <c r="AC319" s="23" t="s">
        <v>3768</v>
      </c>
      <c r="AD319" s="23" t="s">
        <v>1062</v>
      </c>
      <c r="AE319" s="23" t="s">
        <v>3769</v>
      </c>
    </row>
    <row r="320" spans="1:31" hidden="1" x14ac:dyDescent="0.25">
      <c r="A320">
        <v>319</v>
      </c>
      <c r="B320" t="s">
        <v>217</v>
      </c>
      <c r="C320" t="s">
        <v>3770</v>
      </c>
      <c r="D320" t="s">
        <v>3710</v>
      </c>
      <c r="E320" t="s">
        <v>35</v>
      </c>
      <c r="F320" t="s">
        <v>36</v>
      </c>
      <c r="G320" t="s">
        <v>3771</v>
      </c>
      <c r="H320" t="s">
        <v>3772</v>
      </c>
      <c r="I320" t="s">
        <v>163</v>
      </c>
      <c r="J320" t="s">
        <v>3773</v>
      </c>
      <c r="K320" t="s">
        <v>3774</v>
      </c>
      <c r="L320" s="23" t="s">
        <v>2112</v>
      </c>
      <c r="M320" s="23" t="s">
        <v>213</v>
      </c>
      <c r="N320" s="23" t="s">
        <v>104</v>
      </c>
      <c r="O320" s="23" t="s">
        <v>545</v>
      </c>
      <c r="P320" s="23" t="s">
        <v>3775</v>
      </c>
      <c r="Q320" s="23" t="s">
        <v>151</v>
      </c>
      <c r="R320" s="23" t="s">
        <v>94</v>
      </c>
      <c r="S320" s="23" t="s">
        <v>990</v>
      </c>
      <c r="T320" s="23" t="s">
        <v>3271</v>
      </c>
      <c r="U320" s="23" t="s">
        <v>193</v>
      </c>
      <c r="V320" s="23" t="s">
        <v>114</v>
      </c>
      <c r="W320" s="23" t="s">
        <v>3776</v>
      </c>
      <c r="X320" s="23" t="s">
        <v>308</v>
      </c>
      <c r="Y320" s="23" t="s">
        <v>158</v>
      </c>
      <c r="Z320" s="23" t="s">
        <v>114</v>
      </c>
      <c r="AA320" s="23" t="s">
        <v>161</v>
      </c>
      <c r="AB320" s="23" t="s">
        <v>3777</v>
      </c>
      <c r="AC320" s="23" t="s">
        <v>768</v>
      </c>
      <c r="AD320" s="23" t="s">
        <v>150</v>
      </c>
      <c r="AE320" s="23" t="s">
        <v>3778</v>
      </c>
    </row>
    <row r="321" spans="1:31" hidden="1" x14ac:dyDescent="0.25">
      <c r="A321">
        <v>320</v>
      </c>
      <c r="B321" t="s">
        <v>217</v>
      </c>
      <c r="C321" t="s">
        <v>3709</v>
      </c>
      <c r="D321" t="s">
        <v>3710</v>
      </c>
      <c r="E321" t="s">
        <v>35</v>
      </c>
      <c r="F321" t="s">
        <v>162</v>
      </c>
      <c r="G321" t="s">
        <v>3711</v>
      </c>
      <c r="H321" t="s">
        <v>3712</v>
      </c>
      <c r="I321" t="s">
        <v>39</v>
      </c>
      <c r="J321" t="s">
        <v>3713</v>
      </c>
      <c r="K321" t="s">
        <v>3714</v>
      </c>
      <c r="L321" s="23" t="s">
        <v>3779</v>
      </c>
      <c r="M321" s="23" t="s">
        <v>517</v>
      </c>
      <c r="N321" s="23" t="s">
        <v>98</v>
      </c>
      <c r="O321" s="23" t="s">
        <v>692</v>
      </c>
      <c r="P321" s="23" t="s">
        <v>3780</v>
      </c>
      <c r="Q321" s="23" t="s">
        <v>3781</v>
      </c>
      <c r="R321" s="23" t="s">
        <v>193</v>
      </c>
      <c r="S321" s="23" t="s">
        <v>3782</v>
      </c>
      <c r="T321" s="23" t="s">
        <v>3783</v>
      </c>
      <c r="U321" s="23" t="s">
        <v>211</v>
      </c>
      <c r="V321" s="23" t="s">
        <v>114</v>
      </c>
      <c r="W321" s="23" t="s">
        <v>820</v>
      </c>
      <c r="X321" s="23" t="s">
        <v>3784</v>
      </c>
      <c r="Y321" s="23" t="s">
        <v>1712</v>
      </c>
      <c r="Z321" s="23" t="s">
        <v>1032</v>
      </c>
      <c r="AA321" s="23" t="s">
        <v>3785</v>
      </c>
      <c r="AB321" s="23" t="s">
        <v>3786</v>
      </c>
      <c r="AC321" s="23" t="s">
        <v>3787</v>
      </c>
      <c r="AD321" s="23" t="s">
        <v>278</v>
      </c>
      <c r="AE321" s="23" t="s">
        <v>3788</v>
      </c>
    </row>
    <row r="322" spans="1:31" hidden="1" x14ac:dyDescent="0.25">
      <c r="A322">
        <v>321</v>
      </c>
      <c r="B322" t="s">
        <v>217</v>
      </c>
      <c r="C322" t="s">
        <v>3726</v>
      </c>
      <c r="D322" t="s">
        <v>3710</v>
      </c>
      <c r="E322" t="s">
        <v>35</v>
      </c>
      <c r="F322" t="s">
        <v>162</v>
      </c>
      <c r="G322" t="s">
        <v>3727</v>
      </c>
      <c r="H322" t="s">
        <v>3728</v>
      </c>
      <c r="I322" t="s">
        <v>39</v>
      </c>
      <c r="J322" t="s">
        <v>3729</v>
      </c>
      <c r="K322" t="s">
        <v>3730</v>
      </c>
      <c r="L322" s="23" t="s">
        <v>704</v>
      </c>
      <c r="M322" s="23" t="s">
        <v>213</v>
      </c>
      <c r="N322" s="23" t="s">
        <v>94</v>
      </c>
      <c r="O322" s="23" t="s">
        <v>3789</v>
      </c>
      <c r="P322" s="23" t="s">
        <v>3790</v>
      </c>
      <c r="Q322" s="23" t="s">
        <v>487</v>
      </c>
      <c r="R322" s="23" t="s">
        <v>114</v>
      </c>
      <c r="S322" s="23" t="s">
        <v>3791</v>
      </c>
      <c r="T322" s="23" t="s">
        <v>793</v>
      </c>
      <c r="U322" s="23" t="s">
        <v>213</v>
      </c>
      <c r="V322" s="23" t="s">
        <v>114</v>
      </c>
      <c r="W322" s="23" t="s">
        <v>1315</v>
      </c>
      <c r="X322" s="23" t="s">
        <v>1022</v>
      </c>
      <c r="Y322" s="23" t="s">
        <v>479</v>
      </c>
      <c r="Z322" s="23" t="s">
        <v>114</v>
      </c>
      <c r="AA322" s="23" t="s">
        <v>1197</v>
      </c>
      <c r="AB322" s="23" t="s">
        <v>3792</v>
      </c>
      <c r="AC322" s="23" t="s">
        <v>322</v>
      </c>
      <c r="AD322" s="23" t="s">
        <v>94</v>
      </c>
      <c r="AE322" s="23" t="s">
        <v>3793</v>
      </c>
    </row>
    <row r="323" spans="1:31" hidden="1" x14ac:dyDescent="0.25">
      <c r="A323">
        <v>322</v>
      </c>
      <c r="B323" t="s">
        <v>217</v>
      </c>
      <c r="C323" t="s">
        <v>3736</v>
      </c>
      <c r="D323" t="s">
        <v>3710</v>
      </c>
      <c r="E323" t="s">
        <v>35</v>
      </c>
      <c r="F323" t="s">
        <v>162</v>
      </c>
      <c r="G323" t="s">
        <v>3737</v>
      </c>
      <c r="H323" t="s">
        <v>3738</v>
      </c>
      <c r="I323" t="s">
        <v>240</v>
      </c>
      <c r="J323" t="s">
        <v>3739</v>
      </c>
      <c r="K323" t="s">
        <v>3740</v>
      </c>
      <c r="L323" s="23" t="s">
        <v>3794</v>
      </c>
      <c r="M323" s="23" t="s">
        <v>1717</v>
      </c>
      <c r="N323" s="23" t="s">
        <v>213</v>
      </c>
      <c r="O323" s="23" t="s">
        <v>2622</v>
      </c>
      <c r="P323" s="23" t="s">
        <v>3795</v>
      </c>
      <c r="Q323" s="23" t="s">
        <v>2024</v>
      </c>
      <c r="R323" s="23" t="s">
        <v>118</v>
      </c>
      <c r="S323" s="23" t="s">
        <v>3796</v>
      </c>
      <c r="T323" s="23" t="s">
        <v>3797</v>
      </c>
      <c r="U323" s="23" t="s">
        <v>133</v>
      </c>
      <c r="V323" s="23" t="s">
        <v>104</v>
      </c>
      <c r="W323" s="23" t="s">
        <v>1386</v>
      </c>
      <c r="X323" s="23" t="s">
        <v>3798</v>
      </c>
      <c r="Y323" s="23" t="s">
        <v>3306</v>
      </c>
      <c r="Z323" s="23" t="s">
        <v>122</v>
      </c>
      <c r="AA323" s="23" t="s">
        <v>3799</v>
      </c>
      <c r="AB323" s="23" t="s">
        <v>3800</v>
      </c>
      <c r="AC323" s="23" t="s">
        <v>3801</v>
      </c>
      <c r="AD323" s="23" t="s">
        <v>223</v>
      </c>
      <c r="AE323" s="23" t="s">
        <v>3802</v>
      </c>
    </row>
    <row r="324" spans="1:31" hidden="1" x14ac:dyDescent="0.25">
      <c r="A324">
        <v>323</v>
      </c>
      <c r="B324" t="s">
        <v>217</v>
      </c>
      <c r="C324" t="s">
        <v>3752</v>
      </c>
      <c r="D324" t="s">
        <v>3710</v>
      </c>
      <c r="E324" t="s">
        <v>35</v>
      </c>
      <c r="F324" t="s">
        <v>162</v>
      </c>
      <c r="G324" t="s">
        <v>3753</v>
      </c>
      <c r="H324" t="s">
        <v>3754</v>
      </c>
      <c r="I324" t="s">
        <v>39</v>
      </c>
      <c r="J324" t="s">
        <v>3755</v>
      </c>
      <c r="K324" t="s">
        <v>3756</v>
      </c>
      <c r="L324" s="23" t="s">
        <v>3803</v>
      </c>
      <c r="M324" s="23" t="s">
        <v>2824</v>
      </c>
      <c r="N324" s="23" t="s">
        <v>556</v>
      </c>
      <c r="O324" s="23" t="s">
        <v>3804</v>
      </c>
      <c r="P324" s="23" t="s">
        <v>3805</v>
      </c>
      <c r="Q324" s="23" t="s">
        <v>2454</v>
      </c>
      <c r="R324" s="23" t="s">
        <v>681</v>
      </c>
      <c r="S324" s="23" t="s">
        <v>3806</v>
      </c>
      <c r="T324" s="23" t="s">
        <v>3807</v>
      </c>
      <c r="U324" s="23" t="s">
        <v>454</v>
      </c>
      <c r="V324" s="23" t="s">
        <v>278</v>
      </c>
      <c r="W324" s="23" t="s">
        <v>3808</v>
      </c>
      <c r="X324" s="23" t="s">
        <v>3809</v>
      </c>
      <c r="Y324" s="23" t="s">
        <v>2138</v>
      </c>
      <c r="Z324" s="23" t="s">
        <v>517</v>
      </c>
      <c r="AA324" s="23" t="s">
        <v>3810</v>
      </c>
      <c r="AB324" s="23" t="s">
        <v>3811</v>
      </c>
      <c r="AC324" s="23" t="s">
        <v>3812</v>
      </c>
      <c r="AD324" s="23" t="s">
        <v>3442</v>
      </c>
      <c r="AE324" s="23" t="s">
        <v>3813</v>
      </c>
    </row>
    <row r="325" spans="1:31" hidden="1" x14ac:dyDescent="0.25">
      <c r="A325">
        <v>324</v>
      </c>
      <c r="B325" t="s">
        <v>217</v>
      </c>
      <c r="C325" t="s">
        <v>3770</v>
      </c>
      <c r="D325" t="s">
        <v>3710</v>
      </c>
      <c r="E325" t="s">
        <v>35</v>
      </c>
      <c r="F325" t="s">
        <v>162</v>
      </c>
      <c r="G325" t="s">
        <v>3771</v>
      </c>
      <c r="H325" t="s">
        <v>3772</v>
      </c>
      <c r="I325" t="s">
        <v>39</v>
      </c>
      <c r="J325" t="s">
        <v>3773</v>
      </c>
      <c r="K325" t="s">
        <v>3774</v>
      </c>
      <c r="L325" s="23" t="s">
        <v>3315</v>
      </c>
      <c r="M325" s="23" t="s">
        <v>193</v>
      </c>
      <c r="N325" s="23" t="s">
        <v>114</v>
      </c>
      <c r="O325" s="23" t="s">
        <v>1876</v>
      </c>
      <c r="P325" s="23" t="s">
        <v>520</v>
      </c>
      <c r="Q325" s="23" t="s">
        <v>69</v>
      </c>
      <c r="R325" s="23" t="s">
        <v>114</v>
      </c>
      <c r="S325" s="23" t="s">
        <v>582</v>
      </c>
      <c r="T325" s="23" t="s">
        <v>235</v>
      </c>
      <c r="U325" s="23" t="s">
        <v>244</v>
      </c>
      <c r="V325" s="23" t="s">
        <v>114</v>
      </c>
      <c r="W325" s="23" t="s">
        <v>790</v>
      </c>
      <c r="X325" s="23" t="s">
        <v>1809</v>
      </c>
      <c r="Y325" s="23" t="s">
        <v>158</v>
      </c>
      <c r="Z325" s="23" t="s">
        <v>114</v>
      </c>
      <c r="AA325" s="23" t="s">
        <v>615</v>
      </c>
      <c r="AB325" s="23" t="s">
        <v>3814</v>
      </c>
      <c r="AC325" s="23" t="s">
        <v>196</v>
      </c>
      <c r="AD325" s="23" t="s">
        <v>114</v>
      </c>
      <c r="AE325" s="23" t="s">
        <v>2451</v>
      </c>
    </row>
    <row r="326" spans="1:31" hidden="1" x14ac:dyDescent="0.25">
      <c r="A326">
        <v>325</v>
      </c>
      <c r="B326" t="s">
        <v>347</v>
      </c>
      <c r="C326" t="s">
        <v>347</v>
      </c>
      <c r="D326" t="s">
        <v>3815</v>
      </c>
      <c r="E326" t="s">
        <v>35</v>
      </c>
      <c r="F326" t="s">
        <v>36</v>
      </c>
      <c r="G326" t="s">
        <v>3816</v>
      </c>
      <c r="H326" t="s">
        <v>3817</v>
      </c>
      <c r="I326" t="s">
        <v>163</v>
      </c>
      <c r="J326" t="s">
        <v>3818</v>
      </c>
      <c r="K326" t="s">
        <v>3819</v>
      </c>
      <c r="L326" s="23" t="s">
        <v>2288</v>
      </c>
      <c r="M326" s="23" t="s">
        <v>245</v>
      </c>
      <c r="N326" s="23" t="s">
        <v>479</v>
      </c>
      <c r="O326" s="23" t="s">
        <v>815</v>
      </c>
      <c r="P326" s="23" t="s">
        <v>2961</v>
      </c>
      <c r="Q326" s="23" t="s">
        <v>123</v>
      </c>
      <c r="R326" s="23" t="s">
        <v>2771</v>
      </c>
      <c r="S326" s="23" t="s">
        <v>587</v>
      </c>
      <c r="T326" s="23" t="s">
        <v>1114</v>
      </c>
      <c r="U326" s="23" t="s">
        <v>149</v>
      </c>
      <c r="V326" s="23" t="s">
        <v>257</v>
      </c>
      <c r="W326" s="23" t="s">
        <v>467</v>
      </c>
      <c r="X326" s="23" t="s">
        <v>801</v>
      </c>
      <c r="Y326" s="23" t="s">
        <v>81</v>
      </c>
      <c r="Z326" s="23" t="s">
        <v>1032</v>
      </c>
      <c r="AA326" s="23" t="s">
        <v>3820</v>
      </c>
      <c r="AB326" s="23" t="s">
        <v>2303</v>
      </c>
      <c r="AC326" s="23" t="s">
        <v>1961</v>
      </c>
      <c r="AD326" s="23" t="s">
        <v>1460</v>
      </c>
      <c r="AE326" s="23" t="s">
        <v>3821</v>
      </c>
    </row>
    <row r="327" spans="1:31" hidden="1" x14ac:dyDescent="0.25">
      <c r="A327">
        <v>326</v>
      </c>
      <c r="B327" t="s">
        <v>347</v>
      </c>
      <c r="C327" t="s">
        <v>3822</v>
      </c>
      <c r="D327" t="s">
        <v>3815</v>
      </c>
      <c r="E327" t="s">
        <v>35</v>
      </c>
      <c r="F327" t="s">
        <v>36</v>
      </c>
      <c r="G327" t="s">
        <v>3823</v>
      </c>
      <c r="H327" t="s">
        <v>3824</v>
      </c>
      <c r="I327" t="s">
        <v>163</v>
      </c>
      <c r="J327" t="s">
        <v>3825</v>
      </c>
      <c r="K327" t="s">
        <v>3826</v>
      </c>
      <c r="L327" s="23" t="s">
        <v>3827</v>
      </c>
      <c r="M327" s="23" t="s">
        <v>2613</v>
      </c>
      <c r="N327" s="23" t="s">
        <v>1362</v>
      </c>
      <c r="O327" s="23" t="s">
        <v>3828</v>
      </c>
      <c r="P327" s="23" t="s">
        <v>2423</v>
      </c>
      <c r="Q327" s="23" t="s">
        <v>2132</v>
      </c>
      <c r="R327" s="23" t="s">
        <v>3775</v>
      </c>
      <c r="S327" s="23" t="s">
        <v>3829</v>
      </c>
      <c r="T327" s="23" t="s">
        <v>3830</v>
      </c>
      <c r="U327" s="23" t="s">
        <v>212</v>
      </c>
      <c r="V327" s="23" t="s">
        <v>157</v>
      </c>
      <c r="W327" s="23" t="s">
        <v>3831</v>
      </c>
      <c r="X327" s="23" t="s">
        <v>3832</v>
      </c>
      <c r="Y327" s="23" t="s">
        <v>3833</v>
      </c>
      <c r="Z327" s="23" t="s">
        <v>3834</v>
      </c>
      <c r="AA327" s="23" t="s">
        <v>3835</v>
      </c>
      <c r="AB327" s="23" t="s">
        <v>3836</v>
      </c>
      <c r="AC327" s="23" t="s">
        <v>3837</v>
      </c>
      <c r="AD327" s="23" t="s">
        <v>3838</v>
      </c>
      <c r="AE327" s="23" t="s">
        <v>3839</v>
      </c>
    </row>
    <row r="328" spans="1:31" hidden="1" x14ac:dyDescent="0.25">
      <c r="A328">
        <v>327</v>
      </c>
      <c r="B328" t="s">
        <v>347</v>
      </c>
      <c r="C328" t="s">
        <v>3840</v>
      </c>
      <c r="D328" t="s">
        <v>3815</v>
      </c>
      <c r="E328" t="s">
        <v>35</v>
      </c>
      <c r="F328" t="s">
        <v>36</v>
      </c>
      <c r="G328" t="s">
        <v>3841</v>
      </c>
      <c r="H328" t="s">
        <v>3842</v>
      </c>
      <c r="I328" t="s">
        <v>300</v>
      </c>
      <c r="J328" t="s">
        <v>3843</v>
      </c>
      <c r="K328" t="s">
        <v>3844</v>
      </c>
      <c r="L328" s="23" t="s">
        <v>862</v>
      </c>
      <c r="M328" s="23" t="s">
        <v>233</v>
      </c>
      <c r="N328" s="23" t="s">
        <v>246</v>
      </c>
      <c r="O328" s="23" t="s">
        <v>3845</v>
      </c>
      <c r="P328" s="23" t="s">
        <v>1526</v>
      </c>
      <c r="Q328" s="23" t="s">
        <v>3846</v>
      </c>
      <c r="R328" s="23" t="s">
        <v>226</v>
      </c>
      <c r="S328" s="23" t="s">
        <v>3847</v>
      </c>
      <c r="T328" s="23" t="s">
        <v>1096</v>
      </c>
      <c r="U328" s="23" t="s">
        <v>1032</v>
      </c>
      <c r="V328" s="23" t="s">
        <v>193</v>
      </c>
      <c r="W328" s="23" t="s">
        <v>1743</v>
      </c>
      <c r="X328" s="23" t="s">
        <v>333</v>
      </c>
      <c r="Y328" s="23" t="s">
        <v>556</v>
      </c>
      <c r="Z328" s="23" t="s">
        <v>69</v>
      </c>
      <c r="AA328" s="23" t="s">
        <v>846</v>
      </c>
      <c r="AB328" s="23" t="s">
        <v>3848</v>
      </c>
      <c r="AC328" s="23" t="s">
        <v>584</v>
      </c>
      <c r="AD328" s="23" t="s">
        <v>981</v>
      </c>
      <c r="AE328" s="23" t="s">
        <v>3849</v>
      </c>
    </row>
    <row r="329" spans="1:31" hidden="1" x14ac:dyDescent="0.25">
      <c r="A329">
        <v>328</v>
      </c>
      <c r="B329" t="s">
        <v>347</v>
      </c>
      <c r="C329" t="s">
        <v>3850</v>
      </c>
      <c r="D329" t="s">
        <v>3815</v>
      </c>
      <c r="E329" t="s">
        <v>35</v>
      </c>
      <c r="F329" t="s">
        <v>36</v>
      </c>
      <c r="G329" t="s">
        <v>3249</v>
      </c>
      <c r="H329" t="s">
        <v>3851</v>
      </c>
      <c r="I329" t="s">
        <v>163</v>
      </c>
      <c r="J329" t="s">
        <v>3852</v>
      </c>
      <c r="K329" t="s">
        <v>3853</v>
      </c>
      <c r="L329" s="23" t="s">
        <v>3854</v>
      </c>
      <c r="M329" s="23" t="s">
        <v>1695</v>
      </c>
      <c r="N329" s="23" t="s">
        <v>247</v>
      </c>
      <c r="O329" s="23" t="s">
        <v>1995</v>
      </c>
      <c r="P329" s="23" t="s">
        <v>3855</v>
      </c>
      <c r="Q329" s="23" t="s">
        <v>3856</v>
      </c>
      <c r="R329" s="23" t="s">
        <v>981</v>
      </c>
      <c r="S329" s="23" t="s">
        <v>614</v>
      </c>
      <c r="T329" s="23" t="s">
        <v>3857</v>
      </c>
      <c r="U329" s="23" t="s">
        <v>517</v>
      </c>
      <c r="V329" s="23" t="s">
        <v>213</v>
      </c>
      <c r="W329" s="23" t="s">
        <v>325</v>
      </c>
      <c r="X329" s="23" t="s">
        <v>3858</v>
      </c>
      <c r="Y329" s="23" t="s">
        <v>478</v>
      </c>
      <c r="Z329" s="23" t="s">
        <v>1316</v>
      </c>
      <c r="AA329" s="23" t="s">
        <v>3859</v>
      </c>
      <c r="AB329" s="23" t="s">
        <v>3860</v>
      </c>
      <c r="AC329" s="23" t="s">
        <v>3518</v>
      </c>
      <c r="AD329" s="23" t="s">
        <v>3383</v>
      </c>
      <c r="AE329" s="23" t="s">
        <v>3861</v>
      </c>
    </row>
    <row r="330" spans="1:31" hidden="1" x14ac:dyDescent="0.25">
      <c r="A330">
        <v>329</v>
      </c>
      <c r="B330" t="s">
        <v>347</v>
      </c>
      <c r="C330" t="s">
        <v>3862</v>
      </c>
      <c r="D330" t="s">
        <v>3815</v>
      </c>
      <c r="E330" t="s">
        <v>35</v>
      </c>
      <c r="F330" t="s">
        <v>36</v>
      </c>
      <c r="G330" t="s">
        <v>3863</v>
      </c>
      <c r="H330" t="s">
        <v>3864</v>
      </c>
      <c r="I330" t="s">
        <v>163</v>
      </c>
      <c r="J330" t="s">
        <v>3865</v>
      </c>
      <c r="K330" t="s">
        <v>3866</v>
      </c>
      <c r="L330" s="23" t="s">
        <v>105</v>
      </c>
      <c r="M330" s="23" t="s">
        <v>570</v>
      </c>
      <c r="N330" s="23" t="s">
        <v>98</v>
      </c>
      <c r="O330" s="23" t="s">
        <v>1295</v>
      </c>
      <c r="P330" s="23" t="s">
        <v>2085</v>
      </c>
      <c r="Q330" s="23" t="s">
        <v>569</v>
      </c>
      <c r="R330" s="23" t="s">
        <v>213</v>
      </c>
      <c r="S330" s="23" t="s">
        <v>335</v>
      </c>
      <c r="T330" s="23" t="s">
        <v>166</v>
      </c>
      <c r="U330" s="23" t="s">
        <v>122</v>
      </c>
      <c r="V330" s="23" t="s">
        <v>114</v>
      </c>
      <c r="W330" s="23" t="s">
        <v>2958</v>
      </c>
      <c r="X330" s="23" t="s">
        <v>117</v>
      </c>
      <c r="Y330" s="23" t="s">
        <v>1032</v>
      </c>
      <c r="Z330" s="23" t="s">
        <v>98</v>
      </c>
      <c r="AA330" s="23" t="s">
        <v>639</v>
      </c>
      <c r="AB330" s="23" t="s">
        <v>865</v>
      </c>
      <c r="AC330" s="23" t="s">
        <v>3348</v>
      </c>
      <c r="AD330" s="23" t="s">
        <v>130</v>
      </c>
      <c r="AE330" s="23" t="s">
        <v>684</v>
      </c>
    </row>
    <row r="331" spans="1:31" hidden="1" x14ac:dyDescent="0.25">
      <c r="A331">
        <v>330</v>
      </c>
      <c r="B331" t="s">
        <v>347</v>
      </c>
      <c r="C331" t="s">
        <v>3867</v>
      </c>
      <c r="D331" t="s">
        <v>3815</v>
      </c>
      <c r="E331" t="s">
        <v>35</v>
      </c>
      <c r="F331" t="s">
        <v>36</v>
      </c>
      <c r="G331" t="s">
        <v>3868</v>
      </c>
      <c r="H331" t="s">
        <v>3869</v>
      </c>
      <c r="I331" t="s">
        <v>163</v>
      </c>
      <c r="J331" t="s">
        <v>3870</v>
      </c>
      <c r="K331" t="s">
        <v>3871</v>
      </c>
      <c r="L331" s="23" t="s">
        <v>2209</v>
      </c>
      <c r="M331" s="23" t="s">
        <v>1305</v>
      </c>
      <c r="N331" s="23" t="s">
        <v>122</v>
      </c>
      <c r="O331" s="23" t="s">
        <v>3872</v>
      </c>
      <c r="P331" s="23" t="s">
        <v>3873</v>
      </c>
      <c r="Q331" s="23" t="s">
        <v>310</v>
      </c>
      <c r="R331" s="23" t="s">
        <v>118</v>
      </c>
      <c r="S331" s="23" t="s">
        <v>3874</v>
      </c>
      <c r="T331" s="23" t="s">
        <v>1117</v>
      </c>
      <c r="U331" s="23" t="s">
        <v>570</v>
      </c>
      <c r="V331" s="23" t="s">
        <v>104</v>
      </c>
      <c r="W331" s="23" t="s">
        <v>3875</v>
      </c>
      <c r="X331" s="23" t="s">
        <v>3876</v>
      </c>
      <c r="Y331" s="23" t="s">
        <v>116</v>
      </c>
      <c r="Z331" s="23" t="s">
        <v>158</v>
      </c>
      <c r="AA331" s="23" t="s">
        <v>2171</v>
      </c>
      <c r="AB331" s="23" t="s">
        <v>3877</v>
      </c>
      <c r="AC331" s="23" t="s">
        <v>3878</v>
      </c>
      <c r="AD331" s="23" t="s">
        <v>97</v>
      </c>
      <c r="AE331" s="23" t="s">
        <v>3879</v>
      </c>
    </row>
    <row r="332" spans="1:31" hidden="1" x14ac:dyDescent="0.25">
      <c r="A332">
        <v>331</v>
      </c>
      <c r="B332" t="s">
        <v>347</v>
      </c>
      <c r="C332" t="s">
        <v>3880</v>
      </c>
      <c r="D332" t="s">
        <v>3815</v>
      </c>
      <c r="E332" t="s">
        <v>35</v>
      </c>
      <c r="F332" t="s">
        <v>36</v>
      </c>
      <c r="G332" t="s">
        <v>2566</v>
      </c>
      <c r="H332" t="s">
        <v>3881</v>
      </c>
      <c r="I332" t="s">
        <v>163</v>
      </c>
      <c r="J332" t="s">
        <v>3882</v>
      </c>
      <c r="K332" t="s">
        <v>3883</v>
      </c>
      <c r="L332" s="23" t="s">
        <v>3884</v>
      </c>
      <c r="M332" s="23" t="s">
        <v>542</v>
      </c>
      <c r="N332" s="23" t="s">
        <v>68</v>
      </c>
      <c r="O332" s="23" t="s">
        <v>3885</v>
      </c>
      <c r="P332" s="23" t="s">
        <v>3886</v>
      </c>
      <c r="Q332" s="23" t="s">
        <v>3887</v>
      </c>
      <c r="R332" s="23" t="s">
        <v>3383</v>
      </c>
      <c r="S332" s="23" t="s">
        <v>3888</v>
      </c>
      <c r="T332" s="23" t="s">
        <v>3889</v>
      </c>
      <c r="U332" s="23" t="s">
        <v>1728</v>
      </c>
      <c r="V332" s="23" t="s">
        <v>93</v>
      </c>
      <c r="W332" s="23" t="s">
        <v>3890</v>
      </c>
      <c r="X332" s="23" t="s">
        <v>3891</v>
      </c>
      <c r="Y332" s="23" t="s">
        <v>3892</v>
      </c>
      <c r="Z332" s="23" t="s">
        <v>312</v>
      </c>
      <c r="AA332" s="23" t="s">
        <v>3893</v>
      </c>
      <c r="AB332" s="23" t="s">
        <v>3894</v>
      </c>
      <c r="AC332" s="23" t="s">
        <v>3092</v>
      </c>
      <c r="AD332" s="23" t="s">
        <v>1104</v>
      </c>
      <c r="AE332" s="23" t="s">
        <v>3895</v>
      </c>
    </row>
    <row r="333" spans="1:31" hidden="1" x14ac:dyDescent="0.25">
      <c r="A333">
        <v>332</v>
      </c>
      <c r="B333" t="s">
        <v>347</v>
      </c>
      <c r="C333" t="s">
        <v>3896</v>
      </c>
      <c r="D333" t="s">
        <v>3815</v>
      </c>
      <c r="E333" t="s">
        <v>35</v>
      </c>
      <c r="F333" t="s">
        <v>36</v>
      </c>
      <c r="G333" t="s">
        <v>2853</v>
      </c>
      <c r="H333" t="s">
        <v>3897</v>
      </c>
      <c r="I333" t="s">
        <v>163</v>
      </c>
      <c r="J333" t="s">
        <v>3898</v>
      </c>
      <c r="K333" t="s">
        <v>3899</v>
      </c>
      <c r="L333" s="23" t="s">
        <v>3900</v>
      </c>
      <c r="M333" s="23" t="s">
        <v>1791</v>
      </c>
      <c r="N333" s="23" t="s">
        <v>193</v>
      </c>
      <c r="O333" s="23" t="s">
        <v>3627</v>
      </c>
      <c r="P333" s="23" t="s">
        <v>2709</v>
      </c>
      <c r="Q333" s="23" t="s">
        <v>1961</v>
      </c>
      <c r="R333" s="23" t="s">
        <v>76</v>
      </c>
      <c r="S333" s="23" t="s">
        <v>3901</v>
      </c>
      <c r="T333" s="23" t="s">
        <v>3902</v>
      </c>
      <c r="U333" s="23" t="s">
        <v>556</v>
      </c>
      <c r="V333" s="23" t="s">
        <v>94</v>
      </c>
      <c r="W333" s="23" t="s">
        <v>3903</v>
      </c>
      <c r="X333" s="23" t="s">
        <v>3904</v>
      </c>
      <c r="Y333" s="23" t="s">
        <v>569</v>
      </c>
      <c r="Z333" s="23" t="s">
        <v>244</v>
      </c>
      <c r="AA333" s="23" t="s">
        <v>3905</v>
      </c>
      <c r="AB333" s="23" t="s">
        <v>3906</v>
      </c>
      <c r="AC333" s="23" t="s">
        <v>2373</v>
      </c>
      <c r="AD333" s="23" t="s">
        <v>97</v>
      </c>
      <c r="AE333" s="23" t="s">
        <v>3907</v>
      </c>
    </row>
    <row r="334" spans="1:31" hidden="1" x14ac:dyDescent="0.25">
      <c r="A334">
        <v>333</v>
      </c>
      <c r="B334" t="s">
        <v>347</v>
      </c>
      <c r="C334" t="s">
        <v>3908</v>
      </c>
      <c r="D334" t="s">
        <v>3815</v>
      </c>
      <c r="E334" t="s">
        <v>35</v>
      </c>
      <c r="F334" t="s">
        <v>36</v>
      </c>
      <c r="G334" t="s">
        <v>3909</v>
      </c>
      <c r="H334" t="s">
        <v>3910</v>
      </c>
      <c r="I334" t="s">
        <v>163</v>
      </c>
      <c r="J334" t="s">
        <v>3911</v>
      </c>
      <c r="K334" t="s">
        <v>3912</v>
      </c>
      <c r="L334" s="23" t="s">
        <v>1717</v>
      </c>
      <c r="M334" s="23" t="s">
        <v>104</v>
      </c>
      <c r="N334" s="23" t="s">
        <v>114</v>
      </c>
      <c r="O334" s="23" t="s">
        <v>85</v>
      </c>
      <c r="P334" s="23" t="s">
        <v>3038</v>
      </c>
      <c r="Q334" s="23" t="s">
        <v>98</v>
      </c>
      <c r="R334" s="23" t="s">
        <v>114</v>
      </c>
      <c r="S334" s="23" t="s">
        <v>1388</v>
      </c>
      <c r="T334" s="23" t="s">
        <v>492</v>
      </c>
      <c r="U334" s="23" t="s">
        <v>114</v>
      </c>
      <c r="V334" s="23" t="s">
        <v>114</v>
      </c>
      <c r="W334" s="23" t="s">
        <v>492</v>
      </c>
      <c r="X334" s="23" t="s">
        <v>838</v>
      </c>
      <c r="Y334" s="23" t="s">
        <v>94</v>
      </c>
      <c r="Z334" s="23" t="s">
        <v>114</v>
      </c>
      <c r="AA334" s="23" t="s">
        <v>72</v>
      </c>
      <c r="AB334" s="23" t="s">
        <v>3913</v>
      </c>
      <c r="AC334" s="23" t="s">
        <v>122</v>
      </c>
      <c r="AD334" s="23" t="s">
        <v>114</v>
      </c>
      <c r="AE334" s="23" t="s">
        <v>1451</v>
      </c>
    </row>
    <row r="335" spans="1:31" hidden="1" x14ac:dyDescent="0.25">
      <c r="A335">
        <v>334</v>
      </c>
      <c r="B335" t="s">
        <v>347</v>
      </c>
      <c r="C335" t="s">
        <v>3914</v>
      </c>
      <c r="D335" t="s">
        <v>3815</v>
      </c>
      <c r="E335" t="s">
        <v>35</v>
      </c>
      <c r="F335" t="s">
        <v>36</v>
      </c>
      <c r="G335" t="s">
        <v>3915</v>
      </c>
      <c r="H335" t="s">
        <v>3910</v>
      </c>
      <c r="I335" t="s">
        <v>163</v>
      </c>
      <c r="J335" t="s">
        <v>3916</v>
      </c>
      <c r="K335" t="s">
        <v>3917</v>
      </c>
      <c r="L335" s="23" t="s">
        <v>219</v>
      </c>
      <c r="M335" s="23" t="s">
        <v>94</v>
      </c>
      <c r="N335" s="23" t="s">
        <v>114</v>
      </c>
      <c r="O335" s="23" t="s">
        <v>598</v>
      </c>
      <c r="P335" s="23" t="s">
        <v>1177</v>
      </c>
      <c r="Q335" s="23" t="s">
        <v>77</v>
      </c>
      <c r="R335" s="23" t="s">
        <v>114</v>
      </c>
      <c r="S335" s="23" t="s">
        <v>3176</v>
      </c>
      <c r="T335" s="23" t="s">
        <v>366</v>
      </c>
      <c r="U335" s="23" t="s">
        <v>94</v>
      </c>
      <c r="V335" s="23" t="s">
        <v>114</v>
      </c>
      <c r="W335" s="23" t="s">
        <v>152</v>
      </c>
      <c r="X335" s="23" t="s">
        <v>3328</v>
      </c>
      <c r="Y335" s="23" t="s">
        <v>114</v>
      </c>
      <c r="Z335" s="23" t="s">
        <v>114</v>
      </c>
      <c r="AA335" s="23" t="s">
        <v>3328</v>
      </c>
      <c r="AB335" s="23" t="s">
        <v>1954</v>
      </c>
      <c r="AC335" s="23" t="s">
        <v>213</v>
      </c>
      <c r="AD335" s="23" t="s">
        <v>114</v>
      </c>
      <c r="AE335" s="23" t="s">
        <v>3918</v>
      </c>
    </row>
    <row r="336" spans="1:31" hidden="1" x14ac:dyDescent="0.25">
      <c r="A336">
        <v>335</v>
      </c>
      <c r="B336" t="s">
        <v>347</v>
      </c>
      <c r="C336" t="s">
        <v>3919</v>
      </c>
      <c r="D336" t="s">
        <v>3815</v>
      </c>
      <c r="E336" t="s">
        <v>35</v>
      </c>
      <c r="F336" t="s">
        <v>36</v>
      </c>
      <c r="G336" t="s">
        <v>3920</v>
      </c>
      <c r="H336" t="s">
        <v>3910</v>
      </c>
      <c r="I336" t="s">
        <v>163</v>
      </c>
      <c r="J336" t="s">
        <v>3921</v>
      </c>
      <c r="K336" t="s">
        <v>3922</v>
      </c>
      <c r="L336" s="23" t="s">
        <v>673</v>
      </c>
      <c r="M336" s="23" t="s">
        <v>85</v>
      </c>
      <c r="N336" s="23" t="s">
        <v>150</v>
      </c>
      <c r="O336" s="23" t="s">
        <v>2732</v>
      </c>
      <c r="P336" s="23" t="s">
        <v>3923</v>
      </c>
      <c r="Q336" s="23" t="s">
        <v>1533</v>
      </c>
      <c r="R336" s="23" t="s">
        <v>77</v>
      </c>
      <c r="S336" s="23" t="s">
        <v>2312</v>
      </c>
      <c r="T336" s="23" t="s">
        <v>2121</v>
      </c>
      <c r="U336" s="23" t="s">
        <v>155</v>
      </c>
      <c r="V336" s="23" t="s">
        <v>114</v>
      </c>
      <c r="W336" s="23" t="s">
        <v>3924</v>
      </c>
      <c r="X336" s="23" t="s">
        <v>3925</v>
      </c>
      <c r="Y336" s="23" t="s">
        <v>1717</v>
      </c>
      <c r="Z336" s="23" t="s">
        <v>122</v>
      </c>
      <c r="AA336" s="23" t="s">
        <v>3926</v>
      </c>
      <c r="AB336" s="23" t="s">
        <v>3927</v>
      </c>
      <c r="AC336" s="23" t="s">
        <v>3701</v>
      </c>
      <c r="AD336" s="23" t="s">
        <v>130</v>
      </c>
      <c r="AE336" s="23" t="s">
        <v>3928</v>
      </c>
    </row>
    <row r="337" spans="1:31" hidden="1" x14ac:dyDescent="0.25">
      <c r="A337">
        <v>336</v>
      </c>
      <c r="B337" t="s">
        <v>347</v>
      </c>
      <c r="C337" t="s">
        <v>3929</v>
      </c>
      <c r="D337" t="s">
        <v>3815</v>
      </c>
      <c r="E337" t="s">
        <v>35</v>
      </c>
      <c r="F337" t="s">
        <v>36</v>
      </c>
      <c r="G337" t="s">
        <v>3930</v>
      </c>
      <c r="H337" t="s">
        <v>3931</v>
      </c>
      <c r="I337" t="s">
        <v>300</v>
      </c>
      <c r="J337" t="s">
        <v>3932</v>
      </c>
      <c r="K337" t="s">
        <v>3933</v>
      </c>
      <c r="L337" s="23" t="s">
        <v>3934</v>
      </c>
      <c r="M337" s="23" t="s">
        <v>347</v>
      </c>
      <c r="N337" s="23" t="s">
        <v>114</v>
      </c>
      <c r="O337" s="23" t="s">
        <v>1227</v>
      </c>
      <c r="P337" s="23" t="s">
        <v>3935</v>
      </c>
      <c r="Q337" s="23" t="s">
        <v>245</v>
      </c>
      <c r="R337" s="23" t="s">
        <v>114</v>
      </c>
      <c r="S337" s="23" t="s">
        <v>3936</v>
      </c>
      <c r="T337" s="23" t="s">
        <v>3937</v>
      </c>
      <c r="U337" s="23" t="s">
        <v>93</v>
      </c>
      <c r="V337" s="23" t="s">
        <v>114</v>
      </c>
      <c r="W337" s="23" t="s">
        <v>1913</v>
      </c>
      <c r="X337" s="23" t="s">
        <v>3938</v>
      </c>
      <c r="Y337" s="23" t="s">
        <v>193</v>
      </c>
      <c r="Z337" s="23" t="s">
        <v>114</v>
      </c>
      <c r="AA337" s="23" t="s">
        <v>1565</v>
      </c>
      <c r="AB337" s="23" t="s">
        <v>3939</v>
      </c>
      <c r="AC337" s="23" t="s">
        <v>991</v>
      </c>
      <c r="AD337" s="23" t="s">
        <v>114</v>
      </c>
      <c r="AE337" s="23" t="s">
        <v>3940</v>
      </c>
    </row>
    <row r="338" spans="1:31" hidden="1" x14ac:dyDescent="0.25">
      <c r="A338">
        <v>337</v>
      </c>
      <c r="B338" t="s">
        <v>347</v>
      </c>
      <c r="C338" t="s">
        <v>3941</v>
      </c>
      <c r="D338" t="s">
        <v>3815</v>
      </c>
      <c r="E338" t="s">
        <v>35</v>
      </c>
      <c r="F338" t="s">
        <v>36</v>
      </c>
      <c r="G338" t="s">
        <v>3942</v>
      </c>
      <c r="H338" t="s">
        <v>3943</v>
      </c>
      <c r="I338" t="s">
        <v>163</v>
      </c>
      <c r="J338" t="s">
        <v>3944</v>
      </c>
      <c r="K338" t="s">
        <v>3945</v>
      </c>
      <c r="L338" s="23" t="s">
        <v>3946</v>
      </c>
      <c r="M338" s="23" t="s">
        <v>3221</v>
      </c>
      <c r="N338" s="23" t="s">
        <v>2276</v>
      </c>
      <c r="O338" s="23" t="s">
        <v>3947</v>
      </c>
      <c r="P338" s="23" t="s">
        <v>3948</v>
      </c>
      <c r="Q338" s="23" t="s">
        <v>3949</v>
      </c>
      <c r="R338" s="23" t="s">
        <v>3950</v>
      </c>
      <c r="S338" s="23" t="s">
        <v>3951</v>
      </c>
      <c r="T338" s="23" t="s">
        <v>432</v>
      </c>
      <c r="U338" s="23" t="s">
        <v>309</v>
      </c>
      <c r="V338" s="23" t="s">
        <v>2118</v>
      </c>
      <c r="W338" s="23" t="s">
        <v>3952</v>
      </c>
      <c r="X338" s="23" t="s">
        <v>3953</v>
      </c>
      <c r="Y338" s="23" t="s">
        <v>3954</v>
      </c>
      <c r="Z338" s="23" t="s">
        <v>3955</v>
      </c>
      <c r="AA338" s="23" t="s">
        <v>3956</v>
      </c>
      <c r="AB338" s="23" t="s">
        <v>3957</v>
      </c>
      <c r="AC338" s="23" t="s">
        <v>3958</v>
      </c>
      <c r="AD338" s="23" t="s">
        <v>3959</v>
      </c>
      <c r="AE338" s="23" t="s">
        <v>3960</v>
      </c>
    </row>
    <row r="339" spans="1:31" hidden="1" x14ac:dyDescent="0.25">
      <c r="A339">
        <v>338</v>
      </c>
      <c r="B339" t="s">
        <v>347</v>
      </c>
      <c r="C339" t="s">
        <v>3961</v>
      </c>
      <c r="D339" t="s">
        <v>3815</v>
      </c>
      <c r="E339" t="s">
        <v>35</v>
      </c>
      <c r="F339" t="s">
        <v>36</v>
      </c>
      <c r="G339" t="s">
        <v>3962</v>
      </c>
      <c r="H339" t="s">
        <v>3963</v>
      </c>
      <c r="I339" t="s">
        <v>163</v>
      </c>
      <c r="J339" t="s">
        <v>3964</v>
      </c>
      <c r="K339" t="s">
        <v>3965</v>
      </c>
      <c r="L339" s="23" t="s">
        <v>3236</v>
      </c>
      <c r="M339" s="23" t="s">
        <v>246</v>
      </c>
      <c r="N339" s="23" t="s">
        <v>114</v>
      </c>
      <c r="O339" s="23" t="s">
        <v>3966</v>
      </c>
      <c r="P339" s="23" t="s">
        <v>3967</v>
      </c>
      <c r="Q339" s="23" t="s">
        <v>247</v>
      </c>
      <c r="R339" s="23" t="s">
        <v>114</v>
      </c>
      <c r="S339" s="23" t="s">
        <v>2416</v>
      </c>
      <c r="T339" s="23" t="s">
        <v>3328</v>
      </c>
      <c r="U339" s="23" t="s">
        <v>213</v>
      </c>
      <c r="V339" s="23" t="s">
        <v>114</v>
      </c>
      <c r="W339" s="23" t="s">
        <v>495</v>
      </c>
      <c r="X339" s="23" t="s">
        <v>274</v>
      </c>
      <c r="Y339" s="23" t="s">
        <v>243</v>
      </c>
      <c r="Z339" s="23" t="s">
        <v>114</v>
      </c>
      <c r="AA339" s="23" t="s">
        <v>2824</v>
      </c>
      <c r="AB339" s="23" t="s">
        <v>71</v>
      </c>
      <c r="AC339" s="23" t="s">
        <v>113</v>
      </c>
      <c r="AD339" s="23" t="s">
        <v>114</v>
      </c>
      <c r="AE339" s="23" t="s">
        <v>730</v>
      </c>
    </row>
    <row r="340" spans="1:31" hidden="1" x14ac:dyDescent="0.25">
      <c r="A340">
        <v>339</v>
      </c>
      <c r="B340" t="s">
        <v>347</v>
      </c>
      <c r="C340" t="s">
        <v>347</v>
      </c>
      <c r="D340" t="s">
        <v>3815</v>
      </c>
      <c r="E340" t="s">
        <v>35</v>
      </c>
      <c r="F340" t="s">
        <v>162</v>
      </c>
      <c r="G340" t="s">
        <v>3816</v>
      </c>
      <c r="H340" t="s">
        <v>3817</v>
      </c>
      <c r="I340" t="s">
        <v>39</v>
      </c>
      <c r="J340" t="s">
        <v>3818</v>
      </c>
      <c r="K340" t="s">
        <v>3819</v>
      </c>
      <c r="L340" s="23" t="s">
        <v>2745</v>
      </c>
      <c r="M340" s="23" t="s">
        <v>301</v>
      </c>
      <c r="N340" s="23" t="s">
        <v>197</v>
      </c>
      <c r="O340" s="23" t="s">
        <v>2788</v>
      </c>
      <c r="P340" s="23" t="s">
        <v>530</v>
      </c>
      <c r="Q340" s="23" t="s">
        <v>186</v>
      </c>
      <c r="R340" s="23" t="s">
        <v>1651</v>
      </c>
      <c r="S340" s="23" t="s">
        <v>915</v>
      </c>
      <c r="T340" s="23" t="s">
        <v>408</v>
      </c>
      <c r="U340" s="23" t="s">
        <v>297</v>
      </c>
      <c r="V340" s="23" t="s">
        <v>257</v>
      </c>
      <c r="W340" s="23" t="s">
        <v>501</v>
      </c>
      <c r="X340" s="23" t="s">
        <v>75</v>
      </c>
      <c r="Y340" s="23" t="s">
        <v>1014</v>
      </c>
      <c r="Z340" s="23" t="s">
        <v>97</v>
      </c>
      <c r="AA340" s="23" t="s">
        <v>704</v>
      </c>
      <c r="AB340" s="23" t="s">
        <v>1016</v>
      </c>
      <c r="AC340" s="23" t="s">
        <v>523</v>
      </c>
      <c r="AD340" s="23" t="s">
        <v>1705</v>
      </c>
      <c r="AE340" s="23" t="s">
        <v>3968</v>
      </c>
    </row>
    <row r="341" spans="1:31" hidden="1" x14ac:dyDescent="0.25">
      <c r="A341">
        <v>340</v>
      </c>
      <c r="B341" t="s">
        <v>347</v>
      </c>
      <c r="C341" t="s">
        <v>3822</v>
      </c>
      <c r="D341" t="s">
        <v>3815</v>
      </c>
      <c r="E341" t="s">
        <v>35</v>
      </c>
      <c r="F341" t="s">
        <v>162</v>
      </c>
      <c r="G341" t="s">
        <v>3823</v>
      </c>
      <c r="H341" t="s">
        <v>3824</v>
      </c>
      <c r="I341" t="s">
        <v>39</v>
      </c>
      <c r="J341" t="s">
        <v>3825</v>
      </c>
      <c r="K341" t="s">
        <v>3826</v>
      </c>
      <c r="L341" s="23" t="s">
        <v>3969</v>
      </c>
      <c r="M341" s="23" t="s">
        <v>857</v>
      </c>
      <c r="N341" s="23" t="s">
        <v>2216</v>
      </c>
      <c r="O341" s="23" t="s">
        <v>2310</v>
      </c>
      <c r="P341" s="23" t="s">
        <v>3970</v>
      </c>
      <c r="Q341" s="23" t="s">
        <v>3234</v>
      </c>
      <c r="R341" s="23" t="s">
        <v>411</v>
      </c>
      <c r="S341" s="23" t="s">
        <v>3971</v>
      </c>
      <c r="T341" s="23" t="s">
        <v>502</v>
      </c>
      <c r="U341" s="23" t="s">
        <v>329</v>
      </c>
      <c r="V341" s="23" t="s">
        <v>455</v>
      </c>
      <c r="W341" s="23" t="s">
        <v>3972</v>
      </c>
      <c r="X341" s="23" t="s">
        <v>3610</v>
      </c>
      <c r="Y341" s="23" t="s">
        <v>1918</v>
      </c>
      <c r="Z341" s="23" t="s">
        <v>3973</v>
      </c>
      <c r="AA341" s="23" t="s">
        <v>3974</v>
      </c>
      <c r="AB341" s="23" t="s">
        <v>3975</v>
      </c>
      <c r="AC341" s="23" t="s">
        <v>3976</v>
      </c>
      <c r="AD341" s="23" t="s">
        <v>1686</v>
      </c>
      <c r="AE341" s="23" t="s">
        <v>3977</v>
      </c>
    </row>
    <row r="342" spans="1:31" hidden="1" x14ac:dyDescent="0.25">
      <c r="A342">
        <v>341</v>
      </c>
      <c r="B342" t="s">
        <v>347</v>
      </c>
      <c r="C342" t="s">
        <v>3840</v>
      </c>
      <c r="D342" t="s">
        <v>3815</v>
      </c>
      <c r="E342" t="s">
        <v>35</v>
      </c>
      <c r="F342" t="s">
        <v>162</v>
      </c>
      <c r="G342" t="s">
        <v>3841</v>
      </c>
      <c r="H342" t="s">
        <v>3842</v>
      </c>
      <c r="I342" t="s">
        <v>240</v>
      </c>
      <c r="J342" t="s">
        <v>3843</v>
      </c>
      <c r="K342" t="s">
        <v>3844</v>
      </c>
      <c r="L342" s="23" t="s">
        <v>1497</v>
      </c>
      <c r="M342" s="23" t="s">
        <v>156</v>
      </c>
      <c r="N342" s="23" t="s">
        <v>153</v>
      </c>
      <c r="O342" s="23" t="s">
        <v>1295</v>
      </c>
      <c r="P342" s="23" t="s">
        <v>2667</v>
      </c>
      <c r="Q342" s="23" t="s">
        <v>801</v>
      </c>
      <c r="R342" s="23" t="s">
        <v>185</v>
      </c>
      <c r="S342" s="23" t="s">
        <v>2267</v>
      </c>
      <c r="T342" s="23" t="s">
        <v>739</v>
      </c>
      <c r="U342" s="23" t="s">
        <v>315</v>
      </c>
      <c r="V342" s="23" t="s">
        <v>158</v>
      </c>
      <c r="W342" s="23" t="s">
        <v>3913</v>
      </c>
      <c r="X342" s="23" t="s">
        <v>1019</v>
      </c>
      <c r="Y342" s="23" t="s">
        <v>570</v>
      </c>
      <c r="Z342" s="23" t="s">
        <v>93</v>
      </c>
      <c r="AA342" s="23" t="s">
        <v>186</v>
      </c>
      <c r="AB342" s="23" t="s">
        <v>3978</v>
      </c>
      <c r="AC342" s="23" t="s">
        <v>3979</v>
      </c>
      <c r="AD342" s="23" t="s">
        <v>1069</v>
      </c>
      <c r="AE342" s="23" t="s">
        <v>3980</v>
      </c>
    </row>
    <row r="343" spans="1:31" hidden="1" x14ac:dyDescent="0.25">
      <c r="A343">
        <v>342</v>
      </c>
      <c r="B343" t="s">
        <v>347</v>
      </c>
      <c r="C343" t="s">
        <v>3850</v>
      </c>
      <c r="D343" t="s">
        <v>3815</v>
      </c>
      <c r="E343" t="s">
        <v>35</v>
      </c>
      <c r="F343" t="s">
        <v>162</v>
      </c>
      <c r="G343" t="s">
        <v>3249</v>
      </c>
      <c r="H343" t="s">
        <v>3851</v>
      </c>
      <c r="I343" t="s">
        <v>39</v>
      </c>
      <c r="J343" t="s">
        <v>3852</v>
      </c>
      <c r="K343" t="s">
        <v>3853</v>
      </c>
      <c r="L343" s="23" t="s">
        <v>494</v>
      </c>
      <c r="M343" s="23" t="s">
        <v>2717</v>
      </c>
      <c r="N343" s="23" t="s">
        <v>149</v>
      </c>
      <c r="O343" s="23" t="s">
        <v>3981</v>
      </c>
      <c r="P343" s="23" t="s">
        <v>3982</v>
      </c>
      <c r="Q343" s="23" t="s">
        <v>997</v>
      </c>
      <c r="R343" s="23" t="s">
        <v>1125</v>
      </c>
      <c r="S343" s="23" t="s">
        <v>3983</v>
      </c>
      <c r="T343" s="23" t="s">
        <v>3984</v>
      </c>
      <c r="U343" s="23" t="s">
        <v>210</v>
      </c>
      <c r="V343" s="23" t="s">
        <v>243</v>
      </c>
      <c r="W343" s="23" t="s">
        <v>3985</v>
      </c>
      <c r="X343" s="23" t="s">
        <v>3986</v>
      </c>
      <c r="Y343" s="23" t="s">
        <v>805</v>
      </c>
      <c r="Z343" s="23" t="s">
        <v>68</v>
      </c>
      <c r="AA343" s="23" t="s">
        <v>3987</v>
      </c>
      <c r="AB343" s="23" t="s">
        <v>3988</v>
      </c>
      <c r="AC343" s="23" t="s">
        <v>3492</v>
      </c>
      <c r="AD343" s="23" t="s">
        <v>101</v>
      </c>
      <c r="AE343" s="23" t="s">
        <v>3989</v>
      </c>
    </row>
    <row r="344" spans="1:31" hidden="1" x14ac:dyDescent="0.25">
      <c r="A344">
        <v>343</v>
      </c>
      <c r="B344" t="s">
        <v>347</v>
      </c>
      <c r="C344" t="s">
        <v>3862</v>
      </c>
      <c r="D344" t="s">
        <v>3815</v>
      </c>
      <c r="E344" t="s">
        <v>35</v>
      </c>
      <c r="F344" t="s">
        <v>162</v>
      </c>
      <c r="G344" t="s">
        <v>3863</v>
      </c>
      <c r="H344" t="s">
        <v>3864</v>
      </c>
      <c r="I344" t="s">
        <v>39</v>
      </c>
      <c r="J344" t="s">
        <v>3865</v>
      </c>
      <c r="K344" t="s">
        <v>3866</v>
      </c>
      <c r="L344" s="23" t="s">
        <v>953</v>
      </c>
      <c r="M344" s="23" t="s">
        <v>130</v>
      </c>
      <c r="N344" s="23" t="s">
        <v>104</v>
      </c>
      <c r="O344" s="23" t="s">
        <v>1464</v>
      </c>
      <c r="P344" s="23" t="s">
        <v>3990</v>
      </c>
      <c r="Q344" s="23" t="s">
        <v>303</v>
      </c>
      <c r="R344" s="23" t="s">
        <v>193</v>
      </c>
      <c r="S344" s="23" t="s">
        <v>334</v>
      </c>
      <c r="T344" s="23" t="s">
        <v>3846</v>
      </c>
      <c r="U344" s="23" t="s">
        <v>130</v>
      </c>
      <c r="V344" s="23" t="s">
        <v>114</v>
      </c>
      <c r="W344" s="23" t="s">
        <v>818</v>
      </c>
      <c r="X344" s="23" t="s">
        <v>972</v>
      </c>
      <c r="Y344" s="23" t="s">
        <v>158</v>
      </c>
      <c r="Z344" s="23" t="s">
        <v>94</v>
      </c>
      <c r="AA344" s="23" t="s">
        <v>2771</v>
      </c>
      <c r="AB344" s="23" t="s">
        <v>1416</v>
      </c>
      <c r="AC344" s="23" t="s">
        <v>929</v>
      </c>
      <c r="AD344" s="23" t="s">
        <v>246</v>
      </c>
      <c r="AE344" s="23" t="s">
        <v>1213</v>
      </c>
    </row>
    <row r="345" spans="1:31" hidden="1" x14ac:dyDescent="0.25">
      <c r="A345">
        <v>344</v>
      </c>
      <c r="B345" t="s">
        <v>347</v>
      </c>
      <c r="C345" t="s">
        <v>3867</v>
      </c>
      <c r="D345" t="s">
        <v>3815</v>
      </c>
      <c r="E345" t="s">
        <v>35</v>
      </c>
      <c r="F345" t="s">
        <v>162</v>
      </c>
      <c r="G345" t="s">
        <v>3868</v>
      </c>
      <c r="H345" t="s">
        <v>3869</v>
      </c>
      <c r="I345" t="s">
        <v>39</v>
      </c>
      <c r="J345" t="s">
        <v>3870</v>
      </c>
      <c r="K345" t="s">
        <v>3871</v>
      </c>
      <c r="L345" s="23" t="s">
        <v>3991</v>
      </c>
      <c r="M345" s="23" t="s">
        <v>981</v>
      </c>
      <c r="N345" s="23" t="s">
        <v>213</v>
      </c>
      <c r="O345" s="23" t="s">
        <v>3992</v>
      </c>
      <c r="P345" s="23" t="s">
        <v>3993</v>
      </c>
      <c r="Q345" s="23" t="s">
        <v>3236</v>
      </c>
      <c r="R345" s="23" t="s">
        <v>253</v>
      </c>
      <c r="S345" s="23" t="s">
        <v>3994</v>
      </c>
      <c r="T345" s="23" t="s">
        <v>1468</v>
      </c>
      <c r="U345" s="23" t="s">
        <v>1507</v>
      </c>
      <c r="V345" s="23" t="s">
        <v>98</v>
      </c>
      <c r="W345" s="23" t="s">
        <v>3995</v>
      </c>
      <c r="X345" s="23" t="s">
        <v>2605</v>
      </c>
      <c r="Y345" s="23" t="s">
        <v>1125</v>
      </c>
      <c r="Z345" s="23" t="s">
        <v>244</v>
      </c>
      <c r="AA345" s="23" t="s">
        <v>3996</v>
      </c>
      <c r="AB345" s="23" t="s">
        <v>3997</v>
      </c>
      <c r="AC345" s="23" t="s">
        <v>3325</v>
      </c>
      <c r="AD345" s="23" t="s">
        <v>226</v>
      </c>
      <c r="AE345" s="23" t="s">
        <v>3161</v>
      </c>
    </row>
    <row r="346" spans="1:31" hidden="1" x14ac:dyDescent="0.25">
      <c r="A346">
        <v>345</v>
      </c>
      <c r="B346" t="s">
        <v>347</v>
      </c>
      <c r="C346" t="s">
        <v>3880</v>
      </c>
      <c r="D346" t="s">
        <v>3815</v>
      </c>
      <c r="E346" t="s">
        <v>35</v>
      </c>
      <c r="F346" t="s">
        <v>162</v>
      </c>
      <c r="G346" t="s">
        <v>2566</v>
      </c>
      <c r="H346" t="s">
        <v>3881</v>
      </c>
      <c r="I346" t="s">
        <v>39</v>
      </c>
      <c r="J346" t="s">
        <v>3882</v>
      </c>
      <c r="K346" t="s">
        <v>3883</v>
      </c>
      <c r="L346" s="23" t="s">
        <v>3998</v>
      </c>
      <c r="M346" s="23" t="s">
        <v>454</v>
      </c>
      <c r="N346" s="23" t="s">
        <v>138</v>
      </c>
      <c r="O346" s="23" t="s">
        <v>3999</v>
      </c>
      <c r="P346" s="23" t="s">
        <v>4000</v>
      </c>
      <c r="Q346" s="23" t="s">
        <v>2722</v>
      </c>
      <c r="R346" s="23" t="s">
        <v>1362</v>
      </c>
      <c r="S346" s="23" t="s">
        <v>4001</v>
      </c>
      <c r="T346" s="23" t="s">
        <v>4002</v>
      </c>
      <c r="U346" s="23" t="s">
        <v>2958</v>
      </c>
      <c r="V346" s="23" t="s">
        <v>213</v>
      </c>
      <c r="W346" s="23" t="s">
        <v>4003</v>
      </c>
      <c r="X346" s="23" t="s">
        <v>4004</v>
      </c>
      <c r="Y346" s="23" t="s">
        <v>1602</v>
      </c>
      <c r="Z346" s="23" t="s">
        <v>768</v>
      </c>
      <c r="AA346" s="23" t="s">
        <v>4005</v>
      </c>
      <c r="AB346" s="23" t="s">
        <v>4006</v>
      </c>
      <c r="AC346" s="23" t="s">
        <v>4007</v>
      </c>
      <c r="AD346" s="23" t="s">
        <v>1092</v>
      </c>
      <c r="AE346" s="23" t="s">
        <v>4008</v>
      </c>
    </row>
    <row r="347" spans="1:31" hidden="1" x14ac:dyDescent="0.25">
      <c r="A347">
        <v>346</v>
      </c>
      <c r="B347" t="s">
        <v>347</v>
      </c>
      <c r="C347" t="s">
        <v>3896</v>
      </c>
      <c r="D347" t="s">
        <v>3815</v>
      </c>
      <c r="E347" t="s">
        <v>35</v>
      </c>
      <c r="F347" t="s">
        <v>162</v>
      </c>
      <c r="G347" t="s">
        <v>2853</v>
      </c>
      <c r="H347" t="s">
        <v>3897</v>
      </c>
      <c r="I347" t="s">
        <v>39</v>
      </c>
      <c r="J347" t="s">
        <v>3898</v>
      </c>
      <c r="K347" t="s">
        <v>3899</v>
      </c>
      <c r="L347" s="23" t="s">
        <v>2278</v>
      </c>
      <c r="M347" s="23" t="s">
        <v>594</v>
      </c>
      <c r="N347" s="23" t="s">
        <v>77</v>
      </c>
      <c r="O347" s="23" t="s">
        <v>4009</v>
      </c>
      <c r="P347" s="23" t="s">
        <v>4010</v>
      </c>
      <c r="Q347" s="23" t="s">
        <v>1918</v>
      </c>
      <c r="R347" s="23" t="s">
        <v>192</v>
      </c>
      <c r="S347" s="23" t="s">
        <v>4011</v>
      </c>
      <c r="T347" s="23" t="s">
        <v>4012</v>
      </c>
      <c r="U347" s="23" t="s">
        <v>303</v>
      </c>
      <c r="V347" s="23" t="s">
        <v>98</v>
      </c>
      <c r="W347" s="23" t="s">
        <v>1597</v>
      </c>
      <c r="X347" s="23" t="s">
        <v>3121</v>
      </c>
      <c r="Y347" s="23" t="s">
        <v>929</v>
      </c>
      <c r="Z347" s="23" t="s">
        <v>104</v>
      </c>
      <c r="AA347" s="23" t="s">
        <v>4013</v>
      </c>
      <c r="AB347" s="23" t="s">
        <v>4014</v>
      </c>
      <c r="AC347" s="23" t="s">
        <v>2054</v>
      </c>
      <c r="AD347" s="23" t="s">
        <v>574</v>
      </c>
      <c r="AE347" s="23" t="s">
        <v>4015</v>
      </c>
    </row>
    <row r="348" spans="1:31" hidden="1" x14ac:dyDescent="0.25">
      <c r="A348">
        <v>347</v>
      </c>
      <c r="B348" t="s">
        <v>347</v>
      </c>
      <c r="C348" t="s">
        <v>3908</v>
      </c>
      <c r="D348" t="s">
        <v>3815</v>
      </c>
      <c r="E348" t="s">
        <v>35</v>
      </c>
      <c r="F348" t="s">
        <v>162</v>
      </c>
      <c r="G348" t="s">
        <v>3909</v>
      </c>
      <c r="H348" t="s">
        <v>3910</v>
      </c>
      <c r="I348" t="s">
        <v>39</v>
      </c>
      <c r="J348" t="s">
        <v>3911</v>
      </c>
      <c r="K348" t="s">
        <v>3912</v>
      </c>
      <c r="L348" s="23" t="s">
        <v>556</v>
      </c>
      <c r="M348" s="23" t="s">
        <v>104</v>
      </c>
      <c r="N348" s="23" t="s">
        <v>114</v>
      </c>
      <c r="O348" s="23" t="s">
        <v>1400</v>
      </c>
      <c r="P348" s="23" t="s">
        <v>592</v>
      </c>
      <c r="Q348" s="23" t="s">
        <v>32</v>
      </c>
      <c r="R348" s="23" t="s">
        <v>114</v>
      </c>
      <c r="S348" s="23" t="s">
        <v>2288</v>
      </c>
      <c r="T348" s="23" t="s">
        <v>1082</v>
      </c>
      <c r="U348" s="23" t="s">
        <v>98</v>
      </c>
      <c r="V348" s="23" t="s">
        <v>114</v>
      </c>
      <c r="W348" s="23" t="s">
        <v>451</v>
      </c>
      <c r="X348" s="23" t="s">
        <v>2123</v>
      </c>
      <c r="Y348" s="23" t="s">
        <v>104</v>
      </c>
      <c r="Z348" s="23" t="s">
        <v>114</v>
      </c>
      <c r="AA348" s="23" t="s">
        <v>991</v>
      </c>
      <c r="AB348" s="23" t="s">
        <v>2768</v>
      </c>
      <c r="AC348" s="23" t="s">
        <v>69</v>
      </c>
      <c r="AD348" s="23" t="s">
        <v>114</v>
      </c>
      <c r="AE348" s="23" t="s">
        <v>1296</v>
      </c>
    </row>
    <row r="349" spans="1:31" hidden="1" x14ac:dyDescent="0.25">
      <c r="A349">
        <v>348</v>
      </c>
      <c r="B349" t="s">
        <v>347</v>
      </c>
      <c r="C349" t="s">
        <v>3914</v>
      </c>
      <c r="D349" t="s">
        <v>3815</v>
      </c>
      <c r="E349" t="s">
        <v>35</v>
      </c>
      <c r="F349" t="s">
        <v>162</v>
      </c>
      <c r="G349" t="s">
        <v>3915</v>
      </c>
      <c r="H349" t="s">
        <v>3910</v>
      </c>
      <c r="I349" t="s">
        <v>39</v>
      </c>
      <c r="J349" t="s">
        <v>3916</v>
      </c>
      <c r="K349" t="s">
        <v>3917</v>
      </c>
      <c r="L349" s="23" t="s">
        <v>302</v>
      </c>
      <c r="M349" s="23" t="s">
        <v>94</v>
      </c>
      <c r="N349" s="23" t="s">
        <v>114</v>
      </c>
      <c r="O349" s="23" t="s">
        <v>312</v>
      </c>
      <c r="P349" s="23" t="s">
        <v>78</v>
      </c>
      <c r="Q349" s="23" t="s">
        <v>77</v>
      </c>
      <c r="R349" s="23" t="s">
        <v>114</v>
      </c>
      <c r="S349" s="23" t="s">
        <v>4016</v>
      </c>
      <c r="T349" s="23" t="s">
        <v>3348</v>
      </c>
      <c r="U349" s="23" t="s">
        <v>114</v>
      </c>
      <c r="V349" s="23" t="s">
        <v>114</v>
      </c>
      <c r="W349" s="23" t="s">
        <v>3348</v>
      </c>
      <c r="X349" s="23" t="s">
        <v>1426</v>
      </c>
      <c r="Y349" s="23" t="s">
        <v>98</v>
      </c>
      <c r="Z349" s="23" t="s">
        <v>114</v>
      </c>
      <c r="AA349" s="23" t="s">
        <v>200</v>
      </c>
      <c r="AB349" s="23" t="s">
        <v>4017</v>
      </c>
      <c r="AC349" s="23" t="s">
        <v>93</v>
      </c>
      <c r="AD349" s="23" t="s">
        <v>114</v>
      </c>
      <c r="AE349" s="23" t="s">
        <v>4018</v>
      </c>
    </row>
    <row r="350" spans="1:31" hidden="1" x14ac:dyDescent="0.25">
      <c r="A350">
        <v>349</v>
      </c>
      <c r="B350" t="s">
        <v>347</v>
      </c>
      <c r="C350" t="s">
        <v>3919</v>
      </c>
      <c r="D350" t="s">
        <v>3815</v>
      </c>
      <c r="E350" t="s">
        <v>35</v>
      </c>
      <c r="F350" t="s">
        <v>162</v>
      </c>
      <c r="G350" t="s">
        <v>3920</v>
      </c>
      <c r="H350" t="s">
        <v>3910</v>
      </c>
      <c r="I350" t="s">
        <v>39</v>
      </c>
      <c r="J350" t="s">
        <v>3921</v>
      </c>
      <c r="K350" t="s">
        <v>3922</v>
      </c>
      <c r="L350" s="23" t="s">
        <v>1902</v>
      </c>
      <c r="M350" s="23" t="s">
        <v>1082</v>
      </c>
      <c r="N350" s="23" t="s">
        <v>77</v>
      </c>
      <c r="O350" s="23" t="s">
        <v>4019</v>
      </c>
      <c r="P350" s="23" t="s">
        <v>4020</v>
      </c>
      <c r="Q350" s="23" t="s">
        <v>486</v>
      </c>
      <c r="R350" s="23" t="s">
        <v>347</v>
      </c>
      <c r="S350" s="23" t="s">
        <v>4021</v>
      </c>
      <c r="T350" s="23" t="s">
        <v>299</v>
      </c>
      <c r="U350" s="23" t="s">
        <v>477</v>
      </c>
      <c r="V350" s="23" t="s">
        <v>94</v>
      </c>
      <c r="W350" s="23" t="s">
        <v>4022</v>
      </c>
      <c r="X350" s="23" t="s">
        <v>1870</v>
      </c>
      <c r="Y350" s="23" t="s">
        <v>201</v>
      </c>
      <c r="Z350" s="23" t="s">
        <v>150</v>
      </c>
      <c r="AA350" s="23" t="s">
        <v>4023</v>
      </c>
      <c r="AB350" s="23" t="s">
        <v>4024</v>
      </c>
      <c r="AC350" s="23" t="s">
        <v>2064</v>
      </c>
      <c r="AD350" s="23" t="s">
        <v>197</v>
      </c>
      <c r="AE350" s="23" t="s">
        <v>3860</v>
      </c>
    </row>
    <row r="351" spans="1:31" hidden="1" x14ac:dyDescent="0.25">
      <c r="A351">
        <v>350</v>
      </c>
      <c r="B351" t="s">
        <v>347</v>
      </c>
      <c r="C351" t="s">
        <v>3929</v>
      </c>
      <c r="D351" t="s">
        <v>3815</v>
      </c>
      <c r="E351" t="s">
        <v>35</v>
      </c>
      <c r="F351" t="s">
        <v>162</v>
      </c>
      <c r="G351" t="s">
        <v>3930</v>
      </c>
      <c r="H351" t="s">
        <v>3931</v>
      </c>
      <c r="I351" t="s">
        <v>240</v>
      </c>
      <c r="J351" t="s">
        <v>3932</v>
      </c>
      <c r="K351" t="s">
        <v>3933</v>
      </c>
      <c r="L351" s="23" t="s">
        <v>198</v>
      </c>
      <c r="M351" s="23" t="s">
        <v>246</v>
      </c>
      <c r="N351" s="23" t="s">
        <v>114</v>
      </c>
      <c r="O351" s="23" t="s">
        <v>4025</v>
      </c>
      <c r="P351" s="23" t="s">
        <v>3244</v>
      </c>
      <c r="Q351" s="23" t="s">
        <v>1024</v>
      </c>
      <c r="R351" s="23" t="s">
        <v>104</v>
      </c>
      <c r="S351" s="23" t="s">
        <v>2455</v>
      </c>
      <c r="T351" s="23" t="s">
        <v>335</v>
      </c>
      <c r="U351" s="23" t="s">
        <v>243</v>
      </c>
      <c r="V351" s="23" t="s">
        <v>114</v>
      </c>
      <c r="W351" s="23" t="s">
        <v>3233</v>
      </c>
      <c r="X351" s="23" t="s">
        <v>1166</v>
      </c>
      <c r="Y351" s="23" t="s">
        <v>246</v>
      </c>
      <c r="Z351" s="23" t="s">
        <v>114</v>
      </c>
      <c r="AA351" s="23" t="s">
        <v>3460</v>
      </c>
      <c r="AB351" s="23" t="s">
        <v>4026</v>
      </c>
      <c r="AC351" s="23" t="s">
        <v>932</v>
      </c>
      <c r="AD351" s="23" t="s">
        <v>104</v>
      </c>
      <c r="AE351" s="23" t="s">
        <v>4027</v>
      </c>
    </row>
    <row r="352" spans="1:31" hidden="1" x14ac:dyDescent="0.25">
      <c r="A352">
        <v>351</v>
      </c>
      <c r="B352" t="s">
        <v>347</v>
      </c>
      <c r="C352" t="s">
        <v>3941</v>
      </c>
      <c r="D352" t="s">
        <v>3815</v>
      </c>
      <c r="E352" t="s">
        <v>35</v>
      </c>
      <c r="F352" t="s">
        <v>162</v>
      </c>
      <c r="G352" t="s">
        <v>3942</v>
      </c>
      <c r="H352" t="s">
        <v>3943</v>
      </c>
      <c r="I352" t="s">
        <v>39</v>
      </c>
      <c r="J352" t="s">
        <v>3944</v>
      </c>
      <c r="K352" t="s">
        <v>3945</v>
      </c>
      <c r="L352" s="23" t="s">
        <v>4028</v>
      </c>
      <c r="M352" s="23" t="s">
        <v>4029</v>
      </c>
      <c r="N352" s="23" t="s">
        <v>4030</v>
      </c>
      <c r="O352" s="23" t="s">
        <v>4031</v>
      </c>
      <c r="P352" s="23" t="s">
        <v>4032</v>
      </c>
      <c r="Q352" s="23" t="s">
        <v>4033</v>
      </c>
      <c r="R352" s="23" t="s">
        <v>4034</v>
      </c>
      <c r="S352" s="23" t="s">
        <v>4035</v>
      </c>
      <c r="T352" s="23" t="s">
        <v>1232</v>
      </c>
      <c r="U352" s="23" t="s">
        <v>3845</v>
      </c>
      <c r="V352" s="23" t="s">
        <v>3330</v>
      </c>
      <c r="W352" s="23" t="s">
        <v>4036</v>
      </c>
      <c r="X352" s="23" t="s">
        <v>4037</v>
      </c>
      <c r="Y352" s="23" t="s">
        <v>4038</v>
      </c>
      <c r="Z352" s="23" t="s">
        <v>3790</v>
      </c>
      <c r="AA352" s="23" t="s">
        <v>4039</v>
      </c>
      <c r="AB352" s="23" t="s">
        <v>4040</v>
      </c>
      <c r="AC352" s="23" t="s">
        <v>4041</v>
      </c>
      <c r="AD352" s="23" t="s">
        <v>2101</v>
      </c>
      <c r="AE352" s="23" t="s">
        <v>4042</v>
      </c>
    </row>
    <row r="353" spans="1:31" hidden="1" x14ac:dyDescent="0.25">
      <c r="A353">
        <v>352</v>
      </c>
      <c r="B353" t="s">
        <v>347</v>
      </c>
      <c r="C353" t="s">
        <v>3961</v>
      </c>
      <c r="D353" t="s">
        <v>3815</v>
      </c>
      <c r="E353" t="s">
        <v>35</v>
      </c>
      <c r="F353" t="s">
        <v>162</v>
      </c>
      <c r="G353" t="s">
        <v>3962</v>
      </c>
      <c r="H353" t="s">
        <v>3963</v>
      </c>
      <c r="I353" t="s">
        <v>39</v>
      </c>
      <c r="J353" t="s">
        <v>3964</v>
      </c>
      <c r="K353" t="s">
        <v>3965</v>
      </c>
      <c r="L353" s="23" t="s">
        <v>1142</v>
      </c>
      <c r="M353" s="23" t="s">
        <v>122</v>
      </c>
      <c r="N353" s="23" t="s">
        <v>114</v>
      </c>
      <c r="O353" s="23" t="s">
        <v>580</v>
      </c>
      <c r="P353" s="23" t="s">
        <v>4043</v>
      </c>
      <c r="Q353" s="23" t="s">
        <v>253</v>
      </c>
      <c r="R353" s="23" t="s">
        <v>114</v>
      </c>
      <c r="S353" s="23" t="s">
        <v>4044</v>
      </c>
      <c r="T353" s="23" t="s">
        <v>1758</v>
      </c>
      <c r="U353" s="23" t="s">
        <v>257</v>
      </c>
      <c r="V353" s="23" t="s">
        <v>114</v>
      </c>
      <c r="W353" s="23" t="s">
        <v>3845</v>
      </c>
      <c r="X353" s="23" t="s">
        <v>2366</v>
      </c>
      <c r="Y353" s="23" t="s">
        <v>32</v>
      </c>
      <c r="Z353" s="23" t="s">
        <v>114</v>
      </c>
      <c r="AA353" s="23" t="s">
        <v>4045</v>
      </c>
      <c r="AB353" s="23" t="s">
        <v>4046</v>
      </c>
      <c r="AC353" s="23" t="s">
        <v>559</v>
      </c>
      <c r="AD353" s="23" t="s">
        <v>114</v>
      </c>
      <c r="AE353" s="23" t="s">
        <v>4047</v>
      </c>
    </row>
    <row r="354" spans="1:31" hidden="1" x14ac:dyDescent="0.25">
      <c r="A354">
        <v>353</v>
      </c>
      <c r="B354" t="s">
        <v>282</v>
      </c>
      <c r="C354" t="s">
        <v>4048</v>
      </c>
      <c r="D354" t="s">
        <v>4049</v>
      </c>
      <c r="E354" t="s">
        <v>35</v>
      </c>
      <c r="F354" t="s">
        <v>36</v>
      </c>
      <c r="G354" t="s">
        <v>4050</v>
      </c>
      <c r="H354" t="s">
        <v>4051</v>
      </c>
      <c r="I354" t="s">
        <v>300</v>
      </c>
      <c r="J354" t="s">
        <v>4052</v>
      </c>
      <c r="K354" t="s">
        <v>4053</v>
      </c>
      <c r="L354" s="23" t="s">
        <v>2468</v>
      </c>
      <c r="M354" s="23" t="s">
        <v>487</v>
      </c>
      <c r="N354" s="23" t="s">
        <v>114</v>
      </c>
      <c r="O354" s="23" t="s">
        <v>4054</v>
      </c>
      <c r="P354" s="23" t="s">
        <v>2527</v>
      </c>
      <c r="Q354" s="23" t="s">
        <v>312</v>
      </c>
      <c r="R354" s="23" t="s">
        <v>244</v>
      </c>
      <c r="S354" s="23" t="s">
        <v>3288</v>
      </c>
      <c r="T354" s="23" t="s">
        <v>3580</v>
      </c>
      <c r="U354" s="23" t="s">
        <v>247</v>
      </c>
      <c r="V354" s="23" t="s">
        <v>114</v>
      </c>
      <c r="W354" s="23" t="s">
        <v>2111</v>
      </c>
      <c r="X354" s="23" t="s">
        <v>4055</v>
      </c>
      <c r="Y354" s="23" t="s">
        <v>1069</v>
      </c>
      <c r="Z354" s="23" t="s">
        <v>347</v>
      </c>
      <c r="AA354" s="23" t="s">
        <v>3291</v>
      </c>
      <c r="AB354" s="23" t="s">
        <v>4056</v>
      </c>
      <c r="AC354" s="23" t="s">
        <v>542</v>
      </c>
      <c r="AD354" s="23" t="s">
        <v>192</v>
      </c>
      <c r="AE354" s="23" t="s">
        <v>4057</v>
      </c>
    </row>
    <row r="355" spans="1:31" hidden="1" x14ac:dyDescent="0.25">
      <c r="A355">
        <v>354</v>
      </c>
      <c r="B355" t="s">
        <v>282</v>
      </c>
      <c r="C355" t="s">
        <v>4058</v>
      </c>
      <c r="D355" t="s">
        <v>4049</v>
      </c>
      <c r="E355" t="s">
        <v>35</v>
      </c>
      <c r="F355" t="s">
        <v>36</v>
      </c>
      <c r="G355" t="s">
        <v>4059</v>
      </c>
      <c r="H355" t="s">
        <v>4060</v>
      </c>
      <c r="I355" t="s">
        <v>300</v>
      </c>
      <c r="J355" t="s">
        <v>4061</v>
      </c>
      <c r="K355" t="s">
        <v>4062</v>
      </c>
      <c r="L355" s="23" t="s">
        <v>2267</v>
      </c>
      <c r="M355" s="23" t="s">
        <v>569</v>
      </c>
      <c r="N355" s="23" t="s">
        <v>243</v>
      </c>
      <c r="O355" s="23" t="s">
        <v>3172</v>
      </c>
      <c r="P355" s="23" t="s">
        <v>4063</v>
      </c>
      <c r="Q355" s="23" t="s">
        <v>3347</v>
      </c>
      <c r="R355" s="23" t="s">
        <v>301</v>
      </c>
      <c r="S355" s="23" t="s">
        <v>4064</v>
      </c>
      <c r="T355" s="23" t="s">
        <v>3060</v>
      </c>
      <c r="U355" s="23" t="s">
        <v>981</v>
      </c>
      <c r="V355" s="23" t="s">
        <v>98</v>
      </c>
      <c r="W355" s="23" t="s">
        <v>2944</v>
      </c>
      <c r="X355" s="23" t="s">
        <v>2133</v>
      </c>
      <c r="Y355" s="23" t="s">
        <v>592</v>
      </c>
      <c r="Z355" s="23" t="s">
        <v>158</v>
      </c>
      <c r="AA355" s="23" t="s">
        <v>1697</v>
      </c>
      <c r="AB355" s="23" t="s">
        <v>4065</v>
      </c>
      <c r="AC355" s="23" t="s">
        <v>4066</v>
      </c>
      <c r="AD355" s="23" t="s">
        <v>838</v>
      </c>
      <c r="AE355" s="23" t="s">
        <v>4067</v>
      </c>
    </row>
    <row r="356" spans="1:31" hidden="1" x14ac:dyDescent="0.25">
      <c r="A356">
        <v>355</v>
      </c>
      <c r="B356" t="s">
        <v>282</v>
      </c>
      <c r="C356" t="s">
        <v>4068</v>
      </c>
      <c r="D356" t="s">
        <v>4049</v>
      </c>
      <c r="E356" t="s">
        <v>35</v>
      </c>
      <c r="F356" t="s">
        <v>36</v>
      </c>
      <c r="G356" t="s">
        <v>3151</v>
      </c>
      <c r="H356" t="s">
        <v>4069</v>
      </c>
      <c r="I356" t="s">
        <v>300</v>
      </c>
      <c r="J356" t="s">
        <v>4070</v>
      </c>
      <c r="K356" t="s">
        <v>4071</v>
      </c>
      <c r="L356" s="23" t="s">
        <v>4072</v>
      </c>
      <c r="M356" s="23" t="s">
        <v>335</v>
      </c>
      <c r="N356" s="23" t="s">
        <v>658</v>
      </c>
      <c r="O356" s="23" t="s">
        <v>4073</v>
      </c>
      <c r="P356" s="23" t="s">
        <v>4074</v>
      </c>
      <c r="Q356" s="23" t="s">
        <v>3081</v>
      </c>
      <c r="R356" s="23" t="s">
        <v>4075</v>
      </c>
      <c r="S356" s="23" t="s">
        <v>4076</v>
      </c>
      <c r="T356" s="23" t="s">
        <v>4077</v>
      </c>
      <c r="U356" s="23" t="s">
        <v>1497</v>
      </c>
      <c r="V356" s="23" t="s">
        <v>838</v>
      </c>
      <c r="W356" s="23" t="s">
        <v>4078</v>
      </c>
      <c r="X356" s="23" t="s">
        <v>4079</v>
      </c>
      <c r="Y356" s="23" t="s">
        <v>1293</v>
      </c>
      <c r="Z356" s="23" t="s">
        <v>4080</v>
      </c>
      <c r="AA356" s="23" t="s">
        <v>4081</v>
      </c>
      <c r="AB356" s="23" t="s">
        <v>4082</v>
      </c>
      <c r="AC356" s="23" t="s">
        <v>4083</v>
      </c>
      <c r="AD356" s="23" t="s">
        <v>4084</v>
      </c>
      <c r="AE356" s="23" t="s">
        <v>4040</v>
      </c>
    </row>
    <row r="357" spans="1:31" hidden="1" x14ac:dyDescent="0.25">
      <c r="A357">
        <v>356</v>
      </c>
      <c r="B357" t="s">
        <v>282</v>
      </c>
      <c r="C357" t="s">
        <v>4085</v>
      </c>
      <c r="D357" t="s">
        <v>4049</v>
      </c>
      <c r="E357" t="s">
        <v>35</v>
      </c>
      <c r="F357" t="s">
        <v>36</v>
      </c>
      <c r="G357" t="s">
        <v>4086</v>
      </c>
      <c r="H357" t="s">
        <v>4069</v>
      </c>
      <c r="I357" t="s">
        <v>300</v>
      </c>
      <c r="J357" t="s">
        <v>4087</v>
      </c>
      <c r="K357" t="s">
        <v>4088</v>
      </c>
      <c r="L357" s="23" t="s">
        <v>4089</v>
      </c>
      <c r="M357" s="23" t="s">
        <v>116</v>
      </c>
      <c r="N357" s="23" t="s">
        <v>130</v>
      </c>
      <c r="O357" s="23" t="s">
        <v>4090</v>
      </c>
      <c r="P357" s="23" t="s">
        <v>4091</v>
      </c>
      <c r="Q357" s="23" t="s">
        <v>1971</v>
      </c>
      <c r="R357" s="23" t="s">
        <v>487</v>
      </c>
      <c r="S357" s="23" t="s">
        <v>4092</v>
      </c>
      <c r="T357" s="23" t="s">
        <v>3834</v>
      </c>
      <c r="U357" s="23" t="s">
        <v>119</v>
      </c>
      <c r="V357" s="23" t="s">
        <v>122</v>
      </c>
      <c r="W357" s="23" t="s">
        <v>2658</v>
      </c>
      <c r="X357" s="23" t="s">
        <v>2455</v>
      </c>
      <c r="Y357" s="23" t="s">
        <v>304</v>
      </c>
      <c r="Z357" s="23" t="s">
        <v>257</v>
      </c>
      <c r="AA357" s="23" t="s">
        <v>107</v>
      </c>
      <c r="AB357" s="23" t="s">
        <v>4093</v>
      </c>
      <c r="AC357" s="23" t="s">
        <v>4094</v>
      </c>
      <c r="AD357" s="23" t="s">
        <v>248</v>
      </c>
      <c r="AE357" s="23" t="s">
        <v>4095</v>
      </c>
    </row>
    <row r="358" spans="1:31" hidden="1" x14ac:dyDescent="0.25">
      <c r="A358">
        <v>357</v>
      </c>
      <c r="B358" t="s">
        <v>282</v>
      </c>
      <c r="C358" t="s">
        <v>4096</v>
      </c>
      <c r="D358" t="s">
        <v>4049</v>
      </c>
      <c r="E358" t="s">
        <v>35</v>
      </c>
      <c r="F358" t="s">
        <v>36</v>
      </c>
      <c r="G358" t="s">
        <v>4097</v>
      </c>
      <c r="H358" t="s">
        <v>4069</v>
      </c>
      <c r="I358" t="s">
        <v>300</v>
      </c>
      <c r="J358" t="s">
        <v>4098</v>
      </c>
      <c r="K358" t="s">
        <v>4099</v>
      </c>
      <c r="L358" s="23" t="s">
        <v>3690</v>
      </c>
      <c r="M358" s="23" t="s">
        <v>3348</v>
      </c>
      <c r="N358" s="23" t="s">
        <v>574</v>
      </c>
      <c r="O358" s="23" t="s">
        <v>2440</v>
      </c>
      <c r="P358" s="23" t="s">
        <v>622</v>
      </c>
      <c r="Q358" s="23" t="s">
        <v>3775</v>
      </c>
      <c r="R358" s="23" t="s">
        <v>3043</v>
      </c>
      <c r="S358" s="23" t="s">
        <v>4100</v>
      </c>
      <c r="T358" s="23" t="s">
        <v>1017</v>
      </c>
      <c r="U358" s="23" t="s">
        <v>216</v>
      </c>
      <c r="V358" s="23" t="s">
        <v>257</v>
      </c>
      <c r="W358" s="23" t="s">
        <v>4101</v>
      </c>
      <c r="X358" s="23" t="s">
        <v>4102</v>
      </c>
      <c r="Y358" s="23" t="s">
        <v>230</v>
      </c>
      <c r="Z358" s="23" t="s">
        <v>253</v>
      </c>
      <c r="AA358" s="23" t="s">
        <v>1029</v>
      </c>
      <c r="AB358" s="23" t="s">
        <v>4103</v>
      </c>
      <c r="AC358" s="23" t="s">
        <v>4104</v>
      </c>
      <c r="AD358" s="23" t="s">
        <v>2380</v>
      </c>
      <c r="AE358" s="23" t="s">
        <v>4105</v>
      </c>
    </row>
    <row r="359" spans="1:31" hidden="1" x14ac:dyDescent="0.25">
      <c r="A359">
        <v>358</v>
      </c>
      <c r="B359" t="s">
        <v>282</v>
      </c>
      <c r="C359" t="s">
        <v>4106</v>
      </c>
      <c r="D359" t="s">
        <v>4049</v>
      </c>
      <c r="E359" t="s">
        <v>35</v>
      </c>
      <c r="F359" t="s">
        <v>36</v>
      </c>
      <c r="G359" t="s">
        <v>3179</v>
      </c>
      <c r="H359" t="s">
        <v>4069</v>
      </c>
      <c r="I359" t="s">
        <v>300</v>
      </c>
      <c r="J359" t="s">
        <v>4107</v>
      </c>
      <c r="K359" t="s">
        <v>4108</v>
      </c>
      <c r="L359" s="23" t="s">
        <v>4109</v>
      </c>
      <c r="M359" s="23" t="s">
        <v>2048</v>
      </c>
      <c r="N359" s="23" t="s">
        <v>2438</v>
      </c>
      <c r="O359" s="23" t="s">
        <v>4110</v>
      </c>
      <c r="P359" s="23" t="s">
        <v>2920</v>
      </c>
      <c r="Q359" s="23" t="s">
        <v>4111</v>
      </c>
      <c r="R359" s="23" t="s">
        <v>2393</v>
      </c>
      <c r="S359" s="23" t="s">
        <v>4112</v>
      </c>
      <c r="T359" s="23" t="s">
        <v>4113</v>
      </c>
      <c r="U359" s="23" t="s">
        <v>585</v>
      </c>
      <c r="V359" s="23" t="s">
        <v>1295</v>
      </c>
      <c r="W359" s="23" t="s">
        <v>4114</v>
      </c>
      <c r="X359" s="23" t="s">
        <v>4115</v>
      </c>
      <c r="Y359" s="23" t="s">
        <v>215</v>
      </c>
      <c r="Z359" s="23" t="s">
        <v>3954</v>
      </c>
      <c r="AA359" s="23" t="s">
        <v>4116</v>
      </c>
      <c r="AB359" s="23" t="s">
        <v>4117</v>
      </c>
      <c r="AC359" s="23" t="s">
        <v>1122</v>
      </c>
      <c r="AD359" s="23" t="s">
        <v>4118</v>
      </c>
      <c r="AE359" s="23" t="s">
        <v>4119</v>
      </c>
    </row>
    <row r="360" spans="1:31" hidden="1" x14ac:dyDescent="0.25">
      <c r="A360">
        <v>359</v>
      </c>
      <c r="B360" t="s">
        <v>282</v>
      </c>
      <c r="C360" t="s">
        <v>4120</v>
      </c>
      <c r="D360" t="s">
        <v>4049</v>
      </c>
      <c r="E360" t="s">
        <v>35</v>
      </c>
      <c r="F360" t="s">
        <v>36</v>
      </c>
      <c r="G360" t="s">
        <v>4121</v>
      </c>
      <c r="H360" t="s">
        <v>4069</v>
      </c>
      <c r="I360" t="s">
        <v>300</v>
      </c>
      <c r="J360" t="s">
        <v>4122</v>
      </c>
      <c r="K360" t="s">
        <v>4123</v>
      </c>
      <c r="L360" s="23" t="s">
        <v>2588</v>
      </c>
      <c r="M360" s="23" t="s">
        <v>562</v>
      </c>
      <c r="N360" s="23" t="s">
        <v>118</v>
      </c>
      <c r="O360" s="23" t="s">
        <v>4124</v>
      </c>
      <c r="P360" s="23" t="s">
        <v>4125</v>
      </c>
      <c r="Q360" s="23" t="s">
        <v>1511</v>
      </c>
      <c r="R360" s="23" t="s">
        <v>2346</v>
      </c>
      <c r="S360" s="23" t="s">
        <v>4126</v>
      </c>
      <c r="T360" s="23" t="s">
        <v>2290</v>
      </c>
      <c r="U360" s="23" t="s">
        <v>73</v>
      </c>
      <c r="V360" s="23" t="s">
        <v>69</v>
      </c>
      <c r="W360" s="23" t="s">
        <v>4127</v>
      </c>
      <c r="X360" s="23" t="s">
        <v>4128</v>
      </c>
      <c r="Y360" s="23" t="s">
        <v>80</v>
      </c>
      <c r="Z360" s="23" t="s">
        <v>156</v>
      </c>
      <c r="AA360" s="23" t="s">
        <v>4129</v>
      </c>
      <c r="AB360" s="23" t="s">
        <v>4130</v>
      </c>
      <c r="AC360" s="23" t="s">
        <v>293</v>
      </c>
      <c r="AD360" s="23" t="s">
        <v>329</v>
      </c>
      <c r="AE360" s="23" t="s">
        <v>4131</v>
      </c>
    </row>
    <row r="361" spans="1:31" hidden="1" x14ac:dyDescent="0.25">
      <c r="A361">
        <v>360</v>
      </c>
      <c r="B361" t="s">
        <v>282</v>
      </c>
      <c r="C361" t="s">
        <v>4048</v>
      </c>
      <c r="D361" t="s">
        <v>4049</v>
      </c>
      <c r="E361" t="s">
        <v>35</v>
      </c>
      <c r="F361" t="s">
        <v>162</v>
      </c>
      <c r="G361" t="s">
        <v>4050</v>
      </c>
      <c r="H361" t="s">
        <v>4051</v>
      </c>
      <c r="I361" t="s">
        <v>240</v>
      </c>
      <c r="J361" t="s">
        <v>4052</v>
      </c>
      <c r="K361" t="s">
        <v>4053</v>
      </c>
      <c r="L361" s="23" t="s">
        <v>3188</v>
      </c>
      <c r="M361" s="23" t="s">
        <v>315</v>
      </c>
      <c r="N361" s="23" t="s">
        <v>150</v>
      </c>
      <c r="O361" s="23" t="s">
        <v>1604</v>
      </c>
      <c r="P361" s="23" t="s">
        <v>3071</v>
      </c>
      <c r="Q361" s="23" t="s">
        <v>3043</v>
      </c>
      <c r="R361" s="23" t="s">
        <v>158</v>
      </c>
      <c r="S361" s="23" t="s">
        <v>826</v>
      </c>
      <c r="T361" s="23" t="s">
        <v>2214</v>
      </c>
      <c r="U361" s="23" t="s">
        <v>247</v>
      </c>
      <c r="V361" s="23" t="s">
        <v>94</v>
      </c>
      <c r="W361" s="23" t="s">
        <v>4132</v>
      </c>
      <c r="X361" s="23" t="s">
        <v>4133</v>
      </c>
      <c r="Y361" s="23" t="s">
        <v>81</v>
      </c>
      <c r="Z361" s="23" t="s">
        <v>104</v>
      </c>
      <c r="AA361" s="23" t="s">
        <v>4134</v>
      </c>
      <c r="AB361" s="23" t="s">
        <v>4135</v>
      </c>
      <c r="AC361" s="23" t="s">
        <v>1026</v>
      </c>
      <c r="AD361" s="23" t="s">
        <v>257</v>
      </c>
      <c r="AE361" s="23" t="s">
        <v>4136</v>
      </c>
    </row>
    <row r="362" spans="1:31" hidden="1" x14ac:dyDescent="0.25">
      <c r="A362">
        <v>361</v>
      </c>
      <c r="B362" t="s">
        <v>282</v>
      </c>
      <c r="C362" t="s">
        <v>4058</v>
      </c>
      <c r="D362" t="s">
        <v>4049</v>
      </c>
      <c r="E362" t="s">
        <v>35</v>
      </c>
      <c r="F362" t="s">
        <v>162</v>
      </c>
      <c r="G362" t="s">
        <v>4059</v>
      </c>
      <c r="H362" t="s">
        <v>4060</v>
      </c>
      <c r="I362" t="s">
        <v>240</v>
      </c>
      <c r="J362" t="s">
        <v>4061</v>
      </c>
      <c r="K362" t="s">
        <v>4062</v>
      </c>
      <c r="L362" s="23" t="s">
        <v>3283</v>
      </c>
      <c r="M362" s="23" t="s">
        <v>477</v>
      </c>
      <c r="N362" s="23" t="s">
        <v>193</v>
      </c>
      <c r="O362" s="23" t="s">
        <v>139</v>
      </c>
      <c r="P362" s="23" t="s">
        <v>1793</v>
      </c>
      <c r="Q362" s="23" t="s">
        <v>3820</v>
      </c>
      <c r="R362" s="23" t="s">
        <v>197</v>
      </c>
      <c r="S362" s="23" t="s">
        <v>4137</v>
      </c>
      <c r="T362" s="23" t="s">
        <v>1000</v>
      </c>
      <c r="U362" s="23" t="s">
        <v>570</v>
      </c>
      <c r="V362" s="23" t="s">
        <v>94</v>
      </c>
      <c r="W362" s="23" t="s">
        <v>4138</v>
      </c>
      <c r="X362" s="23" t="s">
        <v>4139</v>
      </c>
      <c r="Y362" s="23" t="s">
        <v>2875</v>
      </c>
      <c r="Z362" s="23" t="s">
        <v>77</v>
      </c>
      <c r="AA362" s="23" t="s">
        <v>4140</v>
      </c>
      <c r="AB362" s="23" t="s">
        <v>4141</v>
      </c>
      <c r="AC362" s="23" t="s">
        <v>4142</v>
      </c>
      <c r="AD362" s="23" t="s">
        <v>1400</v>
      </c>
      <c r="AE362" s="23" t="s">
        <v>4143</v>
      </c>
    </row>
    <row r="363" spans="1:31" hidden="1" x14ac:dyDescent="0.25">
      <c r="A363">
        <v>362</v>
      </c>
      <c r="B363" t="s">
        <v>282</v>
      </c>
      <c r="C363" t="s">
        <v>4068</v>
      </c>
      <c r="D363" t="s">
        <v>4049</v>
      </c>
      <c r="E363" t="s">
        <v>35</v>
      </c>
      <c r="F363" t="s">
        <v>162</v>
      </c>
      <c r="G363" t="s">
        <v>3151</v>
      </c>
      <c r="H363" t="s">
        <v>4069</v>
      </c>
      <c r="I363" t="s">
        <v>240</v>
      </c>
      <c r="J363" t="s">
        <v>4070</v>
      </c>
      <c r="K363" t="s">
        <v>4071</v>
      </c>
      <c r="L363" s="23" t="s">
        <v>4144</v>
      </c>
      <c r="M363" s="23" t="s">
        <v>2847</v>
      </c>
      <c r="N363" s="23" t="s">
        <v>532</v>
      </c>
      <c r="O363" s="23" t="s">
        <v>4145</v>
      </c>
      <c r="P363" s="23" t="s">
        <v>4146</v>
      </c>
      <c r="Q363" s="23" t="s">
        <v>1802</v>
      </c>
      <c r="R363" s="23" t="s">
        <v>3573</v>
      </c>
      <c r="S363" s="23" t="s">
        <v>4147</v>
      </c>
      <c r="T363" s="23" t="s">
        <v>4148</v>
      </c>
      <c r="U363" s="23" t="s">
        <v>1767</v>
      </c>
      <c r="V363" s="23" t="s">
        <v>1460</v>
      </c>
      <c r="W363" s="23" t="s">
        <v>4149</v>
      </c>
      <c r="X363" s="23" t="s">
        <v>4150</v>
      </c>
      <c r="Y363" s="23" t="s">
        <v>3299</v>
      </c>
      <c r="Z363" s="23" t="s">
        <v>1354</v>
      </c>
      <c r="AA363" s="23" t="s">
        <v>4151</v>
      </c>
      <c r="AB363" s="23" t="s">
        <v>4152</v>
      </c>
      <c r="AC363" s="23" t="s">
        <v>4153</v>
      </c>
      <c r="AD363" s="23" t="s">
        <v>4154</v>
      </c>
      <c r="AE363" s="23" t="s">
        <v>4155</v>
      </c>
    </row>
    <row r="364" spans="1:31" hidden="1" x14ac:dyDescent="0.25">
      <c r="A364">
        <v>363</v>
      </c>
      <c r="B364" t="s">
        <v>282</v>
      </c>
      <c r="C364" t="s">
        <v>4085</v>
      </c>
      <c r="D364" t="s">
        <v>4049</v>
      </c>
      <c r="E364" t="s">
        <v>35</v>
      </c>
      <c r="F364" t="s">
        <v>162</v>
      </c>
      <c r="G364" t="s">
        <v>4086</v>
      </c>
      <c r="H364" t="s">
        <v>4069</v>
      </c>
      <c r="I364" t="s">
        <v>240</v>
      </c>
      <c r="J364" t="s">
        <v>4087</v>
      </c>
      <c r="K364" t="s">
        <v>4088</v>
      </c>
      <c r="L364" s="23" t="s">
        <v>261</v>
      </c>
      <c r="M364" s="23" t="s">
        <v>115</v>
      </c>
      <c r="N364" s="23" t="s">
        <v>244</v>
      </c>
      <c r="O364" s="23" t="s">
        <v>229</v>
      </c>
      <c r="P364" s="23" t="s">
        <v>2885</v>
      </c>
      <c r="Q364" s="23" t="s">
        <v>809</v>
      </c>
      <c r="R364" s="23" t="s">
        <v>487</v>
      </c>
      <c r="S364" s="23" t="s">
        <v>4156</v>
      </c>
      <c r="T364" s="23" t="s">
        <v>2573</v>
      </c>
      <c r="U364" s="23" t="s">
        <v>120</v>
      </c>
      <c r="V364" s="23" t="s">
        <v>158</v>
      </c>
      <c r="W364" s="23" t="s">
        <v>4157</v>
      </c>
      <c r="X364" s="23" t="s">
        <v>2442</v>
      </c>
      <c r="Y364" s="23" t="s">
        <v>319</v>
      </c>
      <c r="Z364" s="23" t="s">
        <v>158</v>
      </c>
      <c r="AA364" s="23" t="s">
        <v>3095</v>
      </c>
      <c r="AB364" s="23" t="s">
        <v>2967</v>
      </c>
      <c r="AC364" s="23" t="s">
        <v>2910</v>
      </c>
      <c r="AD364" s="23" t="s">
        <v>1507</v>
      </c>
      <c r="AE364" s="23" t="s">
        <v>4158</v>
      </c>
    </row>
    <row r="365" spans="1:31" hidden="1" x14ac:dyDescent="0.25">
      <c r="A365">
        <v>364</v>
      </c>
      <c r="B365" t="s">
        <v>282</v>
      </c>
      <c r="C365" t="s">
        <v>4096</v>
      </c>
      <c r="D365" t="s">
        <v>4049</v>
      </c>
      <c r="E365" t="s">
        <v>35</v>
      </c>
      <c r="F365" t="s">
        <v>162</v>
      </c>
      <c r="G365" t="s">
        <v>4097</v>
      </c>
      <c r="H365" t="s">
        <v>4069</v>
      </c>
      <c r="I365" t="s">
        <v>240</v>
      </c>
      <c r="J365" t="s">
        <v>4098</v>
      </c>
      <c r="K365" t="s">
        <v>4099</v>
      </c>
      <c r="L365" s="23" t="s">
        <v>1822</v>
      </c>
      <c r="M365" s="23" t="s">
        <v>44</v>
      </c>
      <c r="N365" s="23" t="s">
        <v>76</v>
      </c>
      <c r="O365" s="23" t="s">
        <v>2990</v>
      </c>
      <c r="P365" s="23" t="s">
        <v>4159</v>
      </c>
      <c r="Q365" s="23" t="s">
        <v>2847</v>
      </c>
      <c r="R365" s="23" t="s">
        <v>2346</v>
      </c>
      <c r="S365" s="23" t="s">
        <v>4160</v>
      </c>
      <c r="T365" s="23" t="s">
        <v>4161</v>
      </c>
      <c r="U365" s="23" t="s">
        <v>312</v>
      </c>
      <c r="V365" s="23" t="s">
        <v>69</v>
      </c>
      <c r="W365" s="23" t="s">
        <v>2394</v>
      </c>
      <c r="X365" s="23" t="s">
        <v>1243</v>
      </c>
      <c r="Y365" s="23" t="s">
        <v>1144</v>
      </c>
      <c r="Z365" s="23" t="s">
        <v>278</v>
      </c>
      <c r="AA365" s="23" t="s">
        <v>4162</v>
      </c>
      <c r="AB365" s="23" t="s">
        <v>4163</v>
      </c>
      <c r="AC365" s="23" t="s">
        <v>1518</v>
      </c>
      <c r="AD365" s="23" t="s">
        <v>3348</v>
      </c>
      <c r="AE365" s="23" t="s">
        <v>4164</v>
      </c>
    </row>
    <row r="366" spans="1:31" hidden="1" x14ac:dyDescent="0.25">
      <c r="A366">
        <v>365</v>
      </c>
      <c r="B366" t="s">
        <v>282</v>
      </c>
      <c r="C366" t="s">
        <v>4106</v>
      </c>
      <c r="D366" t="s">
        <v>4049</v>
      </c>
      <c r="E366" t="s">
        <v>35</v>
      </c>
      <c r="F366" t="s">
        <v>162</v>
      </c>
      <c r="G366" t="s">
        <v>3179</v>
      </c>
      <c r="H366" t="s">
        <v>4069</v>
      </c>
      <c r="I366" t="s">
        <v>240</v>
      </c>
      <c r="J366" t="s">
        <v>4107</v>
      </c>
      <c r="K366" t="s">
        <v>4108</v>
      </c>
      <c r="L366" s="23" t="s">
        <v>4165</v>
      </c>
      <c r="M366" s="23" t="s">
        <v>1756</v>
      </c>
      <c r="N366" s="23" t="s">
        <v>2439</v>
      </c>
      <c r="O366" s="23" t="s">
        <v>4166</v>
      </c>
      <c r="P366" s="23" t="s">
        <v>4167</v>
      </c>
      <c r="Q366" s="23" t="s">
        <v>4168</v>
      </c>
      <c r="R366" s="23" t="s">
        <v>2133</v>
      </c>
      <c r="S366" s="23" t="s">
        <v>4169</v>
      </c>
      <c r="T366" s="23" t="s">
        <v>4170</v>
      </c>
      <c r="U366" s="23" t="s">
        <v>595</v>
      </c>
      <c r="V366" s="23" t="s">
        <v>790</v>
      </c>
      <c r="W366" s="23" t="s">
        <v>4171</v>
      </c>
      <c r="X366" s="23" t="s">
        <v>4172</v>
      </c>
      <c r="Y366" s="23" t="s">
        <v>722</v>
      </c>
      <c r="Z366" s="23" t="s">
        <v>722</v>
      </c>
      <c r="AA366" s="23" t="s">
        <v>4173</v>
      </c>
      <c r="AB366" s="23" t="s">
        <v>4174</v>
      </c>
      <c r="AC366" s="23" t="s">
        <v>4175</v>
      </c>
      <c r="AD366" s="23" t="s">
        <v>4176</v>
      </c>
      <c r="AE366" s="23" t="s">
        <v>4177</v>
      </c>
    </row>
    <row r="367" spans="1:31" hidden="1" x14ac:dyDescent="0.25">
      <c r="A367">
        <v>366</v>
      </c>
      <c r="B367" t="s">
        <v>282</v>
      </c>
      <c r="C367" t="s">
        <v>4120</v>
      </c>
      <c r="D367" t="s">
        <v>4049</v>
      </c>
      <c r="E367" t="s">
        <v>35</v>
      </c>
      <c r="F367" t="s">
        <v>162</v>
      </c>
      <c r="G367" t="s">
        <v>4121</v>
      </c>
      <c r="H367" t="s">
        <v>4069</v>
      </c>
      <c r="I367" t="s">
        <v>240</v>
      </c>
      <c r="J367" t="s">
        <v>4122</v>
      </c>
      <c r="K367" t="s">
        <v>4123</v>
      </c>
      <c r="L367" s="23" t="s">
        <v>4178</v>
      </c>
      <c r="M367" s="23" t="s">
        <v>72</v>
      </c>
      <c r="N367" s="23" t="s">
        <v>1032</v>
      </c>
      <c r="O367" s="23" t="s">
        <v>4179</v>
      </c>
      <c r="P367" s="23" t="s">
        <v>1154</v>
      </c>
      <c r="Q367" s="23" t="s">
        <v>2435</v>
      </c>
      <c r="R367" s="23" t="s">
        <v>1082</v>
      </c>
      <c r="S367" s="23" t="s">
        <v>4180</v>
      </c>
      <c r="T367" s="23" t="s">
        <v>4181</v>
      </c>
      <c r="U367" s="23" t="s">
        <v>97</v>
      </c>
      <c r="V367" s="23" t="s">
        <v>192</v>
      </c>
      <c r="W367" s="23" t="s">
        <v>2116</v>
      </c>
      <c r="X367" s="23" t="s">
        <v>4182</v>
      </c>
      <c r="Y367" s="23" t="s">
        <v>152</v>
      </c>
      <c r="Z367" s="23" t="s">
        <v>1316</v>
      </c>
      <c r="AA367" s="23" t="s">
        <v>4183</v>
      </c>
      <c r="AB367" s="23" t="s">
        <v>4184</v>
      </c>
      <c r="AC367" s="23" t="s">
        <v>170</v>
      </c>
      <c r="AD367" s="23" t="s">
        <v>392</v>
      </c>
      <c r="AE367" s="23" t="s">
        <v>4185</v>
      </c>
    </row>
    <row r="368" spans="1:31" hidden="1" x14ac:dyDescent="0.25">
      <c r="A368">
        <v>367</v>
      </c>
      <c r="B368" t="s">
        <v>336</v>
      </c>
      <c r="C368" t="s">
        <v>4186</v>
      </c>
      <c r="D368" t="s">
        <v>4187</v>
      </c>
      <c r="E368" t="s">
        <v>35</v>
      </c>
      <c r="F368" t="s">
        <v>36</v>
      </c>
      <c r="G368" t="s">
        <v>4188</v>
      </c>
      <c r="H368" t="s">
        <v>4189</v>
      </c>
      <c r="I368" t="s">
        <v>163</v>
      </c>
      <c r="J368" t="s">
        <v>4190</v>
      </c>
      <c r="K368" t="s">
        <v>4191</v>
      </c>
      <c r="L368" s="23" t="s">
        <v>143</v>
      </c>
      <c r="M368" s="23" t="s">
        <v>782</v>
      </c>
      <c r="N368" s="23" t="s">
        <v>78</v>
      </c>
      <c r="O368" s="23" t="s">
        <v>4192</v>
      </c>
      <c r="P368" s="23" t="s">
        <v>4193</v>
      </c>
      <c r="Q368" s="23" t="s">
        <v>4194</v>
      </c>
      <c r="R368" s="23" t="s">
        <v>207</v>
      </c>
      <c r="S368" s="23" t="s">
        <v>4195</v>
      </c>
      <c r="T368" s="23" t="s">
        <v>4196</v>
      </c>
      <c r="U368" s="23" t="s">
        <v>953</v>
      </c>
      <c r="V368" s="23" t="s">
        <v>92</v>
      </c>
      <c r="W368" s="23" t="s">
        <v>2994</v>
      </c>
      <c r="X368" s="23" t="s">
        <v>4197</v>
      </c>
      <c r="Y368" s="23" t="s">
        <v>1947</v>
      </c>
      <c r="Z368" s="23" t="s">
        <v>4198</v>
      </c>
      <c r="AA368" s="23" t="s">
        <v>4199</v>
      </c>
      <c r="AB368" s="23" t="s">
        <v>4200</v>
      </c>
      <c r="AC368" s="23" t="s">
        <v>4201</v>
      </c>
      <c r="AD368" s="23" t="s">
        <v>4202</v>
      </c>
      <c r="AE368" s="23" t="s">
        <v>4203</v>
      </c>
    </row>
    <row r="369" spans="1:31" hidden="1" x14ac:dyDescent="0.25">
      <c r="A369">
        <v>368</v>
      </c>
      <c r="B369" t="s">
        <v>336</v>
      </c>
      <c r="C369" t="s">
        <v>4204</v>
      </c>
      <c r="D369" t="s">
        <v>4187</v>
      </c>
      <c r="E369" t="s">
        <v>35</v>
      </c>
      <c r="F369" t="s">
        <v>36</v>
      </c>
      <c r="G369" t="s">
        <v>4205</v>
      </c>
      <c r="H369" t="s">
        <v>4206</v>
      </c>
      <c r="I369" t="s">
        <v>163</v>
      </c>
      <c r="J369" t="s">
        <v>4207</v>
      </c>
      <c r="K369" t="s">
        <v>4208</v>
      </c>
      <c r="L369" s="23" t="s">
        <v>1263</v>
      </c>
      <c r="M369" s="23" t="s">
        <v>149</v>
      </c>
      <c r="N369" s="23" t="s">
        <v>98</v>
      </c>
      <c r="O369" s="23" t="s">
        <v>4209</v>
      </c>
      <c r="P369" s="23" t="s">
        <v>4210</v>
      </c>
      <c r="Q369" s="23" t="s">
        <v>233</v>
      </c>
      <c r="R369" s="23" t="s">
        <v>114</v>
      </c>
      <c r="S369" s="23" t="s">
        <v>4211</v>
      </c>
      <c r="T369" s="23" t="s">
        <v>1134</v>
      </c>
      <c r="U369" s="23" t="s">
        <v>93</v>
      </c>
      <c r="V369" s="23" t="s">
        <v>114</v>
      </c>
      <c r="W369" s="23" t="s">
        <v>1695</v>
      </c>
      <c r="X369" s="23" t="s">
        <v>990</v>
      </c>
      <c r="Y369" s="23" t="s">
        <v>714</v>
      </c>
      <c r="Z369" s="23" t="s">
        <v>104</v>
      </c>
      <c r="AA369" s="23" t="s">
        <v>2400</v>
      </c>
      <c r="AB369" s="23" t="s">
        <v>2445</v>
      </c>
      <c r="AC369" s="23" t="s">
        <v>465</v>
      </c>
      <c r="AD369" s="23" t="s">
        <v>158</v>
      </c>
      <c r="AE369" s="23" t="s">
        <v>3464</v>
      </c>
    </row>
    <row r="370" spans="1:31" hidden="1" x14ac:dyDescent="0.25">
      <c r="A370">
        <v>369</v>
      </c>
      <c r="B370" t="s">
        <v>336</v>
      </c>
      <c r="C370" t="s">
        <v>4212</v>
      </c>
      <c r="D370" t="s">
        <v>4187</v>
      </c>
      <c r="E370" t="s">
        <v>35</v>
      </c>
      <c r="F370" t="s">
        <v>36</v>
      </c>
      <c r="G370" t="s">
        <v>4213</v>
      </c>
      <c r="H370" t="s">
        <v>4214</v>
      </c>
      <c r="I370" t="s">
        <v>163</v>
      </c>
      <c r="J370" t="s">
        <v>4215</v>
      </c>
      <c r="K370" t="s">
        <v>4216</v>
      </c>
      <c r="L370" s="23" t="s">
        <v>2453</v>
      </c>
      <c r="M370" s="23" t="s">
        <v>217</v>
      </c>
      <c r="N370" s="23" t="s">
        <v>94</v>
      </c>
      <c r="O370" s="23" t="s">
        <v>1294</v>
      </c>
      <c r="P370" s="23" t="s">
        <v>3369</v>
      </c>
      <c r="Q370" s="23" t="s">
        <v>233</v>
      </c>
      <c r="R370" s="23" t="s">
        <v>94</v>
      </c>
      <c r="S370" s="23" t="s">
        <v>4217</v>
      </c>
      <c r="T370" s="23" t="s">
        <v>1227</v>
      </c>
      <c r="U370" s="23" t="s">
        <v>246</v>
      </c>
      <c r="V370" s="23" t="s">
        <v>114</v>
      </c>
      <c r="W370" s="23" t="s">
        <v>2742</v>
      </c>
      <c r="X370" s="23" t="s">
        <v>1227</v>
      </c>
      <c r="Y370" s="23" t="s">
        <v>282</v>
      </c>
      <c r="Z370" s="23" t="s">
        <v>98</v>
      </c>
      <c r="AA370" s="23" t="s">
        <v>4218</v>
      </c>
      <c r="AB370" s="23" t="s">
        <v>4219</v>
      </c>
      <c r="AC370" s="23" t="s">
        <v>312</v>
      </c>
      <c r="AD370" s="23" t="s">
        <v>158</v>
      </c>
      <c r="AE370" s="23" t="s">
        <v>2812</v>
      </c>
    </row>
    <row r="371" spans="1:31" hidden="1" x14ac:dyDescent="0.25">
      <c r="A371">
        <v>370</v>
      </c>
      <c r="B371" t="s">
        <v>336</v>
      </c>
      <c r="C371" t="s">
        <v>4220</v>
      </c>
      <c r="D371" t="s">
        <v>4187</v>
      </c>
      <c r="E371" t="s">
        <v>35</v>
      </c>
      <c r="F371" t="s">
        <v>36</v>
      </c>
      <c r="G371" t="s">
        <v>4221</v>
      </c>
      <c r="H371" t="s">
        <v>4222</v>
      </c>
      <c r="I371" t="s">
        <v>163</v>
      </c>
      <c r="J371" t="s">
        <v>4223</v>
      </c>
      <c r="K371" t="s">
        <v>4224</v>
      </c>
      <c r="L371" s="23" t="s">
        <v>1698</v>
      </c>
      <c r="M371" s="23" t="s">
        <v>69</v>
      </c>
      <c r="N371" s="23" t="s">
        <v>114</v>
      </c>
      <c r="O371" s="23" t="s">
        <v>1089</v>
      </c>
      <c r="P371" s="23" t="s">
        <v>3043</v>
      </c>
      <c r="Q371" s="23" t="s">
        <v>77</v>
      </c>
      <c r="R371" s="23" t="s">
        <v>94</v>
      </c>
      <c r="S371" s="23" t="s">
        <v>72</v>
      </c>
      <c r="T371" s="23" t="s">
        <v>68</v>
      </c>
      <c r="U371" s="23" t="s">
        <v>104</v>
      </c>
      <c r="V371" s="23" t="s">
        <v>114</v>
      </c>
      <c r="W371" s="23" t="s">
        <v>570</v>
      </c>
      <c r="X371" s="23" t="s">
        <v>1069</v>
      </c>
      <c r="Y371" s="23" t="s">
        <v>213</v>
      </c>
      <c r="Z371" s="23" t="s">
        <v>114</v>
      </c>
      <c r="AA371" s="23" t="s">
        <v>590</v>
      </c>
      <c r="AB371" s="23" t="s">
        <v>4225</v>
      </c>
      <c r="AC371" s="23" t="s">
        <v>185</v>
      </c>
      <c r="AD371" s="23" t="s">
        <v>94</v>
      </c>
      <c r="AE371" s="23" t="s">
        <v>2787</v>
      </c>
    </row>
    <row r="372" spans="1:31" hidden="1" x14ac:dyDescent="0.25">
      <c r="A372">
        <v>371</v>
      </c>
      <c r="B372" t="s">
        <v>336</v>
      </c>
      <c r="C372" t="s">
        <v>4226</v>
      </c>
      <c r="D372" t="s">
        <v>4187</v>
      </c>
      <c r="E372" t="s">
        <v>35</v>
      </c>
      <c r="F372" t="s">
        <v>36</v>
      </c>
      <c r="G372" t="s">
        <v>4227</v>
      </c>
      <c r="H372" t="s">
        <v>4228</v>
      </c>
      <c r="I372" t="s">
        <v>163</v>
      </c>
      <c r="J372" t="s">
        <v>4229</v>
      </c>
      <c r="K372" t="s">
        <v>4230</v>
      </c>
      <c r="L372" s="23" t="s">
        <v>44</v>
      </c>
      <c r="M372" s="23" t="s">
        <v>193</v>
      </c>
      <c r="N372" s="23" t="s">
        <v>114</v>
      </c>
      <c r="O372" s="23" t="s">
        <v>465</v>
      </c>
      <c r="P372" s="23" t="s">
        <v>308</v>
      </c>
      <c r="Q372" s="23" t="s">
        <v>151</v>
      </c>
      <c r="R372" s="23" t="s">
        <v>114</v>
      </c>
      <c r="S372" s="23" t="s">
        <v>1445</v>
      </c>
      <c r="T372" s="23" t="s">
        <v>1096</v>
      </c>
      <c r="U372" s="23" t="s">
        <v>130</v>
      </c>
      <c r="V372" s="23" t="s">
        <v>114</v>
      </c>
      <c r="W372" s="23" t="s">
        <v>599</v>
      </c>
      <c r="X372" s="23" t="s">
        <v>1480</v>
      </c>
      <c r="Y372" s="23" t="s">
        <v>257</v>
      </c>
      <c r="Z372" s="23" t="s">
        <v>114</v>
      </c>
      <c r="AA372" s="23" t="s">
        <v>532</v>
      </c>
      <c r="AB372" s="23" t="s">
        <v>530</v>
      </c>
      <c r="AC372" s="23" t="s">
        <v>256</v>
      </c>
      <c r="AD372" s="23" t="s">
        <v>114</v>
      </c>
      <c r="AE372" s="23" t="s">
        <v>4231</v>
      </c>
    </row>
    <row r="373" spans="1:31" hidden="1" x14ac:dyDescent="0.25">
      <c r="A373">
        <v>372</v>
      </c>
      <c r="B373" t="s">
        <v>336</v>
      </c>
      <c r="C373" t="s">
        <v>4232</v>
      </c>
      <c r="D373" t="s">
        <v>4187</v>
      </c>
      <c r="E373" t="s">
        <v>35</v>
      </c>
      <c r="F373" t="s">
        <v>36</v>
      </c>
      <c r="G373" t="s">
        <v>4233</v>
      </c>
      <c r="H373" t="s">
        <v>4234</v>
      </c>
      <c r="I373" t="s">
        <v>300</v>
      </c>
      <c r="J373" t="s">
        <v>4235</v>
      </c>
      <c r="K373" t="s">
        <v>4236</v>
      </c>
      <c r="L373" s="23" t="s">
        <v>4045</v>
      </c>
      <c r="M373" s="23" t="s">
        <v>93</v>
      </c>
      <c r="N373" s="23" t="s">
        <v>94</v>
      </c>
      <c r="O373" s="23" t="s">
        <v>1104</v>
      </c>
      <c r="P373" s="23" t="s">
        <v>3892</v>
      </c>
      <c r="Q373" s="23" t="s">
        <v>253</v>
      </c>
      <c r="R373" s="23" t="s">
        <v>114</v>
      </c>
      <c r="S373" s="23" t="s">
        <v>1451</v>
      </c>
      <c r="T373" s="23" t="s">
        <v>75</v>
      </c>
      <c r="U373" s="23" t="s">
        <v>122</v>
      </c>
      <c r="V373" s="23" t="s">
        <v>114</v>
      </c>
      <c r="W373" s="23" t="s">
        <v>2188</v>
      </c>
      <c r="X373" s="23" t="s">
        <v>3663</v>
      </c>
      <c r="Y373" s="23" t="s">
        <v>193</v>
      </c>
      <c r="Z373" s="23" t="s">
        <v>114</v>
      </c>
      <c r="AA373" s="23" t="s">
        <v>2200</v>
      </c>
      <c r="AB373" s="23" t="s">
        <v>1887</v>
      </c>
      <c r="AC373" s="23" t="s">
        <v>189</v>
      </c>
      <c r="AD373" s="23" t="s">
        <v>94</v>
      </c>
      <c r="AE373" s="23" t="s">
        <v>1897</v>
      </c>
    </row>
    <row r="374" spans="1:31" hidden="1" x14ac:dyDescent="0.25">
      <c r="A374">
        <v>373</v>
      </c>
      <c r="B374" t="s">
        <v>336</v>
      </c>
      <c r="C374" t="s">
        <v>4237</v>
      </c>
      <c r="D374" t="s">
        <v>4187</v>
      </c>
      <c r="E374" t="s">
        <v>35</v>
      </c>
      <c r="F374" t="s">
        <v>36</v>
      </c>
      <c r="G374" t="s">
        <v>4238</v>
      </c>
      <c r="H374" t="s">
        <v>4239</v>
      </c>
      <c r="I374" t="s">
        <v>163</v>
      </c>
      <c r="J374" t="s">
        <v>4240</v>
      </c>
      <c r="K374" t="s">
        <v>4241</v>
      </c>
      <c r="L374" s="23" t="s">
        <v>1899</v>
      </c>
      <c r="M374" s="23" t="s">
        <v>217</v>
      </c>
      <c r="N374" s="23" t="s">
        <v>130</v>
      </c>
      <c r="O374" s="23" t="s">
        <v>1052</v>
      </c>
      <c r="P374" s="23" t="s">
        <v>1545</v>
      </c>
      <c r="Q374" s="23" t="s">
        <v>156</v>
      </c>
      <c r="R374" s="23" t="s">
        <v>157</v>
      </c>
      <c r="S374" s="23" t="s">
        <v>776</v>
      </c>
      <c r="T374" s="23" t="s">
        <v>1503</v>
      </c>
      <c r="U374" s="23" t="s">
        <v>193</v>
      </c>
      <c r="V374" s="23" t="s">
        <v>98</v>
      </c>
      <c r="W374" s="23" t="s">
        <v>579</v>
      </c>
      <c r="X374" s="23" t="s">
        <v>1996</v>
      </c>
      <c r="Y374" s="23" t="s">
        <v>69</v>
      </c>
      <c r="Z374" s="23" t="s">
        <v>103</v>
      </c>
      <c r="AA374" s="23" t="s">
        <v>676</v>
      </c>
      <c r="AB374" s="23" t="s">
        <v>3335</v>
      </c>
      <c r="AC374" s="23" t="s">
        <v>772</v>
      </c>
      <c r="AD374" s="23" t="s">
        <v>2123</v>
      </c>
      <c r="AE374" s="23" t="s">
        <v>4242</v>
      </c>
    </row>
    <row r="375" spans="1:31" hidden="1" x14ac:dyDescent="0.25">
      <c r="A375">
        <v>374</v>
      </c>
      <c r="B375" t="s">
        <v>336</v>
      </c>
      <c r="C375" t="s">
        <v>4243</v>
      </c>
      <c r="D375" t="s">
        <v>4187</v>
      </c>
      <c r="E375" t="s">
        <v>35</v>
      </c>
      <c r="F375" t="s">
        <v>36</v>
      </c>
      <c r="G375" t="s">
        <v>4244</v>
      </c>
      <c r="H375" t="s">
        <v>4245</v>
      </c>
      <c r="I375" t="s">
        <v>163</v>
      </c>
      <c r="J375" t="s">
        <v>4246</v>
      </c>
      <c r="K375" t="s">
        <v>4247</v>
      </c>
      <c r="L375" s="23" t="s">
        <v>4248</v>
      </c>
      <c r="M375" s="23" t="s">
        <v>3383</v>
      </c>
      <c r="N375" s="23" t="s">
        <v>336</v>
      </c>
      <c r="O375" s="23" t="s">
        <v>3183</v>
      </c>
      <c r="P375" s="23" t="s">
        <v>1075</v>
      </c>
      <c r="Q375" s="23" t="s">
        <v>4249</v>
      </c>
      <c r="R375" s="23" t="s">
        <v>714</v>
      </c>
      <c r="S375" s="23" t="s">
        <v>4250</v>
      </c>
      <c r="T375" s="23" t="s">
        <v>4251</v>
      </c>
      <c r="U375" s="23" t="s">
        <v>303</v>
      </c>
      <c r="V375" s="23" t="s">
        <v>193</v>
      </c>
      <c r="W375" s="23" t="s">
        <v>612</v>
      </c>
      <c r="X375" s="23" t="s">
        <v>3778</v>
      </c>
      <c r="Y375" s="23" t="s">
        <v>593</v>
      </c>
      <c r="Z375" s="23" t="s">
        <v>68</v>
      </c>
      <c r="AA375" s="23" t="s">
        <v>4252</v>
      </c>
      <c r="AB375" s="23" t="s">
        <v>4253</v>
      </c>
      <c r="AC375" s="23" t="s">
        <v>2320</v>
      </c>
      <c r="AD375" s="23" t="s">
        <v>2216</v>
      </c>
      <c r="AE375" s="23" t="s">
        <v>4254</v>
      </c>
    </row>
    <row r="376" spans="1:31" hidden="1" x14ac:dyDescent="0.25">
      <c r="A376">
        <v>375</v>
      </c>
      <c r="B376" t="s">
        <v>336</v>
      </c>
      <c r="C376" t="s">
        <v>4255</v>
      </c>
      <c r="D376" t="s">
        <v>4187</v>
      </c>
      <c r="E376" t="s">
        <v>35</v>
      </c>
      <c r="F376" t="s">
        <v>36</v>
      </c>
      <c r="G376" t="s">
        <v>4256</v>
      </c>
      <c r="H376" t="s">
        <v>4257</v>
      </c>
      <c r="I376" t="s">
        <v>163</v>
      </c>
      <c r="J376" t="s">
        <v>4258</v>
      </c>
      <c r="K376" t="s">
        <v>4259</v>
      </c>
      <c r="L376" s="23" t="s">
        <v>4260</v>
      </c>
      <c r="M376" s="23" t="s">
        <v>1712</v>
      </c>
      <c r="N376" s="23" t="s">
        <v>130</v>
      </c>
      <c r="O376" s="23" t="s">
        <v>4261</v>
      </c>
      <c r="P376" s="23" t="s">
        <v>4262</v>
      </c>
      <c r="Q376" s="23" t="s">
        <v>1865</v>
      </c>
      <c r="R376" s="23" t="s">
        <v>278</v>
      </c>
      <c r="S376" s="23" t="s">
        <v>4263</v>
      </c>
      <c r="T376" s="23" t="s">
        <v>4264</v>
      </c>
      <c r="U376" s="23" t="s">
        <v>210</v>
      </c>
      <c r="V376" s="23" t="s">
        <v>158</v>
      </c>
      <c r="W376" s="23" t="s">
        <v>4265</v>
      </c>
      <c r="X376" s="23" t="s">
        <v>4266</v>
      </c>
      <c r="Y376" s="23" t="s">
        <v>307</v>
      </c>
      <c r="Z376" s="23" t="s">
        <v>282</v>
      </c>
      <c r="AA376" s="23" t="s">
        <v>4267</v>
      </c>
      <c r="AB376" s="23" t="s">
        <v>4268</v>
      </c>
      <c r="AC376" s="23" t="s">
        <v>4269</v>
      </c>
      <c r="AD376" s="23" t="s">
        <v>2771</v>
      </c>
      <c r="AE376" s="23" t="s">
        <v>4270</v>
      </c>
    </row>
    <row r="377" spans="1:31" hidden="1" x14ac:dyDescent="0.25">
      <c r="A377">
        <v>376</v>
      </c>
      <c r="B377" t="s">
        <v>336</v>
      </c>
      <c r="C377" t="s">
        <v>4186</v>
      </c>
      <c r="D377" t="s">
        <v>4187</v>
      </c>
      <c r="E377" t="s">
        <v>35</v>
      </c>
      <c r="F377" t="s">
        <v>162</v>
      </c>
      <c r="G377" t="s">
        <v>4188</v>
      </c>
      <c r="H377" t="s">
        <v>4189</v>
      </c>
      <c r="I377" t="s">
        <v>39</v>
      </c>
      <c r="J377" t="s">
        <v>4190</v>
      </c>
      <c r="K377" t="s">
        <v>4191</v>
      </c>
      <c r="L377" s="23" t="s">
        <v>3281</v>
      </c>
      <c r="M377" s="23" t="s">
        <v>43</v>
      </c>
      <c r="N377" s="23" t="s">
        <v>384</v>
      </c>
      <c r="O377" s="23" t="s">
        <v>1759</v>
      </c>
      <c r="P377" s="23" t="s">
        <v>4271</v>
      </c>
      <c r="Q377" s="23" t="s">
        <v>1519</v>
      </c>
      <c r="R377" s="23" t="s">
        <v>263</v>
      </c>
      <c r="S377" s="23" t="s">
        <v>4272</v>
      </c>
      <c r="T377" s="23" t="s">
        <v>4273</v>
      </c>
      <c r="U377" s="23" t="s">
        <v>1511</v>
      </c>
      <c r="V377" s="23" t="s">
        <v>555</v>
      </c>
      <c r="W377" s="23" t="s">
        <v>2967</v>
      </c>
      <c r="X377" s="23" t="s">
        <v>832</v>
      </c>
      <c r="Y377" s="23" t="s">
        <v>3663</v>
      </c>
      <c r="Z377" s="23" t="s">
        <v>4274</v>
      </c>
      <c r="AA377" s="23" t="s">
        <v>4275</v>
      </c>
      <c r="AB377" s="23" t="s">
        <v>4276</v>
      </c>
      <c r="AC377" s="23" t="s">
        <v>2850</v>
      </c>
      <c r="AD377" s="23" t="s">
        <v>1240</v>
      </c>
      <c r="AE377" s="23" t="s">
        <v>4277</v>
      </c>
    </row>
    <row r="378" spans="1:31" hidden="1" x14ac:dyDescent="0.25">
      <c r="A378">
        <v>377</v>
      </c>
      <c r="B378" t="s">
        <v>336</v>
      </c>
      <c r="C378" t="s">
        <v>4204</v>
      </c>
      <c r="D378" t="s">
        <v>4187</v>
      </c>
      <c r="E378" t="s">
        <v>35</v>
      </c>
      <c r="F378" t="s">
        <v>162</v>
      </c>
      <c r="G378" t="s">
        <v>4205</v>
      </c>
      <c r="H378" t="s">
        <v>4206</v>
      </c>
      <c r="I378" t="s">
        <v>39</v>
      </c>
      <c r="J378" t="s">
        <v>4207</v>
      </c>
      <c r="K378" t="s">
        <v>4208</v>
      </c>
      <c r="L378" s="23" t="s">
        <v>1698</v>
      </c>
      <c r="M378" s="23" t="s">
        <v>98</v>
      </c>
      <c r="N378" s="23" t="s">
        <v>114</v>
      </c>
      <c r="O378" s="23" t="s">
        <v>1026</v>
      </c>
      <c r="P378" s="23" t="s">
        <v>4278</v>
      </c>
      <c r="Q378" s="23" t="s">
        <v>76</v>
      </c>
      <c r="R378" s="23" t="s">
        <v>114</v>
      </c>
      <c r="S378" s="23" t="s">
        <v>1412</v>
      </c>
      <c r="T378" s="23" t="s">
        <v>1524</v>
      </c>
      <c r="U378" s="23" t="s">
        <v>153</v>
      </c>
      <c r="V378" s="23" t="s">
        <v>114</v>
      </c>
      <c r="W378" s="23" t="s">
        <v>3230</v>
      </c>
      <c r="X378" s="23" t="s">
        <v>1506</v>
      </c>
      <c r="Y378" s="23" t="s">
        <v>77</v>
      </c>
      <c r="Z378" s="23" t="s">
        <v>114</v>
      </c>
      <c r="AA378" s="23" t="s">
        <v>596</v>
      </c>
      <c r="AB378" s="23" t="s">
        <v>4279</v>
      </c>
      <c r="AC378" s="23" t="s">
        <v>487</v>
      </c>
      <c r="AD378" s="23" t="s">
        <v>114</v>
      </c>
      <c r="AE378" s="23" t="s">
        <v>4280</v>
      </c>
    </row>
    <row r="379" spans="1:31" hidden="1" x14ac:dyDescent="0.25">
      <c r="A379">
        <v>378</v>
      </c>
      <c r="B379" t="s">
        <v>336</v>
      </c>
      <c r="C379" t="s">
        <v>4212</v>
      </c>
      <c r="D379" t="s">
        <v>4187</v>
      </c>
      <c r="E379" t="s">
        <v>35</v>
      </c>
      <c r="F379" t="s">
        <v>162</v>
      </c>
      <c r="G379" t="s">
        <v>4213</v>
      </c>
      <c r="H379" t="s">
        <v>4214</v>
      </c>
      <c r="I379" t="s">
        <v>39</v>
      </c>
      <c r="J379" t="s">
        <v>4215</v>
      </c>
      <c r="K379" t="s">
        <v>4216</v>
      </c>
      <c r="L379" s="23" t="s">
        <v>2137</v>
      </c>
      <c r="M379" s="23" t="s">
        <v>1316</v>
      </c>
      <c r="N379" s="23" t="s">
        <v>98</v>
      </c>
      <c r="O379" s="23" t="s">
        <v>1044</v>
      </c>
      <c r="P379" s="23" t="s">
        <v>4281</v>
      </c>
      <c r="Q379" s="23" t="s">
        <v>319</v>
      </c>
      <c r="R379" s="23" t="s">
        <v>158</v>
      </c>
      <c r="S379" s="23" t="s">
        <v>3265</v>
      </c>
      <c r="T379" s="23" t="s">
        <v>3027</v>
      </c>
      <c r="U379" s="23" t="s">
        <v>1032</v>
      </c>
      <c r="V379" s="23" t="s">
        <v>94</v>
      </c>
      <c r="W379" s="23" t="s">
        <v>2395</v>
      </c>
      <c r="X379" s="23" t="s">
        <v>4282</v>
      </c>
      <c r="Y379" s="23" t="s">
        <v>138</v>
      </c>
      <c r="Z379" s="23" t="s">
        <v>94</v>
      </c>
      <c r="AA379" s="23" t="s">
        <v>4283</v>
      </c>
      <c r="AB379" s="23" t="s">
        <v>1536</v>
      </c>
      <c r="AC379" s="23" t="s">
        <v>1964</v>
      </c>
      <c r="AD379" s="23" t="s">
        <v>257</v>
      </c>
      <c r="AE379" s="23" t="s">
        <v>4284</v>
      </c>
    </row>
    <row r="380" spans="1:31" hidden="1" x14ac:dyDescent="0.25">
      <c r="A380">
        <v>379</v>
      </c>
      <c r="B380" t="s">
        <v>336</v>
      </c>
      <c r="C380" t="s">
        <v>4220</v>
      </c>
      <c r="D380" t="s">
        <v>4187</v>
      </c>
      <c r="E380" t="s">
        <v>35</v>
      </c>
      <c r="F380" t="s">
        <v>162</v>
      </c>
      <c r="G380" t="s">
        <v>4221</v>
      </c>
      <c r="H380" t="s">
        <v>4222</v>
      </c>
      <c r="I380" t="s">
        <v>39</v>
      </c>
      <c r="J380" t="s">
        <v>4223</v>
      </c>
      <c r="K380" t="s">
        <v>4224</v>
      </c>
      <c r="L380" s="23" t="s">
        <v>253</v>
      </c>
      <c r="M380" s="23" t="s">
        <v>244</v>
      </c>
      <c r="N380" s="23" t="s">
        <v>114</v>
      </c>
      <c r="O380" s="23" t="s">
        <v>297</v>
      </c>
      <c r="P380" s="23" t="s">
        <v>1899</v>
      </c>
      <c r="Q380" s="23" t="s">
        <v>153</v>
      </c>
      <c r="R380" s="23" t="s">
        <v>114</v>
      </c>
      <c r="S380" s="23" t="s">
        <v>3328</v>
      </c>
      <c r="T380" s="23" t="s">
        <v>1791</v>
      </c>
      <c r="U380" s="23" t="s">
        <v>32</v>
      </c>
      <c r="V380" s="23" t="s">
        <v>114</v>
      </c>
      <c r="W380" s="23" t="s">
        <v>2958</v>
      </c>
      <c r="X380" s="23" t="s">
        <v>275</v>
      </c>
      <c r="Y380" s="23" t="s">
        <v>244</v>
      </c>
      <c r="Z380" s="23" t="s">
        <v>114</v>
      </c>
      <c r="AA380" s="23" t="s">
        <v>319</v>
      </c>
      <c r="AB380" s="23" t="s">
        <v>1177</v>
      </c>
      <c r="AC380" s="23" t="s">
        <v>138</v>
      </c>
      <c r="AD380" s="23" t="s">
        <v>114</v>
      </c>
      <c r="AE380" s="23" t="s">
        <v>4285</v>
      </c>
    </row>
    <row r="381" spans="1:31" hidden="1" x14ac:dyDescent="0.25">
      <c r="A381">
        <v>380</v>
      </c>
      <c r="B381" t="s">
        <v>336</v>
      </c>
      <c r="C381" t="s">
        <v>4226</v>
      </c>
      <c r="D381" t="s">
        <v>4187</v>
      </c>
      <c r="E381" t="s">
        <v>35</v>
      </c>
      <c r="F381" t="s">
        <v>162</v>
      </c>
      <c r="G381" t="s">
        <v>4227</v>
      </c>
      <c r="H381" t="s">
        <v>4228</v>
      </c>
      <c r="I381" t="s">
        <v>39</v>
      </c>
      <c r="J381" t="s">
        <v>4229</v>
      </c>
      <c r="K381" t="s">
        <v>4230</v>
      </c>
      <c r="L381" s="23" t="s">
        <v>583</v>
      </c>
      <c r="M381" s="23" t="s">
        <v>155</v>
      </c>
      <c r="N381" s="23" t="s">
        <v>94</v>
      </c>
      <c r="O381" s="23" t="s">
        <v>4286</v>
      </c>
      <c r="P381" s="23" t="s">
        <v>695</v>
      </c>
      <c r="Q381" s="23" t="s">
        <v>768</v>
      </c>
      <c r="R381" s="23" t="s">
        <v>94</v>
      </c>
      <c r="S381" s="23" t="s">
        <v>1939</v>
      </c>
      <c r="T381" s="23" t="s">
        <v>3383</v>
      </c>
      <c r="U381" s="23" t="s">
        <v>247</v>
      </c>
      <c r="V381" s="23" t="s">
        <v>114</v>
      </c>
      <c r="W381" s="23" t="s">
        <v>425</v>
      </c>
      <c r="X381" s="23" t="s">
        <v>764</v>
      </c>
      <c r="Y381" s="23" t="s">
        <v>226</v>
      </c>
      <c r="Z381" s="23" t="s">
        <v>114</v>
      </c>
      <c r="AA381" s="23" t="s">
        <v>608</v>
      </c>
      <c r="AB381" s="23" t="s">
        <v>4287</v>
      </c>
      <c r="AC381" s="23" t="s">
        <v>1418</v>
      </c>
      <c r="AD381" s="23" t="s">
        <v>104</v>
      </c>
      <c r="AE381" s="23" t="s">
        <v>4288</v>
      </c>
    </row>
    <row r="382" spans="1:31" hidden="1" x14ac:dyDescent="0.25">
      <c r="A382">
        <v>381</v>
      </c>
      <c r="B382" t="s">
        <v>336</v>
      </c>
      <c r="C382" t="s">
        <v>4232</v>
      </c>
      <c r="D382" t="s">
        <v>4187</v>
      </c>
      <c r="E382" t="s">
        <v>35</v>
      </c>
      <c r="F382" t="s">
        <v>162</v>
      </c>
      <c r="G382" t="s">
        <v>4233</v>
      </c>
      <c r="H382" t="s">
        <v>4234</v>
      </c>
      <c r="I382" t="s">
        <v>240</v>
      </c>
      <c r="J382" t="s">
        <v>4235</v>
      </c>
      <c r="K382" t="s">
        <v>4236</v>
      </c>
      <c r="L382" s="23" t="s">
        <v>2789</v>
      </c>
      <c r="M382" s="23" t="s">
        <v>69</v>
      </c>
      <c r="N382" s="23" t="s">
        <v>114</v>
      </c>
      <c r="O382" s="23" t="s">
        <v>1144</v>
      </c>
      <c r="P382" s="23" t="s">
        <v>528</v>
      </c>
      <c r="Q382" s="23" t="s">
        <v>559</v>
      </c>
      <c r="R382" s="23" t="s">
        <v>94</v>
      </c>
      <c r="S382" s="23" t="s">
        <v>4289</v>
      </c>
      <c r="T382" s="23" t="s">
        <v>650</v>
      </c>
      <c r="U382" s="23" t="s">
        <v>347</v>
      </c>
      <c r="V382" s="23" t="s">
        <v>94</v>
      </c>
      <c r="W382" s="23" t="s">
        <v>767</v>
      </c>
      <c r="X382" s="23" t="s">
        <v>1177</v>
      </c>
      <c r="Y382" s="23" t="s">
        <v>192</v>
      </c>
      <c r="Z382" s="23" t="s">
        <v>114</v>
      </c>
      <c r="AA382" s="23" t="s">
        <v>4290</v>
      </c>
      <c r="AB382" s="23" t="s">
        <v>4291</v>
      </c>
      <c r="AC382" s="23" t="s">
        <v>358</v>
      </c>
      <c r="AD382" s="23" t="s">
        <v>104</v>
      </c>
      <c r="AE382" s="23" t="s">
        <v>4292</v>
      </c>
    </row>
    <row r="383" spans="1:31" hidden="1" x14ac:dyDescent="0.25">
      <c r="A383">
        <v>382</v>
      </c>
      <c r="B383" t="s">
        <v>336</v>
      </c>
      <c r="C383" t="s">
        <v>4237</v>
      </c>
      <c r="D383" t="s">
        <v>4187</v>
      </c>
      <c r="E383" t="s">
        <v>35</v>
      </c>
      <c r="F383" t="s">
        <v>162</v>
      </c>
      <c r="G383" t="s">
        <v>4238</v>
      </c>
      <c r="H383" t="s">
        <v>4239</v>
      </c>
      <c r="I383" t="s">
        <v>39</v>
      </c>
      <c r="J383" t="s">
        <v>4240</v>
      </c>
      <c r="K383" t="s">
        <v>4241</v>
      </c>
      <c r="L383" s="23" t="s">
        <v>322</v>
      </c>
      <c r="M383" s="23" t="s">
        <v>149</v>
      </c>
      <c r="N383" s="23" t="s">
        <v>153</v>
      </c>
      <c r="O383" s="23" t="s">
        <v>659</v>
      </c>
      <c r="P383" s="23" t="s">
        <v>274</v>
      </c>
      <c r="Q383" s="23" t="s">
        <v>120</v>
      </c>
      <c r="R383" s="23" t="s">
        <v>914</v>
      </c>
      <c r="S383" s="23" t="s">
        <v>469</v>
      </c>
      <c r="T383" s="23" t="s">
        <v>304</v>
      </c>
      <c r="U383" s="23" t="s">
        <v>213</v>
      </c>
      <c r="V383" s="23" t="s">
        <v>122</v>
      </c>
      <c r="W383" s="23" t="s">
        <v>929</v>
      </c>
      <c r="X383" s="23" t="s">
        <v>601</v>
      </c>
      <c r="Y383" s="23" t="s">
        <v>479</v>
      </c>
      <c r="Z383" s="23" t="s">
        <v>94</v>
      </c>
      <c r="AA383" s="23" t="s">
        <v>100</v>
      </c>
      <c r="AB383" s="23" t="s">
        <v>3188</v>
      </c>
      <c r="AC383" s="23" t="s">
        <v>838</v>
      </c>
      <c r="AD383" s="23" t="s">
        <v>303</v>
      </c>
      <c r="AE383" s="23" t="s">
        <v>2441</v>
      </c>
    </row>
    <row r="384" spans="1:31" hidden="1" x14ac:dyDescent="0.25">
      <c r="A384">
        <v>383</v>
      </c>
      <c r="B384" t="s">
        <v>336</v>
      </c>
      <c r="C384" t="s">
        <v>4243</v>
      </c>
      <c r="D384" t="s">
        <v>4187</v>
      </c>
      <c r="E384" t="s">
        <v>35</v>
      </c>
      <c r="F384" t="s">
        <v>162</v>
      </c>
      <c r="G384" t="s">
        <v>4244</v>
      </c>
      <c r="H384" t="s">
        <v>4245</v>
      </c>
      <c r="I384" t="s">
        <v>39</v>
      </c>
      <c r="J384" t="s">
        <v>4246</v>
      </c>
      <c r="K384" t="s">
        <v>4247</v>
      </c>
      <c r="L384" s="23" t="s">
        <v>4293</v>
      </c>
      <c r="M384" s="23" t="s">
        <v>981</v>
      </c>
      <c r="N384" s="23" t="s">
        <v>217</v>
      </c>
      <c r="O384" s="23" t="s">
        <v>2981</v>
      </c>
      <c r="P384" s="23" t="s">
        <v>1056</v>
      </c>
      <c r="Q384" s="23" t="s">
        <v>790</v>
      </c>
      <c r="R384" s="23" t="s">
        <v>714</v>
      </c>
      <c r="S384" s="23" t="s">
        <v>4294</v>
      </c>
      <c r="T384" s="23" t="s">
        <v>4295</v>
      </c>
      <c r="U384" s="23" t="s">
        <v>562</v>
      </c>
      <c r="V384" s="23" t="s">
        <v>213</v>
      </c>
      <c r="W384" s="23" t="s">
        <v>4296</v>
      </c>
      <c r="X384" s="23" t="s">
        <v>4297</v>
      </c>
      <c r="Y384" s="23" t="s">
        <v>451</v>
      </c>
      <c r="Z384" s="23" t="s">
        <v>247</v>
      </c>
      <c r="AA384" s="23" t="s">
        <v>1959</v>
      </c>
      <c r="AB384" s="23" t="s">
        <v>1346</v>
      </c>
      <c r="AC384" s="23" t="s">
        <v>3003</v>
      </c>
      <c r="AD384" s="23" t="s">
        <v>281</v>
      </c>
      <c r="AE384" s="23" t="s">
        <v>4298</v>
      </c>
    </row>
    <row r="385" spans="1:31" hidden="1" x14ac:dyDescent="0.25">
      <c r="A385">
        <v>384</v>
      </c>
      <c r="B385" t="s">
        <v>336</v>
      </c>
      <c r="C385" t="s">
        <v>4255</v>
      </c>
      <c r="D385" t="s">
        <v>4187</v>
      </c>
      <c r="E385" t="s">
        <v>35</v>
      </c>
      <c r="F385" t="s">
        <v>162</v>
      </c>
      <c r="G385" t="s">
        <v>4256</v>
      </c>
      <c r="H385" t="s">
        <v>4257</v>
      </c>
      <c r="I385" t="s">
        <v>39</v>
      </c>
      <c r="J385" t="s">
        <v>4258</v>
      </c>
      <c r="K385" t="s">
        <v>4259</v>
      </c>
      <c r="L385" s="23" t="s">
        <v>4299</v>
      </c>
      <c r="M385" s="23" t="s">
        <v>1712</v>
      </c>
      <c r="N385" s="23" t="s">
        <v>103</v>
      </c>
      <c r="O385" s="23" t="s">
        <v>4300</v>
      </c>
      <c r="P385" s="23" t="s">
        <v>4301</v>
      </c>
      <c r="Q385" s="23" t="s">
        <v>3103</v>
      </c>
      <c r="R385" s="23" t="s">
        <v>426</v>
      </c>
      <c r="S385" s="23" t="s">
        <v>4302</v>
      </c>
      <c r="T385" s="23" t="s">
        <v>4303</v>
      </c>
      <c r="U385" s="23" t="s">
        <v>2384</v>
      </c>
      <c r="V385" s="23" t="s">
        <v>257</v>
      </c>
      <c r="W385" s="23" t="s">
        <v>1330</v>
      </c>
      <c r="X385" s="23" t="s">
        <v>4160</v>
      </c>
      <c r="Y385" s="23" t="s">
        <v>95</v>
      </c>
      <c r="Z385" s="23" t="s">
        <v>69</v>
      </c>
      <c r="AA385" s="23" t="s">
        <v>4304</v>
      </c>
      <c r="AB385" s="23" t="s">
        <v>4305</v>
      </c>
      <c r="AC385" s="23" t="s">
        <v>1292</v>
      </c>
      <c r="AD385" s="23" t="s">
        <v>133</v>
      </c>
      <c r="AE385" s="23" t="s">
        <v>4306</v>
      </c>
    </row>
    <row r="386" spans="1:31" hidden="1" x14ac:dyDescent="0.25">
      <c r="A386">
        <v>385</v>
      </c>
      <c r="B386" t="s">
        <v>4307</v>
      </c>
      <c r="C386" t="s">
        <v>4308</v>
      </c>
      <c r="D386" t="s">
        <v>4309</v>
      </c>
      <c r="E386" t="s">
        <v>35</v>
      </c>
      <c r="F386" t="s">
        <v>36</v>
      </c>
      <c r="G386" t="s">
        <v>4310</v>
      </c>
      <c r="H386" t="s">
        <v>4311</v>
      </c>
      <c r="I386" t="s">
        <v>300</v>
      </c>
      <c r="J386" t="s">
        <v>4312</v>
      </c>
      <c r="K386" t="s">
        <v>4313</v>
      </c>
      <c r="L386" s="23" t="s">
        <v>4314</v>
      </c>
      <c r="M386" s="23" t="s">
        <v>275</v>
      </c>
      <c r="N386" s="23" t="s">
        <v>122</v>
      </c>
      <c r="O386" s="23" t="s">
        <v>4315</v>
      </c>
      <c r="P386" s="23" t="s">
        <v>4316</v>
      </c>
      <c r="Q386" s="23" t="s">
        <v>1497</v>
      </c>
      <c r="R386" s="23" t="s">
        <v>130</v>
      </c>
      <c r="S386" s="23" t="s">
        <v>4317</v>
      </c>
      <c r="T386" s="23" t="s">
        <v>2393</v>
      </c>
      <c r="U386" s="23" t="s">
        <v>1507</v>
      </c>
      <c r="V386" s="23" t="s">
        <v>98</v>
      </c>
      <c r="W386" s="23" t="s">
        <v>4318</v>
      </c>
      <c r="X386" s="23" t="s">
        <v>4319</v>
      </c>
      <c r="Y386" s="23" t="s">
        <v>2346</v>
      </c>
      <c r="Z386" s="23" t="s">
        <v>32</v>
      </c>
      <c r="AA386" s="23" t="s">
        <v>826</v>
      </c>
      <c r="AB386" s="23" t="s">
        <v>792</v>
      </c>
      <c r="AC386" s="23" t="s">
        <v>2128</v>
      </c>
      <c r="AD386" s="23" t="s">
        <v>1316</v>
      </c>
      <c r="AE386" s="23" t="s">
        <v>4320</v>
      </c>
    </row>
    <row r="387" spans="1:31" hidden="1" x14ac:dyDescent="0.25">
      <c r="A387">
        <v>386</v>
      </c>
      <c r="B387" t="s">
        <v>4307</v>
      </c>
      <c r="C387" t="s">
        <v>4321</v>
      </c>
      <c r="D387" t="s">
        <v>4309</v>
      </c>
      <c r="E387" t="s">
        <v>35</v>
      </c>
      <c r="F387" t="s">
        <v>36</v>
      </c>
      <c r="G387" t="s">
        <v>4322</v>
      </c>
      <c r="H387" t="s">
        <v>4311</v>
      </c>
      <c r="I387" t="s">
        <v>300</v>
      </c>
      <c r="J387" t="s">
        <v>4323</v>
      </c>
      <c r="K387" t="s">
        <v>4324</v>
      </c>
      <c r="L387" s="23" t="s">
        <v>4325</v>
      </c>
      <c r="M387" s="23" t="s">
        <v>220</v>
      </c>
      <c r="N387" s="23" t="s">
        <v>243</v>
      </c>
      <c r="O387" s="23" t="s">
        <v>2089</v>
      </c>
      <c r="P387" s="23" t="s">
        <v>4326</v>
      </c>
      <c r="Q387" s="23" t="s">
        <v>4286</v>
      </c>
      <c r="R387" s="23" t="s">
        <v>278</v>
      </c>
      <c r="S387" s="23" t="s">
        <v>4327</v>
      </c>
      <c r="T387" s="23" t="s">
        <v>4328</v>
      </c>
      <c r="U387" s="23" t="s">
        <v>1587</v>
      </c>
      <c r="V387" s="23" t="s">
        <v>32</v>
      </c>
      <c r="W387" s="23" t="s">
        <v>4329</v>
      </c>
      <c r="X387" s="23" t="s">
        <v>4330</v>
      </c>
      <c r="Y387" s="23" t="s">
        <v>1500</v>
      </c>
      <c r="Z387" s="23" t="s">
        <v>103</v>
      </c>
      <c r="AA387" s="23" t="s">
        <v>4331</v>
      </c>
      <c r="AB387" s="23" t="s">
        <v>4332</v>
      </c>
      <c r="AC387" s="23" t="s">
        <v>4333</v>
      </c>
      <c r="AD387" s="23" t="s">
        <v>562</v>
      </c>
      <c r="AE387" s="23" t="s">
        <v>4334</v>
      </c>
    </row>
    <row r="388" spans="1:31" hidden="1" x14ac:dyDescent="0.25">
      <c r="A388">
        <v>387</v>
      </c>
      <c r="B388" t="s">
        <v>4307</v>
      </c>
      <c r="C388" t="s">
        <v>4335</v>
      </c>
      <c r="D388" t="s">
        <v>4309</v>
      </c>
      <c r="E388" t="s">
        <v>35</v>
      </c>
      <c r="F388" t="s">
        <v>36</v>
      </c>
      <c r="G388" t="s">
        <v>3194</v>
      </c>
      <c r="H388" t="s">
        <v>4336</v>
      </c>
      <c r="I388" t="s">
        <v>300</v>
      </c>
      <c r="J388" t="s">
        <v>4337</v>
      </c>
      <c r="K388" t="s">
        <v>4338</v>
      </c>
      <c r="L388" s="23" t="s">
        <v>4339</v>
      </c>
      <c r="M388" s="23" t="s">
        <v>929</v>
      </c>
      <c r="N388" s="23" t="s">
        <v>103</v>
      </c>
      <c r="O388" s="23" t="s">
        <v>4340</v>
      </c>
      <c r="P388" s="23" t="s">
        <v>4341</v>
      </c>
      <c r="Q388" s="23" t="s">
        <v>285</v>
      </c>
      <c r="R388" s="23" t="s">
        <v>1400</v>
      </c>
      <c r="S388" s="23" t="s">
        <v>4342</v>
      </c>
      <c r="T388" s="23" t="s">
        <v>4343</v>
      </c>
      <c r="U388" s="23" t="s">
        <v>579</v>
      </c>
      <c r="V388" s="23" t="s">
        <v>193</v>
      </c>
      <c r="W388" s="23" t="s">
        <v>4344</v>
      </c>
      <c r="X388" s="23" t="s">
        <v>4345</v>
      </c>
      <c r="Y388" s="23" t="s">
        <v>783</v>
      </c>
      <c r="Z388" s="23" t="s">
        <v>1032</v>
      </c>
      <c r="AA388" s="23" t="s">
        <v>4346</v>
      </c>
      <c r="AB388" s="23" t="s">
        <v>4347</v>
      </c>
      <c r="AC388" s="23" t="s">
        <v>4348</v>
      </c>
      <c r="AD388" s="23" t="s">
        <v>302</v>
      </c>
      <c r="AE388" s="23" t="s">
        <v>4349</v>
      </c>
    </row>
    <row r="389" spans="1:31" hidden="1" x14ac:dyDescent="0.25">
      <c r="A389">
        <v>388</v>
      </c>
      <c r="B389" t="s">
        <v>4307</v>
      </c>
      <c r="C389" t="s">
        <v>4350</v>
      </c>
      <c r="D389" t="s">
        <v>4309</v>
      </c>
      <c r="E389" t="s">
        <v>35</v>
      </c>
      <c r="F389" t="s">
        <v>36</v>
      </c>
      <c r="G389" t="s">
        <v>4351</v>
      </c>
      <c r="H389" t="s">
        <v>4336</v>
      </c>
      <c r="I389" t="s">
        <v>300</v>
      </c>
      <c r="J389" t="s">
        <v>4352</v>
      </c>
      <c r="K389" t="s">
        <v>4353</v>
      </c>
      <c r="L389" s="23" t="s">
        <v>912</v>
      </c>
      <c r="M389" s="23" t="s">
        <v>247</v>
      </c>
      <c r="N389" s="23" t="s">
        <v>213</v>
      </c>
      <c r="O389" s="23" t="s">
        <v>4354</v>
      </c>
      <c r="P389" s="23" t="s">
        <v>787</v>
      </c>
      <c r="Q389" s="23" t="s">
        <v>256</v>
      </c>
      <c r="R389" s="23" t="s">
        <v>153</v>
      </c>
      <c r="S389" s="23" t="s">
        <v>1214</v>
      </c>
      <c r="T389" s="23" t="s">
        <v>1127</v>
      </c>
      <c r="U389" s="23" t="s">
        <v>93</v>
      </c>
      <c r="V389" s="23" t="s">
        <v>104</v>
      </c>
      <c r="W389" s="23" t="s">
        <v>2008</v>
      </c>
      <c r="X389" s="23" t="s">
        <v>4355</v>
      </c>
      <c r="Y389" s="23" t="s">
        <v>69</v>
      </c>
      <c r="Z389" s="23" t="s">
        <v>104</v>
      </c>
      <c r="AA389" s="23" t="s">
        <v>4289</v>
      </c>
      <c r="AB389" s="23" t="s">
        <v>4356</v>
      </c>
      <c r="AC389" s="23" t="s">
        <v>281</v>
      </c>
      <c r="AD389" s="23" t="s">
        <v>76</v>
      </c>
      <c r="AE389" s="23" t="s">
        <v>4357</v>
      </c>
    </row>
    <row r="390" spans="1:31" hidden="1" x14ac:dyDescent="0.25">
      <c r="A390">
        <v>389</v>
      </c>
      <c r="B390" t="s">
        <v>4307</v>
      </c>
      <c r="C390" t="s">
        <v>4237</v>
      </c>
      <c r="D390" t="s">
        <v>4309</v>
      </c>
      <c r="E390" t="s">
        <v>35</v>
      </c>
      <c r="F390" t="s">
        <v>36</v>
      </c>
      <c r="G390" t="s">
        <v>4238</v>
      </c>
      <c r="H390" t="s">
        <v>4239</v>
      </c>
      <c r="I390" t="s">
        <v>163</v>
      </c>
      <c r="J390" t="s">
        <v>4240</v>
      </c>
      <c r="K390" t="s">
        <v>4241</v>
      </c>
      <c r="L390" s="23" t="s">
        <v>1899</v>
      </c>
      <c r="M390" s="23" t="s">
        <v>217</v>
      </c>
      <c r="N390" s="23" t="s">
        <v>130</v>
      </c>
      <c r="O390" s="23" t="s">
        <v>1052</v>
      </c>
      <c r="P390" s="23" t="s">
        <v>1545</v>
      </c>
      <c r="Q390" s="23" t="s">
        <v>156</v>
      </c>
      <c r="R390" s="23" t="s">
        <v>157</v>
      </c>
      <c r="S390" s="23" t="s">
        <v>776</v>
      </c>
      <c r="T390" s="23" t="s">
        <v>1503</v>
      </c>
      <c r="U390" s="23" t="s">
        <v>193</v>
      </c>
      <c r="V390" s="23" t="s">
        <v>98</v>
      </c>
      <c r="W390" s="23" t="s">
        <v>579</v>
      </c>
      <c r="X390" s="23" t="s">
        <v>1996</v>
      </c>
      <c r="Y390" s="23" t="s">
        <v>69</v>
      </c>
      <c r="Z390" s="23" t="s">
        <v>103</v>
      </c>
      <c r="AA390" s="23" t="s">
        <v>676</v>
      </c>
      <c r="AB390" s="23" t="s">
        <v>3335</v>
      </c>
      <c r="AC390" s="23" t="s">
        <v>772</v>
      </c>
      <c r="AD390" s="23" t="s">
        <v>2123</v>
      </c>
      <c r="AE390" s="23" t="s">
        <v>4242</v>
      </c>
    </row>
    <row r="391" spans="1:31" hidden="1" x14ac:dyDescent="0.25">
      <c r="A391">
        <v>390</v>
      </c>
      <c r="B391" t="s">
        <v>4307</v>
      </c>
      <c r="C391" t="s">
        <v>4243</v>
      </c>
      <c r="D391" t="s">
        <v>4309</v>
      </c>
      <c r="E391" t="s">
        <v>35</v>
      </c>
      <c r="F391" t="s">
        <v>36</v>
      </c>
      <c r="G391" t="s">
        <v>4244</v>
      </c>
      <c r="H391" t="s">
        <v>4245</v>
      </c>
      <c r="I391" t="s">
        <v>163</v>
      </c>
      <c r="J391" t="s">
        <v>4246</v>
      </c>
      <c r="K391" t="s">
        <v>4247</v>
      </c>
      <c r="L391" s="23" t="s">
        <v>4248</v>
      </c>
      <c r="M391" s="23" t="s">
        <v>3383</v>
      </c>
      <c r="N391" s="23" t="s">
        <v>336</v>
      </c>
      <c r="O391" s="23" t="s">
        <v>3183</v>
      </c>
      <c r="P391" s="23" t="s">
        <v>1075</v>
      </c>
      <c r="Q391" s="23" t="s">
        <v>4249</v>
      </c>
      <c r="R391" s="23" t="s">
        <v>714</v>
      </c>
      <c r="S391" s="23" t="s">
        <v>4250</v>
      </c>
      <c r="T391" s="23" t="s">
        <v>4251</v>
      </c>
      <c r="U391" s="23" t="s">
        <v>303</v>
      </c>
      <c r="V391" s="23" t="s">
        <v>193</v>
      </c>
      <c r="W391" s="23" t="s">
        <v>612</v>
      </c>
      <c r="X391" s="23" t="s">
        <v>3778</v>
      </c>
      <c r="Y391" s="23" t="s">
        <v>593</v>
      </c>
      <c r="Z391" s="23" t="s">
        <v>68</v>
      </c>
      <c r="AA391" s="23" t="s">
        <v>4252</v>
      </c>
      <c r="AB391" s="23" t="s">
        <v>4253</v>
      </c>
      <c r="AC391" s="23" t="s">
        <v>2320</v>
      </c>
      <c r="AD391" s="23" t="s">
        <v>2216</v>
      </c>
      <c r="AE391" s="23" t="s">
        <v>4254</v>
      </c>
    </row>
    <row r="392" spans="1:31" hidden="1" x14ac:dyDescent="0.25">
      <c r="A392">
        <v>391</v>
      </c>
      <c r="B392" t="s">
        <v>4307</v>
      </c>
      <c r="C392" t="s">
        <v>4358</v>
      </c>
      <c r="D392" t="s">
        <v>4309</v>
      </c>
      <c r="E392" t="s">
        <v>35</v>
      </c>
      <c r="F392" t="s">
        <v>36</v>
      </c>
      <c r="G392" t="s">
        <v>4359</v>
      </c>
      <c r="H392" t="s">
        <v>4257</v>
      </c>
      <c r="I392" t="s">
        <v>163</v>
      </c>
      <c r="J392" t="s">
        <v>4360</v>
      </c>
      <c r="K392" t="s">
        <v>4361</v>
      </c>
      <c r="L392" s="23" t="s">
        <v>3185</v>
      </c>
      <c r="M392" s="23" t="s">
        <v>113</v>
      </c>
      <c r="N392" s="23" t="s">
        <v>122</v>
      </c>
      <c r="O392" s="23" t="s">
        <v>79</v>
      </c>
      <c r="P392" s="23" t="s">
        <v>3294</v>
      </c>
      <c r="Q392" s="23" t="s">
        <v>116</v>
      </c>
      <c r="R392" s="23" t="s">
        <v>213</v>
      </c>
      <c r="S392" s="23" t="s">
        <v>1525</v>
      </c>
      <c r="T392" s="23" t="s">
        <v>535</v>
      </c>
      <c r="U392" s="23" t="s">
        <v>118</v>
      </c>
      <c r="V392" s="23" t="s">
        <v>104</v>
      </c>
      <c r="W392" s="23" t="s">
        <v>585</v>
      </c>
      <c r="X392" s="23" t="s">
        <v>258</v>
      </c>
      <c r="Y392" s="23" t="s">
        <v>1651</v>
      </c>
      <c r="Z392" s="23" t="s">
        <v>243</v>
      </c>
      <c r="AA392" s="23" t="s">
        <v>1668</v>
      </c>
      <c r="AB392" s="23" t="s">
        <v>4362</v>
      </c>
      <c r="AC392" s="23" t="s">
        <v>2366</v>
      </c>
      <c r="AD392" s="23" t="s">
        <v>197</v>
      </c>
      <c r="AE392" s="23" t="s">
        <v>4363</v>
      </c>
    </row>
    <row r="393" spans="1:31" hidden="1" x14ac:dyDescent="0.25">
      <c r="A393">
        <v>392</v>
      </c>
      <c r="B393" t="s">
        <v>4307</v>
      </c>
      <c r="C393" t="s">
        <v>4255</v>
      </c>
      <c r="D393" t="s">
        <v>4309</v>
      </c>
      <c r="E393" t="s">
        <v>35</v>
      </c>
      <c r="F393" t="s">
        <v>36</v>
      </c>
      <c r="G393" t="s">
        <v>4256</v>
      </c>
      <c r="H393" t="s">
        <v>4257</v>
      </c>
      <c r="I393" t="s">
        <v>163</v>
      </c>
      <c r="J393" t="s">
        <v>4258</v>
      </c>
      <c r="K393" t="s">
        <v>4259</v>
      </c>
      <c r="L393" s="23" t="s">
        <v>4260</v>
      </c>
      <c r="M393" s="23" t="s">
        <v>1712</v>
      </c>
      <c r="N393" s="23" t="s">
        <v>130</v>
      </c>
      <c r="O393" s="23" t="s">
        <v>4261</v>
      </c>
      <c r="P393" s="23" t="s">
        <v>4262</v>
      </c>
      <c r="Q393" s="23" t="s">
        <v>1865</v>
      </c>
      <c r="R393" s="23" t="s">
        <v>278</v>
      </c>
      <c r="S393" s="23" t="s">
        <v>4263</v>
      </c>
      <c r="T393" s="23" t="s">
        <v>4264</v>
      </c>
      <c r="U393" s="23" t="s">
        <v>210</v>
      </c>
      <c r="V393" s="23" t="s">
        <v>158</v>
      </c>
      <c r="W393" s="23" t="s">
        <v>4265</v>
      </c>
      <c r="X393" s="23" t="s">
        <v>4266</v>
      </c>
      <c r="Y393" s="23" t="s">
        <v>307</v>
      </c>
      <c r="Z393" s="23" t="s">
        <v>282</v>
      </c>
      <c r="AA393" s="23" t="s">
        <v>4267</v>
      </c>
      <c r="AB393" s="23" t="s">
        <v>4268</v>
      </c>
      <c r="AC393" s="23" t="s">
        <v>4269</v>
      </c>
      <c r="AD393" s="23" t="s">
        <v>2771</v>
      </c>
      <c r="AE393" s="23" t="s">
        <v>4270</v>
      </c>
    </row>
    <row r="394" spans="1:31" hidden="1" x14ac:dyDescent="0.25">
      <c r="A394">
        <v>393</v>
      </c>
      <c r="B394" t="s">
        <v>4307</v>
      </c>
      <c r="C394" t="s">
        <v>4308</v>
      </c>
      <c r="D394" t="s">
        <v>4309</v>
      </c>
      <c r="E394" t="s">
        <v>35</v>
      </c>
      <c r="F394" t="s">
        <v>162</v>
      </c>
      <c r="G394" t="s">
        <v>4310</v>
      </c>
      <c r="H394" t="s">
        <v>4311</v>
      </c>
      <c r="I394" t="s">
        <v>240</v>
      </c>
      <c r="J394" t="s">
        <v>4312</v>
      </c>
      <c r="K394" t="s">
        <v>4313</v>
      </c>
      <c r="L394" s="23" t="s">
        <v>999</v>
      </c>
      <c r="M394" s="23" t="s">
        <v>1069</v>
      </c>
      <c r="N394" s="23" t="s">
        <v>32</v>
      </c>
      <c r="O394" s="23" t="s">
        <v>4364</v>
      </c>
      <c r="P394" s="23" t="s">
        <v>3503</v>
      </c>
      <c r="Q394" s="23" t="s">
        <v>173</v>
      </c>
      <c r="R394" s="23" t="s">
        <v>246</v>
      </c>
      <c r="S394" s="23" t="s">
        <v>3507</v>
      </c>
      <c r="T394" s="23" t="s">
        <v>1742</v>
      </c>
      <c r="U394" s="23" t="s">
        <v>245</v>
      </c>
      <c r="V394" s="23" t="s">
        <v>158</v>
      </c>
      <c r="W394" s="23" t="s">
        <v>4365</v>
      </c>
      <c r="X394" s="23" t="s">
        <v>4366</v>
      </c>
      <c r="Y394" s="23" t="s">
        <v>80</v>
      </c>
      <c r="Z394" s="23" t="s">
        <v>244</v>
      </c>
      <c r="AA394" s="23" t="s">
        <v>4367</v>
      </c>
      <c r="AB394" s="23" t="s">
        <v>4368</v>
      </c>
      <c r="AC394" s="23" t="s">
        <v>2416</v>
      </c>
      <c r="AD394" s="23" t="s">
        <v>197</v>
      </c>
      <c r="AE394" s="23" t="s">
        <v>4369</v>
      </c>
    </row>
    <row r="395" spans="1:31" hidden="1" x14ac:dyDescent="0.25">
      <c r="A395">
        <v>394</v>
      </c>
      <c r="B395" t="s">
        <v>4307</v>
      </c>
      <c r="C395" t="s">
        <v>4321</v>
      </c>
      <c r="D395" t="s">
        <v>4309</v>
      </c>
      <c r="E395" t="s">
        <v>35</v>
      </c>
      <c r="F395" t="s">
        <v>162</v>
      </c>
      <c r="G395" t="s">
        <v>4322</v>
      </c>
      <c r="H395" t="s">
        <v>4311</v>
      </c>
      <c r="I395" t="s">
        <v>240</v>
      </c>
      <c r="J395" t="s">
        <v>4323</v>
      </c>
      <c r="K395" t="s">
        <v>4324</v>
      </c>
      <c r="L395" s="23" t="s">
        <v>4370</v>
      </c>
      <c r="M395" s="23" t="s">
        <v>3043</v>
      </c>
      <c r="N395" s="23" t="s">
        <v>69</v>
      </c>
      <c r="O395" s="23" t="s">
        <v>1427</v>
      </c>
      <c r="P395" s="23" t="s">
        <v>2350</v>
      </c>
      <c r="Q395" s="23" t="s">
        <v>776</v>
      </c>
      <c r="R395" s="23" t="s">
        <v>570</v>
      </c>
      <c r="S395" s="23" t="s">
        <v>4371</v>
      </c>
      <c r="T395" s="23" t="s">
        <v>666</v>
      </c>
      <c r="U395" s="23" t="s">
        <v>1587</v>
      </c>
      <c r="V395" s="23" t="s">
        <v>98</v>
      </c>
      <c r="W395" s="23" t="s">
        <v>4372</v>
      </c>
      <c r="X395" s="23" t="s">
        <v>4373</v>
      </c>
      <c r="Y395" s="23" t="s">
        <v>3328</v>
      </c>
      <c r="Z395" s="23" t="s">
        <v>247</v>
      </c>
      <c r="AA395" s="23" t="s">
        <v>738</v>
      </c>
      <c r="AB395" s="23" t="s">
        <v>4374</v>
      </c>
      <c r="AC395" s="23" t="s">
        <v>1568</v>
      </c>
      <c r="AD395" s="23" t="s">
        <v>468</v>
      </c>
      <c r="AE395" s="23" t="s">
        <v>4375</v>
      </c>
    </row>
    <row r="396" spans="1:31" hidden="1" x14ac:dyDescent="0.25">
      <c r="A396">
        <v>395</v>
      </c>
      <c r="B396" t="s">
        <v>4307</v>
      </c>
      <c r="C396" t="s">
        <v>4335</v>
      </c>
      <c r="D396" t="s">
        <v>4309</v>
      </c>
      <c r="E396" t="s">
        <v>35</v>
      </c>
      <c r="F396" t="s">
        <v>162</v>
      </c>
      <c r="G396" t="s">
        <v>3194</v>
      </c>
      <c r="H396" t="s">
        <v>4336</v>
      </c>
      <c r="I396" t="s">
        <v>240</v>
      </c>
      <c r="J396" t="s">
        <v>4337</v>
      </c>
      <c r="K396" t="s">
        <v>4338</v>
      </c>
      <c r="L396" s="23" t="s">
        <v>4376</v>
      </c>
      <c r="M396" s="23" t="s">
        <v>1255</v>
      </c>
      <c r="N396" s="23" t="s">
        <v>192</v>
      </c>
      <c r="O396" s="23" t="s">
        <v>4377</v>
      </c>
      <c r="P396" s="23" t="s">
        <v>2318</v>
      </c>
      <c r="Q396" s="23" t="s">
        <v>3878</v>
      </c>
      <c r="R396" s="23" t="s">
        <v>768</v>
      </c>
      <c r="S396" s="23" t="s">
        <v>4378</v>
      </c>
      <c r="T396" s="23" t="s">
        <v>4379</v>
      </c>
      <c r="U396" s="23" t="s">
        <v>659</v>
      </c>
      <c r="V396" s="23" t="s">
        <v>77</v>
      </c>
      <c r="W396" s="23" t="s">
        <v>4380</v>
      </c>
      <c r="X396" s="23" t="s">
        <v>4381</v>
      </c>
      <c r="Y396" s="23" t="s">
        <v>2788</v>
      </c>
      <c r="Z396" s="23" t="s">
        <v>211</v>
      </c>
      <c r="AA396" s="23" t="s">
        <v>3314</v>
      </c>
      <c r="AB396" s="23" t="s">
        <v>4382</v>
      </c>
      <c r="AC396" s="23" t="s">
        <v>4383</v>
      </c>
      <c r="AD396" s="23" t="s">
        <v>525</v>
      </c>
      <c r="AE396" s="23" t="s">
        <v>4384</v>
      </c>
    </row>
    <row r="397" spans="1:31" hidden="1" x14ac:dyDescent="0.25">
      <c r="A397">
        <v>396</v>
      </c>
      <c r="B397" t="s">
        <v>4307</v>
      </c>
      <c r="C397" t="s">
        <v>4350</v>
      </c>
      <c r="D397" t="s">
        <v>4309</v>
      </c>
      <c r="E397" t="s">
        <v>35</v>
      </c>
      <c r="F397" t="s">
        <v>162</v>
      </c>
      <c r="G397" t="s">
        <v>4351</v>
      </c>
      <c r="H397" t="s">
        <v>4336</v>
      </c>
      <c r="I397" t="s">
        <v>240</v>
      </c>
      <c r="J397" t="s">
        <v>4352</v>
      </c>
      <c r="K397" t="s">
        <v>4353</v>
      </c>
      <c r="L397" s="23" t="s">
        <v>1565</v>
      </c>
      <c r="M397" s="23" t="s">
        <v>196</v>
      </c>
      <c r="N397" s="23" t="s">
        <v>193</v>
      </c>
      <c r="O397" s="23" t="s">
        <v>203</v>
      </c>
      <c r="P397" s="23" t="s">
        <v>4283</v>
      </c>
      <c r="Q397" s="23" t="s">
        <v>594</v>
      </c>
      <c r="R397" s="23" t="s">
        <v>243</v>
      </c>
      <c r="S397" s="23" t="s">
        <v>4385</v>
      </c>
      <c r="T397" s="23" t="s">
        <v>4290</v>
      </c>
      <c r="U397" s="23" t="s">
        <v>76</v>
      </c>
      <c r="V397" s="23" t="s">
        <v>94</v>
      </c>
      <c r="W397" s="23" t="s">
        <v>4386</v>
      </c>
      <c r="X397" s="23" t="s">
        <v>1789</v>
      </c>
      <c r="Y397" s="23" t="s">
        <v>68</v>
      </c>
      <c r="Z397" s="23" t="s">
        <v>244</v>
      </c>
      <c r="AA397" s="23" t="s">
        <v>4387</v>
      </c>
      <c r="AB397" s="23" t="s">
        <v>1112</v>
      </c>
      <c r="AC397" s="23" t="s">
        <v>1426</v>
      </c>
      <c r="AD397" s="23" t="s">
        <v>118</v>
      </c>
      <c r="AE397" s="23" t="s">
        <v>4388</v>
      </c>
    </row>
    <row r="398" spans="1:31" hidden="1" x14ac:dyDescent="0.25">
      <c r="A398">
        <v>397</v>
      </c>
      <c r="B398" t="s">
        <v>4307</v>
      </c>
      <c r="C398" t="s">
        <v>4237</v>
      </c>
      <c r="D398" t="s">
        <v>4309</v>
      </c>
      <c r="E398" t="s">
        <v>35</v>
      </c>
      <c r="F398" t="s">
        <v>162</v>
      </c>
      <c r="G398" t="s">
        <v>4238</v>
      </c>
      <c r="H398" t="s">
        <v>4239</v>
      </c>
      <c r="I398" t="s">
        <v>39</v>
      </c>
      <c r="J398" t="s">
        <v>4240</v>
      </c>
      <c r="K398" t="s">
        <v>4241</v>
      </c>
      <c r="L398" s="23" t="s">
        <v>322</v>
      </c>
      <c r="M398" s="23" t="s">
        <v>149</v>
      </c>
      <c r="N398" s="23" t="s">
        <v>153</v>
      </c>
      <c r="O398" s="23" t="s">
        <v>659</v>
      </c>
      <c r="P398" s="23" t="s">
        <v>274</v>
      </c>
      <c r="Q398" s="23" t="s">
        <v>120</v>
      </c>
      <c r="R398" s="23" t="s">
        <v>914</v>
      </c>
      <c r="S398" s="23" t="s">
        <v>469</v>
      </c>
      <c r="T398" s="23" t="s">
        <v>304</v>
      </c>
      <c r="U398" s="23" t="s">
        <v>213</v>
      </c>
      <c r="V398" s="23" t="s">
        <v>122</v>
      </c>
      <c r="W398" s="23" t="s">
        <v>929</v>
      </c>
      <c r="X398" s="23" t="s">
        <v>601</v>
      </c>
      <c r="Y398" s="23" t="s">
        <v>479</v>
      </c>
      <c r="Z398" s="23" t="s">
        <v>94</v>
      </c>
      <c r="AA398" s="23" t="s">
        <v>100</v>
      </c>
      <c r="AB398" s="23" t="s">
        <v>3188</v>
      </c>
      <c r="AC398" s="23" t="s">
        <v>838</v>
      </c>
      <c r="AD398" s="23" t="s">
        <v>303</v>
      </c>
      <c r="AE398" s="23" t="s">
        <v>2441</v>
      </c>
    </row>
    <row r="399" spans="1:31" hidden="1" x14ac:dyDescent="0.25">
      <c r="A399">
        <v>398</v>
      </c>
      <c r="B399" t="s">
        <v>4307</v>
      </c>
      <c r="C399" t="s">
        <v>4243</v>
      </c>
      <c r="D399" t="s">
        <v>4309</v>
      </c>
      <c r="E399" t="s">
        <v>35</v>
      </c>
      <c r="F399" t="s">
        <v>162</v>
      </c>
      <c r="G399" t="s">
        <v>4244</v>
      </c>
      <c r="H399" t="s">
        <v>4245</v>
      </c>
      <c r="I399" t="s">
        <v>39</v>
      </c>
      <c r="J399" t="s">
        <v>4246</v>
      </c>
      <c r="K399" t="s">
        <v>4247</v>
      </c>
      <c r="L399" s="23" t="s">
        <v>4293</v>
      </c>
      <c r="M399" s="23" t="s">
        <v>981</v>
      </c>
      <c r="N399" s="23" t="s">
        <v>217</v>
      </c>
      <c r="O399" s="23" t="s">
        <v>2981</v>
      </c>
      <c r="P399" s="23" t="s">
        <v>1056</v>
      </c>
      <c r="Q399" s="23" t="s">
        <v>790</v>
      </c>
      <c r="R399" s="23" t="s">
        <v>714</v>
      </c>
      <c r="S399" s="23" t="s">
        <v>4294</v>
      </c>
      <c r="T399" s="23" t="s">
        <v>4295</v>
      </c>
      <c r="U399" s="23" t="s">
        <v>562</v>
      </c>
      <c r="V399" s="23" t="s">
        <v>213</v>
      </c>
      <c r="W399" s="23" t="s">
        <v>4296</v>
      </c>
      <c r="X399" s="23" t="s">
        <v>4297</v>
      </c>
      <c r="Y399" s="23" t="s">
        <v>451</v>
      </c>
      <c r="Z399" s="23" t="s">
        <v>247</v>
      </c>
      <c r="AA399" s="23" t="s">
        <v>1959</v>
      </c>
      <c r="AB399" s="23" t="s">
        <v>1346</v>
      </c>
      <c r="AC399" s="23" t="s">
        <v>3003</v>
      </c>
      <c r="AD399" s="23" t="s">
        <v>281</v>
      </c>
      <c r="AE399" s="23" t="s">
        <v>4298</v>
      </c>
    </row>
    <row r="400" spans="1:31" hidden="1" x14ac:dyDescent="0.25">
      <c r="A400">
        <v>399</v>
      </c>
      <c r="B400" t="s">
        <v>4307</v>
      </c>
      <c r="C400" t="s">
        <v>4358</v>
      </c>
      <c r="D400" t="s">
        <v>4309</v>
      </c>
      <c r="E400" t="s">
        <v>35</v>
      </c>
      <c r="F400" t="s">
        <v>162</v>
      </c>
      <c r="G400" t="s">
        <v>4359</v>
      </c>
      <c r="H400" t="s">
        <v>4257</v>
      </c>
      <c r="I400" t="s">
        <v>39</v>
      </c>
      <c r="J400" t="s">
        <v>4360</v>
      </c>
      <c r="K400" t="s">
        <v>4361</v>
      </c>
      <c r="L400" s="23" t="s">
        <v>173</v>
      </c>
      <c r="M400" s="23" t="s">
        <v>69</v>
      </c>
      <c r="N400" s="23" t="s">
        <v>104</v>
      </c>
      <c r="O400" s="23" t="s">
        <v>212</v>
      </c>
      <c r="P400" s="23" t="s">
        <v>4038</v>
      </c>
      <c r="Q400" s="23" t="s">
        <v>80</v>
      </c>
      <c r="R400" s="23" t="s">
        <v>32</v>
      </c>
      <c r="S400" s="23" t="s">
        <v>3698</v>
      </c>
      <c r="T400" s="23" t="s">
        <v>3089</v>
      </c>
      <c r="U400" s="23" t="s">
        <v>570</v>
      </c>
      <c r="V400" s="23" t="s">
        <v>104</v>
      </c>
      <c r="W400" s="23" t="s">
        <v>135</v>
      </c>
      <c r="X400" s="23" t="s">
        <v>1667</v>
      </c>
      <c r="Y400" s="23" t="s">
        <v>197</v>
      </c>
      <c r="Z400" s="23" t="s">
        <v>77</v>
      </c>
      <c r="AA400" s="23" t="s">
        <v>1789</v>
      </c>
      <c r="AB400" s="23" t="s">
        <v>4389</v>
      </c>
      <c r="AC400" s="23" t="s">
        <v>495</v>
      </c>
      <c r="AD400" s="23" t="s">
        <v>217</v>
      </c>
      <c r="AE400" s="23" t="s">
        <v>2063</v>
      </c>
    </row>
    <row r="401" spans="1:31" hidden="1" x14ac:dyDescent="0.25">
      <c r="A401">
        <v>400</v>
      </c>
      <c r="B401" t="s">
        <v>4307</v>
      </c>
      <c r="C401" t="s">
        <v>4255</v>
      </c>
      <c r="D401" t="s">
        <v>4309</v>
      </c>
      <c r="E401" t="s">
        <v>35</v>
      </c>
      <c r="F401" t="s">
        <v>162</v>
      </c>
      <c r="G401" t="s">
        <v>4256</v>
      </c>
      <c r="H401" t="s">
        <v>4257</v>
      </c>
      <c r="I401" t="s">
        <v>39</v>
      </c>
      <c r="J401" t="s">
        <v>4258</v>
      </c>
      <c r="K401" t="s">
        <v>4259</v>
      </c>
      <c r="L401" s="23" t="s">
        <v>4299</v>
      </c>
      <c r="M401" s="23" t="s">
        <v>1712</v>
      </c>
      <c r="N401" s="23" t="s">
        <v>103</v>
      </c>
      <c r="O401" s="23" t="s">
        <v>4300</v>
      </c>
      <c r="P401" s="23" t="s">
        <v>4301</v>
      </c>
      <c r="Q401" s="23" t="s">
        <v>3103</v>
      </c>
      <c r="R401" s="23" t="s">
        <v>426</v>
      </c>
      <c r="S401" s="23" t="s">
        <v>4302</v>
      </c>
      <c r="T401" s="23" t="s">
        <v>4303</v>
      </c>
      <c r="U401" s="23" t="s">
        <v>2384</v>
      </c>
      <c r="V401" s="23" t="s">
        <v>257</v>
      </c>
      <c r="W401" s="23" t="s">
        <v>1330</v>
      </c>
      <c r="X401" s="23" t="s">
        <v>4160</v>
      </c>
      <c r="Y401" s="23" t="s">
        <v>95</v>
      </c>
      <c r="Z401" s="23" t="s">
        <v>69</v>
      </c>
      <c r="AA401" s="23" t="s">
        <v>4304</v>
      </c>
      <c r="AB401" s="23" t="s">
        <v>4305</v>
      </c>
      <c r="AC401" s="23" t="s">
        <v>1292</v>
      </c>
      <c r="AD401" s="23" t="s">
        <v>133</v>
      </c>
      <c r="AE401" s="23" t="s">
        <v>4306</v>
      </c>
    </row>
    <row r="402" spans="1:31" hidden="1" x14ac:dyDescent="0.25">
      <c r="A402">
        <v>401</v>
      </c>
      <c r="B402" t="s">
        <v>149</v>
      </c>
      <c r="C402" t="s">
        <v>4390</v>
      </c>
      <c r="D402" t="s">
        <v>4391</v>
      </c>
      <c r="E402" t="s">
        <v>35</v>
      </c>
      <c r="F402" t="s">
        <v>36</v>
      </c>
      <c r="G402" t="s">
        <v>4392</v>
      </c>
      <c r="H402" t="s">
        <v>4234</v>
      </c>
      <c r="I402" t="s">
        <v>240</v>
      </c>
      <c r="J402" t="s">
        <v>4393</v>
      </c>
      <c r="K402" t="s">
        <v>4394</v>
      </c>
      <c r="L402" s="23" t="s">
        <v>3281</v>
      </c>
      <c r="M402" s="23" t="s">
        <v>80</v>
      </c>
      <c r="N402" s="23" t="s">
        <v>244</v>
      </c>
      <c r="O402" s="23" t="s">
        <v>4395</v>
      </c>
      <c r="P402" s="23" t="s">
        <v>4396</v>
      </c>
      <c r="Q402" s="23" t="s">
        <v>1695</v>
      </c>
      <c r="R402" s="23" t="s">
        <v>153</v>
      </c>
      <c r="S402" s="23" t="s">
        <v>4397</v>
      </c>
      <c r="T402" s="23" t="s">
        <v>227</v>
      </c>
      <c r="U402" s="23" t="s">
        <v>223</v>
      </c>
      <c r="V402" s="23" t="s">
        <v>104</v>
      </c>
      <c r="W402" s="23" t="s">
        <v>897</v>
      </c>
      <c r="X402" s="23" t="s">
        <v>4398</v>
      </c>
      <c r="Y402" s="23" t="s">
        <v>1608</v>
      </c>
      <c r="Z402" s="23" t="s">
        <v>193</v>
      </c>
      <c r="AA402" s="23" t="s">
        <v>4399</v>
      </c>
      <c r="AB402" s="23" t="s">
        <v>4400</v>
      </c>
      <c r="AC402" s="23" t="s">
        <v>1204</v>
      </c>
      <c r="AD402" s="23" t="s">
        <v>197</v>
      </c>
      <c r="AE402" s="23" t="s">
        <v>4401</v>
      </c>
    </row>
    <row r="403" spans="1:31" hidden="1" x14ac:dyDescent="0.25">
      <c r="A403">
        <v>402</v>
      </c>
      <c r="B403" t="s">
        <v>149</v>
      </c>
      <c r="C403" t="s">
        <v>4402</v>
      </c>
      <c r="D403" t="s">
        <v>4391</v>
      </c>
      <c r="E403" t="s">
        <v>35</v>
      </c>
      <c r="F403" t="s">
        <v>36</v>
      </c>
      <c r="G403" t="s">
        <v>4403</v>
      </c>
      <c r="H403" t="s">
        <v>4234</v>
      </c>
      <c r="I403" t="s">
        <v>240</v>
      </c>
      <c r="J403" t="s">
        <v>4404</v>
      </c>
      <c r="K403" t="s">
        <v>4405</v>
      </c>
      <c r="L403" s="23" t="s">
        <v>4406</v>
      </c>
      <c r="M403" s="23" t="s">
        <v>3846</v>
      </c>
      <c r="N403" s="23" t="s">
        <v>295</v>
      </c>
      <c r="O403" s="23" t="s">
        <v>4407</v>
      </c>
      <c r="P403" s="23" t="s">
        <v>4408</v>
      </c>
      <c r="Q403" s="23" t="s">
        <v>3765</v>
      </c>
      <c r="R403" s="23" t="s">
        <v>588</v>
      </c>
      <c r="S403" s="23" t="s">
        <v>4409</v>
      </c>
      <c r="T403" s="23" t="s">
        <v>4410</v>
      </c>
      <c r="U403" s="23" t="s">
        <v>507</v>
      </c>
      <c r="V403" s="23" t="s">
        <v>257</v>
      </c>
      <c r="W403" s="23" t="s">
        <v>4411</v>
      </c>
      <c r="X403" s="23" t="s">
        <v>4412</v>
      </c>
      <c r="Y403" s="23" t="s">
        <v>4413</v>
      </c>
      <c r="Z403" s="23" t="s">
        <v>1587</v>
      </c>
      <c r="AA403" s="23" t="s">
        <v>3540</v>
      </c>
      <c r="AB403" s="23" t="s">
        <v>4414</v>
      </c>
      <c r="AC403" s="23" t="s">
        <v>4415</v>
      </c>
      <c r="AD403" s="23" t="s">
        <v>1579</v>
      </c>
      <c r="AE403" s="23" t="s">
        <v>4416</v>
      </c>
    </row>
    <row r="404" spans="1:31" hidden="1" x14ac:dyDescent="0.25">
      <c r="A404">
        <v>403</v>
      </c>
      <c r="B404" t="s">
        <v>149</v>
      </c>
      <c r="C404" t="s">
        <v>4417</v>
      </c>
      <c r="D404" t="s">
        <v>4391</v>
      </c>
      <c r="E404" t="s">
        <v>35</v>
      </c>
      <c r="F404" t="s">
        <v>36</v>
      </c>
      <c r="G404" t="s">
        <v>4418</v>
      </c>
      <c r="H404" t="s">
        <v>4234</v>
      </c>
      <c r="I404" t="s">
        <v>240</v>
      </c>
      <c r="J404" t="s">
        <v>4419</v>
      </c>
      <c r="K404" t="s">
        <v>4420</v>
      </c>
      <c r="L404" s="23" t="s">
        <v>4421</v>
      </c>
      <c r="M404" s="23" t="s">
        <v>478</v>
      </c>
      <c r="N404" s="23" t="s">
        <v>1032</v>
      </c>
      <c r="O404" s="23" t="s">
        <v>3436</v>
      </c>
      <c r="P404" s="23" t="s">
        <v>4422</v>
      </c>
      <c r="Q404" s="23" t="s">
        <v>4423</v>
      </c>
      <c r="R404" s="23" t="s">
        <v>295</v>
      </c>
      <c r="S404" s="23" t="s">
        <v>4424</v>
      </c>
      <c r="T404" s="23" t="s">
        <v>4425</v>
      </c>
      <c r="U404" s="23" t="s">
        <v>981</v>
      </c>
      <c r="V404" s="23" t="s">
        <v>193</v>
      </c>
      <c r="W404" s="23" t="s">
        <v>4426</v>
      </c>
      <c r="X404" s="23" t="s">
        <v>4427</v>
      </c>
      <c r="Y404" s="23" t="s">
        <v>463</v>
      </c>
      <c r="Z404" s="23" t="s">
        <v>559</v>
      </c>
      <c r="AA404" s="23" t="s">
        <v>819</v>
      </c>
      <c r="AB404" s="23" t="s">
        <v>4428</v>
      </c>
      <c r="AC404" s="23" t="s">
        <v>60</v>
      </c>
      <c r="AD404" s="23" t="s">
        <v>1712</v>
      </c>
      <c r="AE404" s="23" t="s">
        <v>4429</v>
      </c>
    </row>
    <row r="405" spans="1:31" hidden="1" x14ac:dyDescent="0.25">
      <c r="A405">
        <v>404</v>
      </c>
      <c r="B405" t="s">
        <v>149</v>
      </c>
      <c r="C405" t="s">
        <v>4430</v>
      </c>
      <c r="D405" t="s">
        <v>4391</v>
      </c>
      <c r="E405" t="s">
        <v>35</v>
      </c>
      <c r="F405" t="s">
        <v>36</v>
      </c>
      <c r="G405" t="s">
        <v>4431</v>
      </c>
      <c r="H405" t="s">
        <v>4234</v>
      </c>
      <c r="I405" t="s">
        <v>240</v>
      </c>
      <c r="J405" t="s">
        <v>4432</v>
      </c>
      <c r="K405" t="s">
        <v>4433</v>
      </c>
      <c r="L405" s="23" t="s">
        <v>4434</v>
      </c>
      <c r="M405" s="23" t="s">
        <v>590</v>
      </c>
      <c r="N405" s="23" t="s">
        <v>155</v>
      </c>
      <c r="O405" s="23" t="s">
        <v>4319</v>
      </c>
      <c r="P405" s="23" t="s">
        <v>4435</v>
      </c>
      <c r="Q405" s="23" t="s">
        <v>102</v>
      </c>
      <c r="R405" s="23" t="s">
        <v>1608</v>
      </c>
      <c r="S405" s="23" t="s">
        <v>4436</v>
      </c>
      <c r="T405" s="23" t="s">
        <v>3063</v>
      </c>
      <c r="U405" s="23" t="s">
        <v>155</v>
      </c>
      <c r="V405" s="23" t="s">
        <v>257</v>
      </c>
      <c r="W405" s="23" t="s">
        <v>1485</v>
      </c>
      <c r="X405" s="23" t="s">
        <v>1915</v>
      </c>
      <c r="Y405" s="23" t="s">
        <v>1964</v>
      </c>
      <c r="Z405" s="23" t="s">
        <v>223</v>
      </c>
      <c r="AA405" s="23" t="s">
        <v>2608</v>
      </c>
      <c r="AB405" s="23" t="s">
        <v>4141</v>
      </c>
      <c r="AC405" s="23" t="s">
        <v>255</v>
      </c>
      <c r="AD405" s="23" t="s">
        <v>1092</v>
      </c>
      <c r="AE405" s="23" t="s">
        <v>4437</v>
      </c>
    </row>
    <row r="406" spans="1:31" hidden="1" x14ac:dyDescent="0.25">
      <c r="A406">
        <v>405</v>
      </c>
      <c r="B406" t="s">
        <v>149</v>
      </c>
      <c r="C406" t="s">
        <v>4232</v>
      </c>
      <c r="D406" t="s">
        <v>4391</v>
      </c>
      <c r="E406" t="s">
        <v>35</v>
      </c>
      <c r="F406" t="s">
        <v>36</v>
      </c>
      <c r="G406" t="s">
        <v>4233</v>
      </c>
      <c r="H406" t="s">
        <v>4234</v>
      </c>
      <c r="I406" t="s">
        <v>240</v>
      </c>
      <c r="J406" t="s">
        <v>4235</v>
      </c>
      <c r="K406" t="s">
        <v>4236</v>
      </c>
      <c r="L406" s="23" t="s">
        <v>2789</v>
      </c>
      <c r="M406" s="23" t="s">
        <v>69</v>
      </c>
      <c r="N406" s="23" t="s">
        <v>114</v>
      </c>
      <c r="O406" s="23" t="s">
        <v>1144</v>
      </c>
      <c r="P406" s="23" t="s">
        <v>528</v>
      </c>
      <c r="Q406" s="23" t="s">
        <v>559</v>
      </c>
      <c r="R406" s="23" t="s">
        <v>94</v>
      </c>
      <c r="S406" s="23" t="s">
        <v>4289</v>
      </c>
      <c r="T406" s="23" t="s">
        <v>650</v>
      </c>
      <c r="U406" s="23" t="s">
        <v>347</v>
      </c>
      <c r="V406" s="23" t="s">
        <v>94</v>
      </c>
      <c r="W406" s="23" t="s">
        <v>767</v>
      </c>
      <c r="X406" s="23" t="s">
        <v>1177</v>
      </c>
      <c r="Y406" s="23" t="s">
        <v>192</v>
      </c>
      <c r="Z406" s="23" t="s">
        <v>114</v>
      </c>
      <c r="AA406" s="23" t="s">
        <v>4290</v>
      </c>
      <c r="AB406" s="23" t="s">
        <v>4291</v>
      </c>
      <c r="AC406" s="23" t="s">
        <v>358</v>
      </c>
      <c r="AD406" s="23" t="s">
        <v>104</v>
      </c>
      <c r="AE406" s="23" t="s">
        <v>4292</v>
      </c>
    </row>
    <row r="407" spans="1:31" hidden="1" x14ac:dyDescent="0.25">
      <c r="A407">
        <v>406</v>
      </c>
      <c r="B407" t="s">
        <v>149</v>
      </c>
      <c r="C407" t="s">
        <v>4438</v>
      </c>
      <c r="D407" t="s">
        <v>4391</v>
      </c>
      <c r="E407" t="s">
        <v>35</v>
      </c>
      <c r="F407" t="s">
        <v>36</v>
      </c>
      <c r="G407" t="s">
        <v>4439</v>
      </c>
      <c r="H407" t="s">
        <v>4440</v>
      </c>
      <c r="I407" t="s">
        <v>240</v>
      </c>
      <c r="J407" t="s">
        <v>4441</v>
      </c>
      <c r="K407" t="s">
        <v>4442</v>
      </c>
      <c r="L407" s="23" t="s">
        <v>553</v>
      </c>
      <c r="M407" s="23" t="s">
        <v>118</v>
      </c>
      <c r="N407" s="23" t="s">
        <v>114</v>
      </c>
      <c r="O407" s="23" t="s">
        <v>2872</v>
      </c>
      <c r="P407" s="23" t="s">
        <v>4443</v>
      </c>
      <c r="Q407" s="23" t="s">
        <v>1507</v>
      </c>
      <c r="R407" s="23" t="s">
        <v>104</v>
      </c>
      <c r="S407" s="23" t="s">
        <v>1455</v>
      </c>
      <c r="T407" s="23" t="s">
        <v>4423</v>
      </c>
      <c r="U407" s="23" t="s">
        <v>479</v>
      </c>
      <c r="V407" s="23" t="s">
        <v>94</v>
      </c>
      <c r="W407" s="23" t="s">
        <v>3913</v>
      </c>
      <c r="X407" s="23" t="s">
        <v>4444</v>
      </c>
      <c r="Y407" s="23" t="s">
        <v>151</v>
      </c>
      <c r="Z407" s="23" t="s">
        <v>150</v>
      </c>
      <c r="AA407" s="23" t="s">
        <v>2645</v>
      </c>
      <c r="AB407" s="23" t="s">
        <v>3669</v>
      </c>
      <c r="AC407" s="23" t="s">
        <v>154</v>
      </c>
      <c r="AD407" s="23" t="s">
        <v>158</v>
      </c>
      <c r="AE407" s="23" t="s">
        <v>4445</v>
      </c>
    </row>
    <row r="408" spans="1:31" hidden="1" x14ac:dyDescent="0.25">
      <c r="A408">
        <v>407</v>
      </c>
      <c r="B408" t="s">
        <v>149</v>
      </c>
      <c r="C408" t="s">
        <v>4446</v>
      </c>
      <c r="D408" t="s">
        <v>4391</v>
      </c>
      <c r="E408" t="s">
        <v>35</v>
      </c>
      <c r="F408" t="s">
        <v>36</v>
      </c>
      <c r="G408" t="s">
        <v>4447</v>
      </c>
      <c r="H408" t="s">
        <v>4448</v>
      </c>
      <c r="I408" t="s">
        <v>240</v>
      </c>
      <c r="J408" t="s">
        <v>4449</v>
      </c>
      <c r="K408" t="s">
        <v>4450</v>
      </c>
      <c r="L408" s="23" t="s">
        <v>4451</v>
      </c>
      <c r="M408" s="23" t="s">
        <v>3004</v>
      </c>
      <c r="N408" s="23" t="s">
        <v>118</v>
      </c>
      <c r="O408" s="23" t="s">
        <v>4452</v>
      </c>
      <c r="P408" s="23" t="s">
        <v>4453</v>
      </c>
      <c r="Q408" s="23" t="s">
        <v>3198</v>
      </c>
      <c r="R408" s="23" t="s">
        <v>932</v>
      </c>
      <c r="S408" s="23" t="s">
        <v>4454</v>
      </c>
      <c r="T408" s="23" t="s">
        <v>4455</v>
      </c>
      <c r="U408" s="23" t="s">
        <v>117</v>
      </c>
      <c r="V408" s="23" t="s">
        <v>32</v>
      </c>
      <c r="W408" s="23" t="s">
        <v>4456</v>
      </c>
      <c r="X408" s="23" t="s">
        <v>4457</v>
      </c>
      <c r="Y408" s="23" t="s">
        <v>1026</v>
      </c>
      <c r="Z408" s="23" t="s">
        <v>196</v>
      </c>
      <c r="AA408" s="23" t="s">
        <v>1530</v>
      </c>
      <c r="AB408" s="23" t="s">
        <v>4458</v>
      </c>
      <c r="AC408" s="23" t="s">
        <v>4459</v>
      </c>
      <c r="AD408" s="23" t="s">
        <v>3004</v>
      </c>
      <c r="AE408" s="23" t="s">
        <v>4460</v>
      </c>
    </row>
    <row r="409" spans="1:31" hidden="1" x14ac:dyDescent="0.25">
      <c r="A409">
        <v>408</v>
      </c>
      <c r="B409" t="s">
        <v>149</v>
      </c>
      <c r="C409" t="s">
        <v>4390</v>
      </c>
      <c r="D409" t="s">
        <v>4391</v>
      </c>
      <c r="E409" t="s">
        <v>35</v>
      </c>
      <c r="F409" t="s">
        <v>162</v>
      </c>
      <c r="G409" t="s">
        <v>4392</v>
      </c>
      <c r="H409" t="s">
        <v>4234</v>
      </c>
      <c r="I409" t="s">
        <v>300</v>
      </c>
      <c r="J409" t="s">
        <v>4393</v>
      </c>
      <c r="K409" t="s">
        <v>4394</v>
      </c>
      <c r="L409" s="23" t="s">
        <v>4461</v>
      </c>
      <c r="M409" s="23" t="s">
        <v>322</v>
      </c>
      <c r="N409" s="23" t="s">
        <v>244</v>
      </c>
      <c r="O409" s="23" t="s">
        <v>4462</v>
      </c>
      <c r="P409" s="23" t="s">
        <v>4463</v>
      </c>
      <c r="Q409" s="23" t="s">
        <v>1528</v>
      </c>
      <c r="R409" s="23" t="s">
        <v>118</v>
      </c>
      <c r="S409" s="23" t="s">
        <v>4464</v>
      </c>
      <c r="T409" s="23" t="s">
        <v>4465</v>
      </c>
      <c r="U409" s="23" t="s">
        <v>535</v>
      </c>
      <c r="V409" s="23" t="s">
        <v>93</v>
      </c>
      <c r="W409" s="23" t="s">
        <v>4466</v>
      </c>
      <c r="X409" s="23" t="s">
        <v>4467</v>
      </c>
      <c r="Y409" s="23" t="s">
        <v>4468</v>
      </c>
      <c r="Z409" s="23" t="s">
        <v>77</v>
      </c>
      <c r="AA409" s="23" t="s">
        <v>1028</v>
      </c>
      <c r="AB409" s="23" t="s">
        <v>4469</v>
      </c>
      <c r="AC409" s="23" t="s">
        <v>4470</v>
      </c>
      <c r="AD409" s="23" t="s">
        <v>487</v>
      </c>
      <c r="AE409" s="23" t="s">
        <v>4471</v>
      </c>
    </row>
    <row r="410" spans="1:31" hidden="1" x14ac:dyDescent="0.25">
      <c r="A410">
        <v>409</v>
      </c>
      <c r="B410" t="s">
        <v>149</v>
      </c>
      <c r="C410" t="s">
        <v>4402</v>
      </c>
      <c r="D410" t="s">
        <v>4391</v>
      </c>
      <c r="E410" t="s">
        <v>35</v>
      </c>
      <c r="F410" t="s">
        <v>162</v>
      </c>
      <c r="G410" t="s">
        <v>4403</v>
      </c>
      <c r="H410" t="s">
        <v>4234</v>
      </c>
      <c r="I410" t="s">
        <v>300</v>
      </c>
      <c r="J410" t="s">
        <v>4404</v>
      </c>
      <c r="K410" t="s">
        <v>4405</v>
      </c>
      <c r="L410" s="23" t="s">
        <v>4472</v>
      </c>
      <c r="M410" s="23" t="s">
        <v>281</v>
      </c>
      <c r="N410" s="23" t="s">
        <v>81</v>
      </c>
      <c r="O410" s="23" t="s">
        <v>4019</v>
      </c>
      <c r="P410" s="23" t="s">
        <v>4473</v>
      </c>
      <c r="Q410" s="23" t="s">
        <v>96</v>
      </c>
      <c r="R410" s="23" t="s">
        <v>264</v>
      </c>
      <c r="S410" s="23" t="s">
        <v>4474</v>
      </c>
      <c r="T410" s="23" t="s">
        <v>4475</v>
      </c>
      <c r="U410" s="23" t="s">
        <v>1418</v>
      </c>
      <c r="V410" s="23" t="s">
        <v>80</v>
      </c>
      <c r="W410" s="23" t="s">
        <v>4476</v>
      </c>
      <c r="X410" s="23" t="s">
        <v>4477</v>
      </c>
      <c r="Y410" s="23" t="s">
        <v>1403</v>
      </c>
      <c r="Z410" s="23" t="s">
        <v>81</v>
      </c>
      <c r="AA410" s="23" t="s">
        <v>4478</v>
      </c>
      <c r="AB410" s="23" t="s">
        <v>4479</v>
      </c>
      <c r="AC410" s="23" t="s">
        <v>736</v>
      </c>
      <c r="AD410" s="23" t="s">
        <v>310</v>
      </c>
      <c r="AE410" s="23" t="s">
        <v>4480</v>
      </c>
    </row>
    <row r="411" spans="1:31" hidden="1" x14ac:dyDescent="0.25">
      <c r="A411">
        <v>410</v>
      </c>
      <c r="B411" t="s">
        <v>149</v>
      </c>
      <c r="C411" t="s">
        <v>4417</v>
      </c>
      <c r="D411" t="s">
        <v>4391</v>
      </c>
      <c r="E411" t="s">
        <v>35</v>
      </c>
      <c r="F411" t="s">
        <v>162</v>
      </c>
      <c r="G411" t="s">
        <v>4418</v>
      </c>
      <c r="H411" t="s">
        <v>4234</v>
      </c>
      <c r="I411" t="s">
        <v>300</v>
      </c>
      <c r="J411" t="s">
        <v>4419</v>
      </c>
      <c r="K411" t="s">
        <v>4420</v>
      </c>
      <c r="L411" s="23" t="s">
        <v>4481</v>
      </c>
      <c r="M411" s="23" t="s">
        <v>85</v>
      </c>
      <c r="N411" s="23" t="s">
        <v>347</v>
      </c>
      <c r="O411" s="23" t="s">
        <v>2259</v>
      </c>
      <c r="P411" s="23" t="s">
        <v>4482</v>
      </c>
      <c r="Q411" s="23" t="s">
        <v>3724</v>
      </c>
      <c r="R411" s="23" t="s">
        <v>256</v>
      </c>
      <c r="S411" s="23" t="s">
        <v>4483</v>
      </c>
      <c r="T411" s="23" t="s">
        <v>4484</v>
      </c>
      <c r="U411" s="23" t="s">
        <v>281</v>
      </c>
      <c r="V411" s="23" t="s">
        <v>93</v>
      </c>
      <c r="W411" s="23" t="s">
        <v>4485</v>
      </c>
      <c r="X411" s="23" t="s">
        <v>4486</v>
      </c>
      <c r="Y411" s="23" t="s">
        <v>2958</v>
      </c>
      <c r="Z411" s="23" t="s">
        <v>570</v>
      </c>
      <c r="AA411" s="23" t="s">
        <v>2594</v>
      </c>
      <c r="AB411" s="23" t="s">
        <v>4487</v>
      </c>
      <c r="AC411" s="23" t="s">
        <v>4488</v>
      </c>
      <c r="AD411" s="23" t="s">
        <v>639</v>
      </c>
      <c r="AE411" s="23" t="s">
        <v>4489</v>
      </c>
    </row>
    <row r="412" spans="1:31" hidden="1" x14ac:dyDescent="0.25">
      <c r="A412">
        <v>411</v>
      </c>
      <c r="B412" t="s">
        <v>149</v>
      </c>
      <c r="C412" t="s">
        <v>4430</v>
      </c>
      <c r="D412" t="s">
        <v>4391</v>
      </c>
      <c r="E412" t="s">
        <v>35</v>
      </c>
      <c r="F412" t="s">
        <v>162</v>
      </c>
      <c r="G412" t="s">
        <v>4431</v>
      </c>
      <c r="H412" t="s">
        <v>4234</v>
      </c>
      <c r="I412" t="s">
        <v>300</v>
      </c>
      <c r="J412" t="s">
        <v>4432</v>
      </c>
      <c r="K412" t="s">
        <v>4433</v>
      </c>
      <c r="L412" s="23" t="s">
        <v>198</v>
      </c>
      <c r="M412" s="23" t="s">
        <v>157</v>
      </c>
      <c r="N412" s="23" t="s">
        <v>81</v>
      </c>
      <c r="O412" s="23" t="s">
        <v>4490</v>
      </c>
      <c r="P412" s="23" t="s">
        <v>900</v>
      </c>
      <c r="Q412" s="23" t="s">
        <v>184</v>
      </c>
      <c r="R412" s="23" t="s">
        <v>1312</v>
      </c>
      <c r="S412" s="23" t="s">
        <v>4491</v>
      </c>
      <c r="T412" s="23" t="s">
        <v>3288</v>
      </c>
      <c r="U412" s="23" t="s">
        <v>117</v>
      </c>
      <c r="V412" s="23" t="s">
        <v>1032</v>
      </c>
      <c r="W412" s="23" t="s">
        <v>4492</v>
      </c>
      <c r="X412" s="23" t="s">
        <v>2748</v>
      </c>
      <c r="Y412" s="23" t="s">
        <v>517</v>
      </c>
      <c r="Z412" s="23" t="s">
        <v>243</v>
      </c>
      <c r="AA412" s="23" t="s">
        <v>4493</v>
      </c>
      <c r="AB412" s="23" t="s">
        <v>4494</v>
      </c>
      <c r="AC412" s="23" t="s">
        <v>2083</v>
      </c>
      <c r="AD412" s="23" t="s">
        <v>141</v>
      </c>
      <c r="AE412" s="23" t="s">
        <v>4495</v>
      </c>
    </row>
    <row r="413" spans="1:31" hidden="1" x14ac:dyDescent="0.25">
      <c r="A413">
        <v>412</v>
      </c>
      <c r="B413" t="s">
        <v>149</v>
      </c>
      <c r="C413" t="s">
        <v>4232</v>
      </c>
      <c r="D413" t="s">
        <v>4391</v>
      </c>
      <c r="E413" t="s">
        <v>35</v>
      </c>
      <c r="F413" t="s">
        <v>162</v>
      </c>
      <c r="G413" t="s">
        <v>4233</v>
      </c>
      <c r="H413" t="s">
        <v>4234</v>
      </c>
      <c r="I413" t="s">
        <v>300</v>
      </c>
      <c r="J413" t="s">
        <v>4235</v>
      </c>
      <c r="K413" t="s">
        <v>4236</v>
      </c>
      <c r="L413" s="23" t="s">
        <v>4045</v>
      </c>
      <c r="M413" s="23" t="s">
        <v>93</v>
      </c>
      <c r="N413" s="23" t="s">
        <v>94</v>
      </c>
      <c r="O413" s="23" t="s">
        <v>1104</v>
      </c>
      <c r="P413" s="23" t="s">
        <v>3892</v>
      </c>
      <c r="Q413" s="23" t="s">
        <v>253</v>
      </c>
      <c r="R413" s="23" t="s">
        <v>114</v>
      </c>
      <c r="S413" s="23" t="s">
        <v>1451</v>
      </c>
      <c r="T413" s="23" t="s">
        <v>75</v>
      </c>
      <c r="U413" s="23" t="s">
        <v>122</v>
      </c>
      <c r="V413" s="23" t="s">
        <v>114</v>
      </c>
      <c r="W413" s="23" t="s">
        <v>2188</v>
      </c>
      <c r="X413" s="23" t="s">
        <v>3663</v>
      </c>
      <c r="Y413" s="23" t="s">
        <v>193</v>
      </c>
      <c r="Z413" s="23" t="s">
        <v>114</v>
      </c>
      <c r="AA413" s="23" t="s">
        <v>2200</v>
      </c>
      <c r="AB413" s="23" t="s">
        <v>1887</v>
      </c>
      <c r="AC413" s="23" t="s">
        <v>189</v>
      </c>
      <c r="AD413" s="23" t="s">
        <v>94</v>
      </c>
      <c r="AE413" s="23" t="s">
        <v>1897</v>
      </c>
    </row>
    <row r="414" spans="1:31" hidden="1" x14ac:dyDescent="0.25">
      <c r="A414">
        <v>413</v>
      </c>
      <c r="B414" t="s">
        <v>149</v>
      </c>
      <c r="C414" t="s">
        <v>4438</v>
      </c>
      <c r="D414" t="s">
        <v>4391</v>
      </c>
      <c r="E414" t="s">
        <v>35</v>
      </c>
      <c r="F414" t="s">
        <v>162</v>
      </c>
      <c r="G414" t="s">
        <v>4439</v>
      </c>
      <c r="H414" t="s">
        <v>4440</v>
      </c>
      <c r="I414" t="s">
        <v>300</v>
      </c>
      <c r="J414" t="s">
        <v>4441</v>
      </c>
      <c r="K414" t="s">
        <v>4442</v>
      </c>
      <c r="L414" s="23" t="s">
        <v>1818</v>
      </c>
      <c r="M414" s="23" t="s">
        <v>118</v>
      </c>
      <c r="N414" s="23" t="s">
        <v>94</v>
      </c>
      <c r="O414" s="23" t="s">
        <v>1181</v>
      </c>
      <c r="P414" s="23" t="s">
        <v>3497</v>
      </c>
      <c r="Q414" s="23" t="s">
        <v>304</v>
      </c>
      <c r="R414" s="23" t="s">
        <v>158</v>
      </c>
      <c r="S414" s="23" t="s">
        <v>4496</v>
      </c>
      <c r="T414" s="23" t="s">
        <v>4497</v>
      </c>
      <c r="U414" s="23" t="s">
        <v>118</v>
      </c>
      <c r="V414" s="23" t="s">
        <v>94</v>
      </c>
      <c r="W414" s="23" t="s">
        <v>939</v>
      </c>
      <c r="X414" s="23" t="s">
        <v>1849</v>
      </c>
      <c r="Y414" s="23" t="s">
        <v>570</v>
      </c>
      <c r="Z414" s="23" t="s">
        <v>104</v>
      </c>
      <c r="AA414" s="23" t="s">
        <v>3265</v>
      </c>
      <c r="AB414" s="23" t="s">
        <v>4498</v>
      </c>
      <c r="AC414" s="23" t="s">
        <v>212</v>
      </c>
      <c r="AD414" s="23" t="s">
        <v>213</v>
      </c>
      <c r="AE414" s="23" t="s">
        <v>4499</v>
      </c>
    </row>
    <row r="415" spans="1:31" hidden="1" x14ac:dyDescent="0.25">
      <c r="A415">
        <v>414</v>
      </c>
      <c r="B415" t="s">
        <v>149</v>
      </c>
      <c r="C415" t="s">
        <v>4446</v>
      </c>
      <c r="D415" t="s">
        <v>4391</v>
      </c>
      <c r="E415" t="s">
        <v>35</v>
      </c>
      <c r="F415" t="s">
        <v>162</v>
      </c>
      <c r="G415" t="s">
        <v>4447</v>
      </c>
      <c r="H415" t="s">
        <v>4448</v>
      </c>
      <c r="I415" t="s">
        <v>300</v>
      </c>
      <c r="J415" t="s">
        <v>4449</v>
      </c>
      <c r="K415" t="s">
        <v>4450</v>
      </c>
      <c r="L415" s="23" t="s">
        <v>4500</v>
      </c>
      <c r="M415" s="23" t="s">
        <v>52</v>
      </c>
      <c r="N415" s="23" t="s">
        <v>336</v>
      </c>
      <c r="O415" s="23" t="s">
        <v>4501</v>
      </c>
      <c r="P415" s="23" t="s">
        <v>4502</v>
      </c>
      <c r="Q415" s="23" t="s">
        <v>2139</v>
      </c>
      <c r="R415" s="23" t="s">
        <v>591</v>
      </c>
      <c r="S415" s="23" t="s">
        <v>4503</v>
      </c>
      <c r="T415" s="23" t="s">
        <v>4504</v>
      </c>
      <c r="U415" s="23" t="s">
        <v>1717</v>
      </c>
      <c r="V415" s="23" t="s">
        <v>243</v>
      </c>
      <c r="W415" s="23" t="s">
        <v>2432</v>
      </c>
      <c r="X415" s="23" t="s">
        <v>1740</v>
      </c>
      <c r="Y415" s="23" t="s">
        <v>1728</v>
      </c>
      <c r="Z415" s="23" t="s">
        <v>211</v>
      </c>
      <c r="AA415" s="23" t="s">
        <v>4505</v>
      </c>
      <c r="AB415" s="23" t="s">
        <v>3441</v>
      </c>
      <c r="AC415" s="23" t="s">
        <v>4506</v>
      </c>
      <c r="AD415" s="23" t="s">
        <v>100</v>
      </c>
      <c r="AE415" s="23" t="s">
        <v>4507</v>
      </c>
    </row>
    <row r="416" spans="1:31" hidden="1" x14ac:dyDescent="0.25">
      <c r="A416">
        <v>415</v>
      </c>
      <c r="B416" t="s">
        <v>130</v>
      </c>
      <c r="C416" t="s">
        <v>2654</v>
      </c>
      <c r="D416" t="s">
        <v>4508</v>
      </c>
      <c r="E416" t="s">
        <v>35</v>
      </c>
      <c r="F416" t="s">
        <v>36</v>
      </c>
      <c r="G416" t="s">
        <v>2655</v>
      </c>
      <c r="H416" t="s">
        <v>2514</v>
      </c>
      <c r="I416" t="s">
        <v>163</v>
      </c>
      <c r="J416" t="s">
        <v>2656</v>
      </c>
      <c r="K416" t="s">
        <v>2657</v>
      </c>
      <c r="L416" s="23" t="s">
        <v>444</v>
      </c>
      <c r="M416" s="23" t="s">
        <v>244</v>
      </c>
      <c r="N416" s="23" t="s">
        <v>94</v>
      </c>
      <c r="O416" s="23" t="s">
        <v>590</v>
      </c>
      <c r="P416" s="23" t="s">
        <v>783</v>
      </c>
      <c r="Q416" s="23" t="s">
        <v>257</v>
      </c>
      <c r="R416" s="23" t="s">
        <v>114</v>
      </c>
      <c r="S416" s="23" t="s">
        <v>1579</v>
      </c>
      <c r="T416" s="23" t="s">
        <v>1791</v>
      </c>
      <c r="U416" s="23" t="s">
        <v>104</v>
      </c>
      <c r="V416" s="23" t="s">
        <v>114</v>
      </c>
      <c r="W416" s="23" t="s">
        <v>166</v>
      </c>
      <c r="X416" s="23" t="s">
        <v>556</v>
      </c>
      <c r="Y416" s="23" t="s">
        <v>114</v>
      </c>
      <c r="Z416" s="23" t="s">
        <v>114</v>
      </c>
      <c r="AA416" s="23" t="s">
        <v>556</v>
      </c>
      <c r="AB416" s="23" t="s">
        <v>2658</v>
      </c>
      <c r="AC416" s="23" t="s">
        <v>103</v>
      </c>
      <c r="AD416" s="23" t="s">
        <v>94</v>
      </c>
      <c r="AE416" s="23" t="s">
        <v>520</v>
      </c>
    </row>
    <row r="417" spans="1:31" hidden="1" x14ac:dyDescent="0.25">
      <c r="A417">
        <v>416</v>
      </c>
      <c r="B417" t="s">
        <v>192</v>
      </c>
      <c r="C417" t="s">
        <v>4509</v>
      </c>
      <c r="D417" t="s">
        <v>4508</v>
      </c>
      <c r="E417" t="s">
        <v>35</v>
      </c>
      <c r="F417" t="s">
        <v>36</v>
      </c>
      <c r="G417" t="s">
        <v>4510</v>
      </c>
      <c r="H417" t="s">
        <v>4511</v>
      </c>
      <c r="I417" t="s">
        <v>300</v>
      </c>
      <c r="J417" t="s">
        <v>4512</v>
      </c>
      <c r="K417" t="s">
        <v>4513</v>
      </c>
      <c r="L417" s="23" t="s">
        <v>4514</v>
      </c>
      <c r="M417" s="23" t="s">
        <v>4515</v>
      </c>
      <c r="N417" s="23" t="s">
        <v>1511</v>
      </c>
      <c r="O417" s="23" t="s">
        <v>456</v>
      </c>
      <c r="P417" s="23" t="s">
        <v>4516</v>
      </c>
      <c r="Q417" s="23" t="s">
        <v>1465</v>
      </c>
      <c r="R417" s="23" t="s">
        <v>4517</v>
      </c>
      <c r="S417" s="23" t="s">
        <v>4518</v>
      </c>
      <c r="T417" s="23" t="s">
        <v>3050</v>
      </c>
      <c r="U417" s="23" t="s">
        <v>2031</v>
      </c>
      <c r="V417" s="23" t="s">
        <v>676</v>
      </c>
      <c r="W417" s="23" t="s">
        <v>4519</v>
      </c>
      <c r="X417" s="23" t="s">
        <v>4520</v>
      </c>
      <c r="Y417" s="23" t="s">
        <v>3687</v>
      </c>
      <c r="Z417" s="23" t="s">
        <v>4521</v>
      </c>
      <c r="AA417" s="23" t="s">
        <v>4522</v>
      </c>
      <c r="AB417" s="23" t="s">
        <v>4523</v>
      </c>
      <c r="AC417" s="23" t="s">
        <v>4524</v>
      </c>
      <c r="AD417" s="23" t="s">
        <v>4525</v>
      </c>
      <c r="AE417" s="23" t="s">
        <v>4526</v>
      </c>
    </row>
    <row r="418" spans="1:31" hidden="1" x14ac:dyDescent="0.25">
      <c r="A418">
        <v>417</v>
      </c>
      <c r="B418" t="s">
        <v>192</v>
      </c>
      <c r="C418" t="s">
        <v>4527</v>
      </c>
      <c r="D418" t="s">
        <v>4508</v>
      </c>
      <c r="E418" t="s">
        <v>35</v>
      </c>
      <c r="F418" t="s">
        <v>36</v>
      </c>
      <c r="G418" t="s">
        <v>4528</v>
      </c>
      <c r="H418" t="s">
        <v>4511</v>
      </c>
      <c r="I418" t="s">
        <v>300</v>
      </c>
      <c r="J418" t="s">
        <v>4529</v>
      </c>
      <c r="K418" t="s">
        <v>4530</v>
      </c>
      <c r="L418" s="23" t="s">
        <v>2048</v>
      </c>
      <c r="M418" s="23" t="s">
        <v>192</v>
      </c>
      <c r="N418" s="23" t="s">
        <v>114</v>
      </c>
      <c r="O418" s="23" t="s">
        <v>2438</v>
      </c>
      <c r="P418" s="23" t="s">
        <v>4531</v>
      </c>
      <c r="Q418" s="23" t="s">
        <v>155</v>
      </c>
      <c r="R418" s="23" t="s">
        <v>98</v>
      </c>
      <c r="S418" s="23" t="s">
        <v>1621</v>
      </c>
      <c r="T418" s="23" t="s">
        <v>1345</v>
      </c>
      <c r="U418" s="23" t="s">
        <v>243</v>
      </c>
      <c r="V418" s="23" t="s">
        <v>114</v>
      </c>
      <c r="W418" s="23" t="s">
        <v>4532</v>
      </c>
      <c r="X418" s="23" t="s">
        <v>99</v>
      </c>
      <c r="Y418" s="23" t="s">
        <v>153</v>
      </c>
      <c r="Z418" s="23" t="s">
        <v>114</v>
      </c>
      <c r="AA418" s="23" t="s">
        <v>3103</v>
      </c>
      <c r="AB418" s="23" t="s">
        <v>4533</v>
      </c>
      <c r="AC418" s="23" t="s">
        <v>991</v>
      </c>
      <c r="AD418" s="23" t="s">
        <v>98</v>
      </c>
      <c r="AE418" s="23" t="s">
        <v>4534</v>
      </c>
    </row>
    <row r="419" spans="1:31" hidden="1" x14ac:dyDescent="0.25">
      <c r="A419">
        <v>418</v>
      </c>
      <c r="B419" t="s">
        <v>192</v>
      </c>
      <c r="C419" t="s">
        <v>4535</v>
      </c>
      <c r="D419" t="s">
        <v>4508</v>
      </c>
      <c r="E419" t="s">
        <v>35</v>
      </c>
      <c r="F419" t="s">
        <v>36</v>
      </c>
      <c r="G419" t="s">
        <v>4536</v>
      </c>
      <c r="H419" t="s">
        <v>4511</v>
      </c>
      <c r="I419" t="s">
        <v>300</v>
      </c>
      <c r="J419" t="s">
        <v>4537</v>
      </c>
      <c r="K419" t="s">
        <v>4538</v>
      </c>
      <c r="L419" s="23" t="s">
        <v>1813</v>
      </c>
      <c r="M419" s="23" t="s">
        <v>223</v>
      </c>
      <c r="N419" s="23" t="s">
        <v>153</v>
      </c>
      <c r="O419" s="23" t="s">
        <v>1668</v>
      </c>
      <c r="P419" s="23" t="s">
        <v>4539</v>
      </c>
      <c r="Q419" s="23" t="s">
        <v>232</v>
      </c>
      <c r="R419" s="23" t="s">
        <v>426</v>
      </c>
      <c r="S419" s="23" t="s">
        <v>4540</v>
      </c>
      <c r="T419" s="23" t="s">
        <v>927</v>
      </c>
      <c r="U419" s="23" t="s">
        <v>185</v>
      </c>
      <c r="V419" s="23" t="s">
        <v>98</v>
      </c>
      <c r="W419" s="23" t="s">
        <v>387</v>
      </c>
      <c r="X419" s="23" t="s">
        <v>4133</v>
      </c>
      <c r="Y419" s="23" t="s">
        <v>559</v>
      </c>
      <c r="Z419" s="23" t="s">
        <v>244</v>
      </c>
      <c r="AA419" s="23" t="s">
        <v>4541</v>
      </c>
      <c r="AB419" s="23" t="s">
        <v>4542</v>
      </c>
      <c r="AC419" s="23" t="s">
        <v>3781</v>
      </c>
      <c r="AD419" s="23" t="s">
        <v>256</v>
      </c>
      <c r="AE419" s="23" t="s">
        <v>4543</v>
      </c>
    </row>
    <row r="420" spans="1:31" hidden="1" x14ac:dyDescent="0.25">
      <c r="A420">
        <v>419</v>
      </c>
      <c r="B420" t="s">
        <v>192</v>
      </c>
      <c r="C420" t="s">
        <v>4544</v>
      </c>
      <c r="D420" t="s">
        <v>4508</v>
      </c>
      <c r="E420" t="s">
        <v>35</v>
      </c>
      <c r="F420" t="s">
        <v>36</v>
      </c>
      <c r="G420" t="s">
        <v>4545</v>
      </c>
      <c r="H420" t="s">
        <v>3534</v>
      </c>
      <c r="I420" t="s">
        <v>300</v>
      </c>
      <c r="J420" t="s">
        <v>4546</v>
      </c>
      <c r="K420" t="s">
        <v>4547</v>
      </c>
      <c r="L420" s="23" t="s">
        <v>1556</v>
      </c>
      <c r="M420" s="23" t="s">
        <v>226</v>
      </c>
      <c r="N420" s="23" t="s">
        <v>193</v>
      </c>
      <c r="O420" s="23" t="s">
        <v>3731</v>
      </c>
      <c r="P420" s="23" t="s">
        <v>3061</v>
      </c>
      <c r="Q420" s="23" t="s">
        <v>723</v>
      </c>
      <c r="R420" s="23" t="s">
        <v>138</v>
      </c>
      <c r="S420" s="23" t="s">
        <v>3585</v>
      </c>
      <c r="T420" s="23" t="s">
        <v>3026</v>
      </c>
      <c r="U420" s="23" t="s">
        <v>278</v>
      </c>
      <c r="V420" s="23" t="s">
        <v>193</v>
      </c>
      <c r="W420" s="23" t="s">
        <v>4548</v>
      </c>
      <c r="X420" s="23" t="s">
        <v>1562</v>
      </c>
      <c r="Y420" s="23" t="s">
        <v>312</v>
      </c>
      <c r="Z420" s="23" t="s">
        <v>226</v>
      </c>
      <c r="AA420" s="23" t="s">
        <v>1413</v>
      </c>
      <c r="AB420" s="23" t="s">
        <v>4549</v>
      </c>
      <c r="AC420" s="23" t="s">
        <v>1155</v>
      </c>
      <c r="AD420" s="23" t="s">
        <v>991</v>
      </c>
      <c r="AE420" s="23" t="s">
        <v>4550</v>
      </c>
    </row>
    <row r="421" spans="1:31" hidden="1" x14ac:dyDescent="0.25">
      <c r="A421">
        <v>420</v>
      </c>
      <c r="B421" t="s">
        <v>130</v>
      </c>
      <c r="C421" t="s">
        <v>2654</v>
      </c>
      <c r="D421" t="s">
        <v>4508</v>
      </c>
      <c r="E421" t="s">
        <v>35</v>
      </c>
      <c r="F421" t="s">
        <v>162</v>
      </c>
      <c r="G421" t="s">
        <v>2655</v>
      </c>
      <c r="H421" t="s">
        <v>2514</v>
      </c>
      <c r="I421" t="s">
        <v>39</v>
      </c>
      <c r="J421" t="s">
        <v>2656</v>
      </c>
      <c r="K421" t="s">
        <v>2657</v>
      </c>
      <c r="L421" s="23" t="s">
        <v>525</v>
      </c>
      <c r="M421" s="23" t="s">
        <v>150</v>
      </c>
      <c r="N421" s="23" t="s">
        <v>114</v>
      </c>
      <c r="O421" s="23" t="s">
        <v>1996</v>
      </c>
      <c r="P421" s="23" t="s">
        <v>206</v>
      </c>
      <c r="Q421" s="23" t="s">
        <v>257</v>
      </c>
      <c r="R421" s="23" t="s">
        <v>114</v>
      </c>
      <c r="S421" s="23" t="s">
        <v>2770</v>
      </c>
      <c r="T421" s="23" t="s">
        <v>2771</v>
      </c>
      <c r="U421" s="23" t="s">
        <v>150</v>
      </c>
      <c r="V421" s="23" t="s">
        <v>114</v>
      </c>
      <c r="W421" s="23" t="s">
        <v>133</v>
      </c>
      <c r="X421" s="23" t="s">
        <v>73</v>
      </c>
      <c r="Y421" s="23" t="s">
        <v>94</v>
      </c>
      <c r="Z421" s="23" t="s">
        <v>114</v>
      </c>
      <c r="AA421" s="23" t="s">
        <v>245</v>
      </c>
      <c r="AB421" s="23" t="s">
        <v>2772</v>
      </c>
      <c r="AC421" s="23" t="s">
        <v>103</v>
      </c>
      <c r="AD421" s="23" t="s">
        <v>114</v>
      </c>
      <c r="AE421" s="23" t="s">
        <v>734</v>
      </c>
    </row>
    <row r="422" spans="1:31" hidden="1" x14ac:dyDescent="0.25">
      <c r="A422">
        <v>421</v>
      </c>
      <c r="B422" t="s">
        <v>192</v>
      </c>
      <c r="C422" t="s">
        <v>4509</v>
      </c>
      <c r="D422" t="s">
        <v>4508</v>
      </c>
      <c r="E422" t="s">
        <v>35</v>
      </c>
      <c r="F422" t="s">
        <v>162</v>
      </c>
      <c r="G422" t="s">
        <v>4510</v>
      </c>
      <c r="H422" t="s">
        <v>4511</v>
      </c>
      <c r="I422" t="s">
        <v>240</v>
      </c>
      <c r="J422" t="s">
        <v>4512</v>
      </c>
      <c r="K422" t="s">
        <v>4513</v>
      </c>
      <c r="L422" s="23" t="s">
        <v>2522</v>
      </c>
      <c r="M422" s="23" t="s">
        <v>4551</v>
      </c>
      <c r="N422" s="23" t="s">
        <v>4552</v>
      </c>
      <c r="O422" s="23" t="s">
        <v>4553</v>
      </c>
      <c r="P422" s="23" t="s">
        <v>4554</v>
      </c>
      <c r="Q422" s="23" t="s">
        <v>2623</v>
      </c>
      <c r="R422" s="23" t="s">
        <v>1401</v>
      </c>
      <c r="S422" s="23" t="s">
        <v>4555</v>
      </c>
      <c r="T422" s="23" t="s">
        <v>4556</v>
      </c>
      <c r="U422" s="23" t="s">
        <v>1511</v>
      </c>
      <c r="V422" s="23" t="s">
        <v>141</v>
      </c>
      <c r="W422" s="23" t="s">
        <v>4557</v>
      </c>
      <c r="X422" s="23" t="s">
        <v>4558</v>
      </c>
      <c r="Y422" s="23" t="s">
        <v>3027</v>
      </c>
      <c r="Z422" s="23" t="s">
        <v>2437</v>
      </c>
      <c r="AA422" s="23" t="s">
        <v>4559</v>
      </c>
      <c r="AB422" s="23" t="s">
        <v>4560</v>
      </c>
      <c r="AC422" s="23" t="s">
        <v>4561</v>
      </c>
      <c r="AD422" s="23" t="s">
        <v>299</v>
      </c>
      <c r="AE422" s="23" t="s">
        <v>4562</v>
      </c>
    </row>
    <row r="423" spans="1:31" hidden="1" x14ac:dyDescent="0.25">
      <c r="A423">
        <v>422</v>
      </c>
      <c r="B423" t="s">
        <v>192</v>
      </c>
      <c r="C423" t="s">
        <v>4527</v>
      </c>
      <c r="D423" t="s">
        <v>4508</v>
      </c>
      <c r="E423" t="s">
        <v>35</v>
      </c>
      <c r="F423" t="s">
        <v>162</v>
      </c>
      <c r="G423" t="s">
        <v>4528</v>
      </c>
      <c r="H423" t="s">
        <v>4511</v>
      </c>
      <c r="I423" t="s">
        <v>240</v>
      </c>
      <c r="J423" t="s">
        <v>4529</v>
      </c>
      <c r="K423" t="s">
        <v>4530</v>
      </c>
      <c r="L423" s="23" t="s">
        <v>4515</v>
      </c>
      <c r="M423" s="23" t="s">
        <v>282</v>
      </c>
      <c r="N423" s="23" t="s">
        <v>94</v>
      </c>
      <c r="O423" s="23" t="s">
        <v>2768</v>
      </c>
      <c r="P423" s="23" t="s">
        <v>938</v>
      </c>
      <c r="Q423" s="23" t="s">
        <v>216</v>
      </c>
      <c r="R423" s="23" t="s">
        <v>122</v>
      </c>
      <c r="S423" s="23" t="s">
        <v>4563</v>
      </c>
      <c r="T423" s="23" t="s">
        <v>2650</v>
      </c>
      <c r="U423" s="23" t="s">
        <v>153</v>
      </c>
      <c r="V423" s="23" t="s">
        <v>114</v>
      </c>
      <c r="W423" s="23" t="s">
        <v>4564</v>
      </c>
      <c r="X423" s="23" t="s">
        <v>498</v>
      </c>
      <c r="Y423" s="23" t="s">
        <v>336</v>
      </c>
      <c r="Z423" s="23" t="s">
        <v>114</v>
      </c>
      <c r="AA423" s="23" t="s">
        <v>1165</v>
      </c>
      <c r="AB423" s="23" t="s">
        <v>4565</v>
      </c>
      <c r="AC423" s="23" t="s">
        <v>366</v>
      </c>
      <c r="AD423" s="23" t="s">
        <v>77</v>
      </c>
      <c r="AE423" s="23" t="s">
        <v>53</v>
      </c>
    </row>
    <row r="424" spans="1:31" hidden="1" x14ac:dyDescent="0.25">
      <c r="A424">
        <v>423</v>
      </c>
      <c r="B424" t="s">
        <v>192</v>
      </c>
      <c r="C424" t="s">
        <v>4535</v>
      </c>
      <c r="D424" t="s">
        <v>4508</v>
      </c>
      <c r="E424" t="s">
        <v>35</v>
      </c>
      <c r="F424" t="s">
        <v>162</v>
      </c>
      <c r="G424" t="s">
        <v>4536</v>
      </c>
      <c r="H424" t="s">
        <v>4511</v>
      </c>
      <c r="I424" t="s">
        <v>240</v>
      </c>
      <c r="J424" t="s">
        <v>4537</v>
      </c>
      <c r="K424" t="s">
        <v>4538</v>
      </c>
      <c r="L424" s="23" t="s">
        <v>3126</v>
      </c>
      <c r="M424" s="23" t="s">
        <v>559</v>
      </c>
      <c r="N424" s="23" t="s">
        <v>246</v>
      </c>
      <c r="O424" s="23" t="s">
        <v>3112</v>
      </c>
      <c r="P424" s="23" t="s">
        <v>494</v>
      </c>
      <c r="Q424" s="23" t="s">
        <v>601</v>
      </c>
      <c r="R424" s="23" t="s">
        <v>426</v>
      </c>
      <c r="S424" s="23" t="s">
        <v>4566</v>
      </c>
      <c r="T424" s="23" t="s">
        <v>4283</v>
      </c>
      <c r="U424" s="23" t="s">
        <v>1032</v>
      </c>
      <c r="V424" s="23" t="s">
        <v>94</v>
      </c>
      <c r="W424" s="23" t="s">
        <v>4567</v>
      </c>
      <c r="X424" s="23" t="s">
        <v>182</v>
      </c>
      <c r="Y424" s="23" t="s">
        <v>297</v>
      </c>
      <c r="Z424" s="23" t="s">
        <v>158</v>
      </c>
      <c r="AA424" s="23" t="s">
        <v>2954</v>
      </c>
      <c r="AB424" s="23" t="s">
        <v>4568</v>
      </c>
      <c r="AC424" s="23" t="s">
        <v>307</v>
      </c>
      <c r="AD424" s="23" t="s">
        <v>120</v>
      </c>
      <c r="AE424" s="23" t="s">
        <v>4569</v>
      </c>
    </row>
    <row r="425" spans="1:31" hidden="1" x14ac:dyDescent="0.25">
      <c r="A425">
        <v>424</v>
      </c>
      <c r="B425" t="s">
        <v>192</v>
      </c>
      <c r="C425" t="s">
        <v>4544</v>
      </c>
      <c r="D425" t="s">
        <v>4508</v>
      </c>
      <c r="E425" t="s">
        <v>35</v>
      </c>
      <c r="F425" t="s">
        <v>162</v>
      </c>
      <c r="G425" t="s">
        <v>4545</v>
      </c>
      <c r="H425" t="s">
        <v>3534</v>
      </c>
      <c r="I425" t="s">
        <v>240</v>
      </c>
      <c r="J425" t="s">
        <v>4546</v>
      </c>
      <c r="K425" t="s">
        <v>4547</v>
      </c>
      <c r="L425" s="23" t="s">
        <v>3379</v>
      </c>
      <c r="M425" s="23" t="s">
        <v>119</v>
      </c>
      <c r="N425" s="23" t="s">
        <v>77</v>
      </c>
      <c r="O425" s="23" t="s">
        <v>4570</v>
      </c>
      <c r="P425" s="23" t="s">
        <v>1805</v>
      </c>
      <c r="Q425" s="23" t="s">
        <v>594</v>
      </c>
      <c r="R425" s="23" t="s">
        <v>151</v>
      </c>
      <c r="S425" s="23" t="s">
        <v>1694</v>
      </c>
      <c r="T425" s="23" t="s">
        <v>619</v>
      </c>
      <c r="U425" s="23" t="s">
        <v>297</v>
      </c>
      <c r="V425" s="23" t="s">
        <v>93</v>
      </c>
      <c r="W425" s="23" t="s">
        <v>632</v>
      </c>
      <c r="X425" s="23" t="s">
        <v>357</v>
      </c>
      <c r="Y425" s="23" t="s">
        <v>714</v>
      </c>
      <c r="Z425" s="23" t="s">
        <v>189</v>
      </c>
      <c r="AA425" s="23" t="s">
        <v>1804</v>
      </c>
      <c r="AB425" s="23" t="s">
        <v>175</v>
      </c>
      <c r="AC425" s="23" t="s">
        <v>1922</v>
      </c>
      <c r="AD425" s="23" t="s">
        <v>302</v>
      </c>
      <c r="AE425" s="23" t="s">
        <v>4571</v>
      </c>
    </row>
    <row r="426" spans="1:31" hidden="1" x14ac:dyDescent="0.25">
      <c r="A426">
        <v>425</v>
      </c>
      <c r="B426" t="s">
        <v>1032</v>
      </c>
      <c r="C426" t="s">
        <v>4572</v>
      </c>
      <c r="D426" t="s">
        <v>4573</v>
      </c>
      <c r="E426" t="s">
        <v>35</v>
      </c>
      <c r="F426" t="s">
        <v>36</v>
      </c>
      <c r="G426" t="s">
        <v>4574</v>
      </c>
      <c r="H426" t="s">
        <v>4575</v>
      </c>
      <c r="I426" t="s">
        <v>300</v>
      </c>
      <c r="J426" t="s">
        <v>4576</v>
      </c>
      <c r="K426" t="s">
        <v>4577</v>
      </c>
      <c r="L426" s="23" t="s">
        <v>4578</v>
      </c>
      <c r="M426" s="23" t="s">
        <v>1579</v>
      </c>
      <c r="N426" s="23" t="s">
        <v>1712</v>
      </c>
      <c r="O426" s="23" t="s">
        <v>4579</v>
      </c>
      <c r="P426" s="23" t="s">
        <v>4580</v>
      </c>
      <c r="Q426" s="23" t="s">
        <v>3918</v>
      </c>
      <c r="R426" s="23" t="s">
        <v>998</v>
      </c>
      <c r="S426" s="23" t="s">
        <v>4581</v>
      </c>
      <c r="T426" s="23" t="s">
        <v>4492</v>
      </c>
      <c r="U426" s="23" t="s">
        <v>100</v>
      </c>
      <c r="V426" s="23" t="s">
        <v>465</v>
      </c>
      <c r="W426" s="23" t="s">
        <v>4582</v>
      </c>
      <c r="X426" s="23" t="s">
        <v>4583</v>
      </c>
      <c r="Y426" s="23" t="s">
        <v>3765</v>
      </c>
      <c r="Z426" s="23" t="s">
        <v>3401</v>
      </c>
      <c r="AA426" s="23" t="s">
        <v>4584</v>
      </c>
      <c r="AB426" s="23" t="s">
        <v>4585</v>
      </c>
      <c r="AC426" s="23" t="s">
        <v>1927</v>
      </c>
      <c r="AD426" s="23" t="s">
        <v>4586</v>
      </c>
      <c r="AE426" s="23" t="s">
        <v>4587</v>
      </c>
    </row>
    <row r="427" spans="1:31" hidden="1" x14ac:dyDescent="0.25">
      <c r="A427">
        <v>426</v>
      </c>
      <c r="B427" t="s">
        <v>1032</v>
      </c>
      <c r="C427" t="s">
        <v>4588</v>
      </c>
      <c r="D427" t="s">
        <v>4573</v>
      </c>
      <c r="E427" t="s">
        <v>35</v>
      </c>
      <c r="F427" t="s">
        <v>36</v>
      </c>
      <c r="G427" t="s">
        <v>4589</v>
      </c>
      <c r="H427" t="s">
        <v>4575</v>
      </c>
      <c r="I427" t="s">
        <v>39</v>
      </c>
      <c r="J427" t="s">
        <v>4590</v>
      </c>
      <c r="K427" t="s">
        <v>4591</v>
      </c>
      <c r="L427" s="23" t="s">
        <v>4592</v>
      </c>
      <c r="M427" s="23" t="s">
        <v>1162</v>
      </c>
      <c r="N427" s="23" t="s">
        <v>32</v>
      </c>
      <c r="O427" s="23" t="s">
        <v>4593</v>
      </c>
      <c r="P427" s="23" t="s">
        <v>4594</v>
      </c>
      <c r="Q427" s="23" t="s">
        <v>99</v>
      </c>
      <c r="R427" s="23" t="s">
        <v>196</v>
      </c>
      <c r="S427" s="23" t="s">
        <v>931</v>
      </c>
      <c r="T427" s="23" t="s">
        <v>4033</v>
      </c>
      <c r="U427" s="23" t="s">
        <v>1728</v>
      </c>
      <c r="V427" s="23" t="s">
        <v>98</v>
      </c>
      <c r="W427" s="23" t="s">
        <v>3700</v>
      </c>
      <c r="X427" s="23" t="s">
        <v>4376</v>
      </c>
      <c r="Y427" s="23" t="s">
        <v>1743</v>
      </c>
      <c r="Z427" s="23" t="s">
        <v>479</v>
      </c>
      <c r="AA427" s="23" t="s">
        <v>4595</v>
      </c>
      <c r="AB427" s="23" t="s">
        <v>4596</v>
      </c>
      <c r="AC427" s="23" t="s">
        <v>1736</v>
      </c>
      <c r="AD427" s="23" t="s">
        <v>1069</v>
      </c>
      <c r="AE427" s="23" t="s">
        <v>4597</v>
      </c>
    </row>
    <row r="428" spans="1:31" hidden="1" x14ac:dyDescent="0.25">
      <c r="A428">
        <v>427</v>
      </c>
      <c r="B428" t="s">
        <v>1032</v>
      </c>
      <c r="C428" t="s">
        <v>4598</v>
      </c>
      <c r="D428" t="s">
        <v>4573</v>
      </c>
      <c r="E428" t="s">
        <v>35</v>
      </c>
      <c r="F428" t="s">
        <v>36</v>
      </c>
      <c r="G428" t="s">
        <v>4599</v>
      </c>
      <c r="H428" t="s">
        <v>4575</v>
      </c>
      <c r="I428" t="s">
        <v>39</v>
      </c>
      <c r="J428" t="s">
        <v>4600</v>
      </c>
      <c r="K428" t="s">
        <v>4601</v>
      </c>
      <c r="L428" s="23" t="s">
        <v>4602</v>
      </c>
      <c r="M428" s="23" t="s">
        <v>223</v>
      </c>
      <c r="N428" s="23" t="s">
        <v>94</v>
      </c>
      <c r="O428" s="23" t="s">
        <v>2622</v>
      </c>
      <c r="P428" s="23" t="s">
        <v>4603</v>
      </c>
      <c r="Q428" s="23" t="s">
        <v>929</v>
      </c>
      <c r="R428" s="23" t="s">
        <v>122</v>
      </c>
      <c r="S428" s="23" t="s">
        <v>4604</v>
      </c>
      <c r="T428" s="23" t="s">
        <v>2814</v>
      </c>
      <c r="U428" s="23" t="s">
        <v>151</v>
      </c>
      <c r="V428" s="23" t="s">
        <v>150</v>
      </c>
      <c r="W428" s="23" t="s">
        <v>2981</v>
      </c>
      <c r="X428" s="23" t="s">
        <v>909</v>
      </c>
      <c r="Y428" s="23" t="s">
        <v>81</v>
      </c>
      <c r="Z428" s="23" t="s">
        <v>114</v>
      </c>
      <c r="AA428" s="23" t="s">
        <v>4084</v>
      </c>
      <c r="AB428" s="23" t="s">
        <v>4605</v>
      </c>
      <c r="AC428" s="23" t="s">
        <v>801</v>
      </c>
      <c r="AD428" s="23" t="s">
        <v>193</v>
      </c>
      <c r="AE428" s="23" t="s">
        <v>4606</v>
      </c>
    </row>
    <row r="429" spans="1:31" hidden="1" x14ac:dyDescent="0.25">
      <c r="A429">
        <v>428</v>
      </c>
      <c r="B429" t="s">
        <v>1032</v>
      </c>
      <c r="C429" t="s">
        <v>4607</v>
      </c>
      <c r="D429" t="s">
        <v>4573</v>
      </c>
      <c r="E429" t="s">
        <v>35</v>
      </c>
      <c r="F429" t="s">
        <v>36</v>
      </c>
      <c r="G429" t="s">
        <v>4608</v>
      </c>
      <c r="H429" t="s">
        <v>4609</v>
      </c>
      <c r="I429" t="s">
        <v>300</v>
      </c>
      <c r="J429" t="s">
        <v>4610</v>
      </c>
      <c r="K429" t="s">
        <v>4611</v>
      </c>
      <c r="L429" s="23" t="s">
        <v>1967</v>
      </c>
      <c r="M429" s="23" t="s">
        <v>256</v>
      </c>
      <c r="N429" s="23" t="s">
        <v>347</v>
      </c>
      <c r="O429" s="23" t="s">
        <v>4612</v>
      </c>
      <c r="P429" s="23" t="s">
        <v>4613</v>
      </c>
      <c r="Q429" s="23" t="s">
        <v>212</v>
      </c>
      <c r="R429" s="23" t="s">
        <v>157</v>
      </c>
      <c r="S429" s="23" t="s">
        <v>4614</v>
      </c>
      <c r="T429" s="23" t="s">
        <v>3138</v>
      </c>
      <c r="U429" s="23" t="s">
        <v>68</v>
      </c>
      <c r="V429" s="23" t="s">
        <v>77</v>
      </c>
      <c r="W429" s="23" t="s">
        <v>4615</v>
      </c>
      <c r="X429" s="23" t="s">
        <v>4616</v>
      </c>
      <c r="Y429" s="23" t="s">
        <v>2123</v>
      </c>
      <c r="Z429" s="23" t="s">
        <v>246</v>
      </c>
      <c r="AA429" s="23" t="s">
        <v>4300</v>
      </c>
      <c r="AB429" s="23" t="s">
        <v>4617</v>
      </c>
      <c r="AC429" s="23" t="s">
        <v>2438</v>
      </c>
      <c r="AD429" s="23" t="s">
        <v>594</v>
      </c>
      <c r="AE429" s="23" t="s">
        <v>4618</v>
      </c>
    </row>
    <row r="430" spans="1:31" hidden="1" x14ac:dyDescent="0.25">
      <c r="A430">
        <v>429</v>
      </c>
      <c r="B430" t="s">
        <v>1032</v>
      </c>
      <c r="C430" t="s">
        <v>4619</v>
      </c>
      <c r="D430" t="s">
        <v>4573</v>
      </c>
      <c r="E430" t="s">
        <v>35</v>
      </c>
      <c r="F430" t="s">
        <v>36</v>
      </c>
      <c r="G430" t="s">
        <v>4620</v>
      </c>
      <c r="H430" t="s">
        <v>1272</v>
      </c>
      <c r="I430" t="s">
        <v>1272</v>
      </c>
      <c r="J430" t="s">
        <v>1272</v>
      </c>
      <c r="K430" t="s">
        <v>1272</v>
      </c>
      <c r="L430" s="23" t="s">
        <v>1272</v>
      </c>
      <c r="M430" s="23" t="s">
        <v>1272</v>
      </c>
      <c r="N430" s="23" t="s">
        <v>1272</v>
      </c>
      <c r="O430" s="23" t="s">
        <v>1272</v>
      </c>
      <c r="P430" s="23" t="s">
        <v>1272</v>
      </c>
      <c r="Q430" s="23" t="s">
        <v>1272</v>
      </c>
      <c r="R430" s="23" t="s">
        <v>1272</v>
      </c>
      <c r="S430" s="23" t="s">
        <v>1272</v>
      </c>
      <c r="T430" s="23" t="s">
        <v>1272</v>
      </c>
      <c r="U430" s="23" t="s">
        <v>1272</v>
      </c>
      <c r="V430" s="23" t="s">
        <v>1272</v>
      </c>
      <c r="W430" s="23" t="s">
        <v>1272</v>
      </c>
      <c r="X430" s="23" t="s">
        <v>1272</v>
      </c>
      <c r="Y430" s="23" t="s">
        <v>1272</v>
      </c>
      <c r="Z430" s="23" t="s">
        <v>1272</v>
      </c>
      <c r="AA430" s="23" t="s">
        <v>1272</v>
      </c>
      <c r="AB430" s="23" t="s">
        <v>1272</v>
      </c>
      <c r="AC430" s="23" t="s">
        <v>1272</v>
      </c>
      <c r="AD430" s="23" t="s">
        <v>1272</v>
      </c>
      <c r="AE430" s="23" t="s">
        <v>1272</v>
      </c>
    </row>
    <row r="431" spans="1:31" hidden="1" x14ac:dyDescent="0.25">
      <c r="A431">
        <v>430</v>
      </c>
      <c r="B431" t="s">
        <v>1032</v>
      </c>
      <c r="C431" t="s">
        <v>4572</v>
      </c>
      <c r="D431" t="s">
        <v>4573</v>
      </c>
      <c r="E431" t="s">
        <v>35</v>
      </c>
      <c r="F431" t="s">
        <v>162</v>
      </c>
      <c r="G431" t="s">
        <v>4574</v>
      </c>
      <c r="H431" t="s">
        <v>4575</v>
      </c>
      <c r="I431" t="s">
        <v>240</v>
      </c>
      <c r="J431" t="s">
        <v>4576</v>
      </c>
      <c r="K431" t="s">
        <v>4577</v>
      </c>
      <c r="L431" s="23" t="s">
        <v>2156</v>
      </c>
      <c r="M431" s="23" t="s">
        <v>1114</v>
      </c>
      <c r="N431" s="23" t="s">
        <v>1026</v>
      </c>
      <c r="O431" s="23" t="s">
        <v>2608</v>
      </c>
      <c r="P431" s="23" t="s">
        <v>4621</v>
      </c>
      <c r="Q431" s="23" t="s">
        <v>4521</v>
      </c>
      <c r="R431" s="23" t="s">
        <v>3351</v>
      </c>
      <c r="S431" s="23" t="s">
        <v>4622</v>
      </c>
      <c r="T431" s="23" t="s">
        <v>4623</v>
      </c>
      <c r="U431" s="23" t="s">
        <v>1092</v>
      </c>
      <c r="V431" s="23" t="s">
        <v>3004</v>
      </c>
      <c r="W431" s="23" t="s">
        <v>738</v>
      </c>
      <c r="X431" s="23" t="s">
        <v>4624</v>
      </c>
      <c r="Y431" s="23" t="s">
        <v>2246</v>
      </c>
      <c r="Z431" s="23" t="s">
        <v>2154</v>
      </c>
      <c r="AA431" s="23" t="s">
        <v>4625</v>
      </c>
      <c r="AB431" s="23" t="s">
        <v>4626</v>
      </c>
      <c r="AC431" s="23" t="s">
        <v>2265</v>
      </c>
      <c r="AD431" s="23" t="s">
        <v>2706</v>
      </c>
      <c r="AE431" s="23" t="s">
        <v>4627</v>
      </c>
    </row>
    <row r="432" spans="1:31" hidden="1" x14ac:dyDescent="0.25">
      <c r="A432">
        <v>431</v>
      </c>
      <c r="B432" t="s">
        <v>1032</v>
      </c>
      <c r="C432" t="s">
        <v>4588</v>
      </c>
      <c r="D432" t="s">
        <v>4573</v>
      </c>
      <c r="E432" t="s">
        <v>35</v>
      </c>
      <c r="F432" t="s">
        <v>162</v>
      </c>
      <c r="G432" t="s">
        <v>4589</v>
      </c>
      <c r="H432" t="s">
        <v>4575</v>
      </c>
      <c r="I432" t="s">
        <v>163</v>
      </c>
      <c r="J432" t="s">
        <v>4590</v>
      </c>
      <c r="K432" t="s">
        <v>4591</v>
      </c>
      <c r="L432" s="23" t="s">
        <v>3685</v>
      </c>
      <c r="M432" s="23" t="s">
        <v>525</v>
      </c>
      <c r="N432" s="23" t="s">
        <v>257</v>
      </c>
      <c r="O432" s="23" t="s">
        <v>1064</v>
      </c>
      <c r="P432" s="23" t="s">
        <v>4628</v>
      </c>
      <c r="Q432" s="23" t="s">
        <v>3913</v>
      </c>
      <c r="R432" s="23" t="s">
        <v>197</v>
      </c>
      <c r="S432" s="23" t="s">
        <v>4629</v>
      </c>
      <c r="T432" s="23" t="s">
        <v>4630</v>
      </c>
      <c r="U432" s="23" t="s">
        <v>1712</v>
      </c>
      <c r="V432" s="23" t="s">
        <v>122</v>
      </c>
      <c r="W432" s="23" t="s">
        <v>4631</v>
      </c>
      <c r="X432" s="23" t="s">
        <v>4632</v>
      </c>
      <c r="Y432" s="23" t="s">
        <v>1743</v>
      </c>
      <c r="Z432" s="23" t="s">
        <v>93</v>
      </c>
      <c r="AA432" s="23" t="s">
        <v>4633</v>
      </c>
      <c r="AB432" s="23" t="s">
        <v>4634</v>
      </c>
      <c r="AC432" s="23" t="s">
        <v>470</v>
      </c>
      <c r="AD432" s="23" t="s">
        <v>120</v>
      </c>
      <c r="AE432" s="23" t="s">
        <v>4635</v>
      </c>
    </row>
    <row r="433" spans="1:31" hidden="1" x14ac:dyDescent="0.25">
      <c r="A433">
        <v>432</v>
      </c>
      <c r="B433" t="s">
        <v>1032</v>
      </c>
      <c r="C433" t="s">
        <v>4598</v>
      </c>
      <c r="D433" t="s">
        <v>4573</v>
      </c>
      <c r="E433" t="s">
        <v>35</v>
      </c>
      <c r="F433" t="s">
        <v>162</v>
      </c>
      <c r="G433" t="s">
        <v>4599</v>
      </c>
      <c r="H433" t="s">
        <v>4575</v>
      </c>
      <c r="I433" t="s">
        <v>163</v>
      </c>
      <c r="J433" t="s">
        <v>4600</v>
      </c>
      <c r="K433" t="s">
        <v>4601</v>
      </c>
      <c r="L433" s="23" t="s">
        <v>4636</v>
      </c>
      <c r="M433" s="23" t="s">
        <v>556</v>
      </c>
      <c r="N433" s="23" t="s">
        <v>104</v>
      </c>
      <c r="O433" s="23" t="s">
        <v>4637</v>
      </c>
      <c r="P433" s="23" t="s">
        <v>4638</v>
      </c>
      <c r="Q433" s="23" t="s">
        <v>52</v>
      </c>
      <c r="R433" s="23" t="s">
        <v>94</v>
      </c>
      <c r="S433" s="23" t="s">
        <v>4639</v>
      </c>
      <c r="T433" s="23" t="s">
        <v>4640</v>
      </c>
      <c r="U433" s="23" t="s">
        <v>570</v>
      </c>
      <c r="V433" s="23" t="s">
        <v>114</v>
      </c>
      <c r="W433" s="23" t="s">
        <v>1553</v>
      </c>
      <c r="X433" s="23" t="s">
        <v>4641</v>
      </c>
      <c r="Y433" s="23" t="s">
        <v>1400</v>
      </c>
      <c r="Z433" s="23" t="s">
        <v>98</v>
      </c>
      <c r="AA433" s="23" t="s">
        <v>4642</v>
      </c>
      <c r="AB433" s="23" t="s">
        <v>4643</v>
      </c>
      <c r="AC433" s="23" t="s">
        <v>767</v>
      </c>
      <c r="AD433" s="23" t="s">
        <v>122</v>
      </c>
      <c r="AE433" s="23" t="s">
        <v>4644</v>
      </c>
    </row>
    <row r="434" spans="1:31" hidden="1" x14ac:dyDescent="0.25">
      <c r="A434">
        <v>433</v>
      </c>
      <c r="B434" t="s">
        <v>1032</v>
      </c>
      <c r="C434" t="s">
        <v>4607</v>
      </c>
      <c r="D434" t="s">
        <v>4573</v>
      </c>
      <c r="E434" t="s">
        <v>35</v>
      </c>
      <c r="F434" t="s">
        <v>162</v>
      </c>
      <c r="G434" t="s">
        <v>4608</v>
      </c>
      <c r="H434" t="s">
        <v>4609</v>
      </c>
      <c r="I434" t="s">
        <v>240</v>
      </c>
      <c r="J434" t="s">
        <v>4610</v>
      </c>
      <c r="K434" t="s">
        <v>4611</v>
      </c>
      <c r="L434" s="23" t="s">
        <v>684</v>
      </c>
      <c r="M434" s="23" t="s">
        <v>208</v>
      </c>
      <c r="N434" s="23" t="s">
        <v>103</v>
      </c>
      <c r="O434" s="23" t="s">
        <v>1855</v>
      </c>
      <c r="P434" s="23" t="s">
        <v>1858</v>
      </c>
      <c r="Q434" s="23" t="s">
        <v>92</v>
      </c>
      <c r="R434" s="23" t="s">
        <v>115</v>
      </c>
      <c r="S434" s="23" t="s">
        <v>4645</v>
      </c>
      <c r="T434" s="23" t="s">
        <v>3297</v>
      </c>
      <c r="U434" s="23" t="s">
        <v>768</v>
      </c>
      <c r="V434" s="23" t="s">
        <v>32</v>
      </c>
      <c r="W434" s="23" t="s">
        <v>2289</v>
      </c>
      <c r="X434" s="23" t="s">
        <v>4646</v>
      </c>
      <c r="Y434" s="23" t="s">
        <v>492</v>
      </c>
      <c r="Z434" s="23" t="s">
        <v>69</v>
      </c>
      <c r="AA434" s="23" t="s">
        <v>4647</v>
      </c>
      <c r="AB434" s="23" t="s">
        <v>4648</v>
      </c>
      <c r="AC434" s="23" t="s">
        <v>3275</v>
      </c>
      <c r="AD434" s="23" t="s">
        <v>451</v>
      </c>
      <c r="AE434" s="23" t="s">
        <v>4649</v>
      </c>
    </row>
    <row r="435" spans="1:31" hidden="1" x14ac:dyDescent="0.25">
      <c r="A435">
        <v>434</v>
      </c>
      <c r="B435" t="s">
        <v>1032</v>
      </c>
      <c r="C435" t="s">
        <v>4619</v>
      </c>
      <c r="D435" t="s">
        <v>4573</v>
      </c>
      <c r="E435" t="s">
        <v>35</v>
      </c>
      <c r="F435" t="s">
        <v>162</v>
      </c>
      <c r="G435" t="s">
        <v>4620</v>
      </c>
      <c r="H435" t="s">
        <v>1272</v>
      </c>
      <c r="I435" t="s">
        <v>1272</v>
      </c>
      <c r="J435" t="s">
        <v>1272</v>
      </c>
      <c r="K435" t="s">
        <v>1272</v>
      </c>
      <c r="L435" s="23" t="s">
        <v>1272</v>
      </c>
      <c r="M435" s="23" t="s">
        <v>1272</v>
      </c>
      <c r="N435" s="23" t="s">
        <v>1272</v>
      </c>
      <c r="O435" s="23" t="s">
        <v>1272</v>
      </c>
      <c r="P435" s="23" t="s">
        <v>1272</v>
      </c>
      <c r="Q435" s="23" t="s">
        <v>1272</v>
      </c>
      <c r="R435" s="23" t="s">
        <v>1272</v>
      </c>
      <c r="S435" s="23" t="s">
        <v>1272</v>
      </c>
      <c r="T435" s="23" t="s">
        <v>1272</v>
      </c>
      <c r="U435" s="23" t="s">
        <v>1272</v>
      </c>
      <c r="V435" s="23" t="s">
        <v>1272</v>
      </c>
      <c r="W435" s="23" t="s">
        <v>1272</v>
      </c>
      <c r="X435" s="23" t="s">
        <v>1272</v>
      </c>
      <c r="Y435" s="23" t="s">
        <v>1272</v>
      </c>
      <c r="Z435" s="23" t="s">
        <v>1272</v>
      </c>
      <c r="AA435" s="23" t="s">
        <v>1272</v>
      </c>
      <c r="AB435" s="23" t="s">
        <v>1272</v>
      </c>
      <c r="AC435" s="23" t="s">
        <v>1272</v>
      </c>
      <c r="AD435" s="23" t="s">
        <v>1272</v>
      </c>
      <c r="AE435" s="23" t="s">
        <v>1272</v>
      </c>
    </row>
    <row r="436" spans="1:31" hidden="1" x14ac:dyDescent="0.25">
      <c r="A436">
        <v>435</v>
      </c>
      <c r="B436" t="s">
        <v>151</v>
      </c>
      <c r="C436" t="s">
        <v>4650</v>
      </c>
      <c r="D436" t="s">
        <v>4651</v>
      </c>
      <c r="E436" t="s">
        <v>35</v>
      </c>
      <c r="F436" t="s">
        <v>36</v>
      </c>
      <c r="G436" t="s">
        <v>4652</v>
      </c>
      <c r="H436" t="s">
        <v>4653</v>
      </c>
      <c r="I436" t="s">
        <v>300</v>
      </c>
      <c r="J436" t="s">
        <v>4654</v>
      </c>
      <c r="K436" t="s">
        <v>4655</v>
      </c>
      <c r="L436" s="23" t="s">
        <v>213</v>
      </c>
      <c r="M436" s="23" t="s">
        <v>114</v>
      </c>
      <c r="N436" s="23" t="s">
        <v>114</v>
      </c>
      <c r="O436" s="23" t="s">
        <v>213</v>
      </c>
      <c r="P436" s="23" t="s">
        <v>155</v>
      </c>
      <c r="Q436" s="23" t="s">
        <v>150</v>
      </c>
      <c r="R436" s="23" t="s">
        <v>114</v>
      </c>
      <c r="S436" s="23" t="s">
        <v>556</v>
      </c>
      <c r="T436" s="23" t="s">
        <v>122</v>
      </c>
      <c r="U436" s="23" t="s">
        <v>114</v>
      </c>
      <c r="V436" s="23" t="s">
        <v>114</v>
      </c>
      <c r="W436" s="23" t="s">
        <v>122</v>
      </c>
      <c r="X436" s="23" t="s">
        <v>151</v>
      </c>
      <c r="Y436" s="23" t="s">
        <v>104</v>
      </c>
      <c r="Z436" s="23" t="s">
        <v>114</v>
      </c>
      <c r="AA436" s="23" t="s">
        <v>253</v>
      </c>
      <c r="AB436" s="23" t="s">
        <v>248</v>
      </c>
      <c r="AC436" s="23" t="s">
        <v>244</v>
      </c>
      <c r="AD436" s="23" t="s">
        <v>114</v>
      </c>
      <c r="AE436" s="23" t="s">
        <v>932</v>
      </c>
    </row>
    <row r="437" spans="1:31" hidden="1" x14ac:dyDescent="0.25">
      <c r="A437">
        <v>436</v>
      </c>
      <c r="B437" t="s">
        <v>151</v>
      </c>
      <c r="C437" t="s">
        <v>4656</v>
      </c>
      <c r="D437" t="s">
        <v>4651</v>
      </c>
      <c r="E437" t="s">
        <v>35</v>
      </c>
      <c r="F437" t="s">
        <v>36</v>
      </c>
      <c r="G437" t="s">
        <v>4574</v>
      </c>
      <c r="H437" t="s">
        <v>4657</v>
      </c>
      <c r="I437" t="s">
        <v>300</v>
      </c>
      <c r="J437" t="s">
        <v>4658</v>
      </c>
      <c r="K437" t="s">
        <v>4659</v>
      </c>
      <c r="L437" s="23" t="s">
        <v>3281</v>
      </c>
      <c r="M437" s="23" t="s">
        <v>1426</v>
      </c>
      <c r="N437" s="23" t="s">
        <v>1964</v>
      </c>
      <c r="O437" s="23" t="s">
        <v>2927</v>
      </c>
      <c r="P437" s="23" t="s">
        <v>4660</v>
      </c>
      <c r="Q437" s="23" t="s">
        <v>1159</v>
      </c>
      <c r="R437" s="23" t="s">
        <v>4278</v>
      </c>
      <c r="S437" s="23" t="s">
        <v>4661</v>
      </c>
      <c r="T437" s="23" t="s">
        <v>1927</v>
      </c>
      <c r="U437" s="23" t="s">
        <v>1705</v>
      </c>
      <c r="V437" s="23" t="s">
        <v>100</v>
      </c>
      <c r="W437" s="23" t="s">
        <v>4662</v>
      </c>
      <c r="X437" s="23" t="s">
        <v>4663</v>
      </c>
      <c r="Y437" s="23" t="s">
        <v>3789</v>
      </c>
      <c r="Z437" s="23" t="s">
        <v>3088</v>
      </c>
      <c r="AA437" s="23" t="s">
        <v>4664</v>
      </c>
      <c r="AB437" s="23" t="s">
        <v>4665</v>
      </c>
      <c r="AC437" s="23" t="s">
        <v>4666</v>
      </c>
      <c r="AD437" s="23" t="s">
        <v>4586</v>
      </c>
      <c r="AE437" s="23" t="s">
        <v>4667</v>
      </c>
    </row>
    <row r="438" spans="1:31" hidden="1" x14ac:dyDescent="0.25">
      <c r="A438">
        <v>437</v>
      </c>
      <c r="B438" t="s">
        <v>151</v>
      </c>
      <c r="C438" t="s">
        <v>4668</v>
      </c>
      <c r="D438" t="s">
        <v>4651</v>
      </c>
      <c r="E438" t="s">
        <v>35</v>
      </c>
      <c r="F438" t="s">
        <v>36</v>
      </c>
      <c r="G438" t="s">
        <v>4669</v>
      </c>
      <c r="H438" t="s">
        <v>4670</v>
      </c>
      <c r="I438" t="s">
        <v>300</v>
      </c>
      <c r="J438" t="s">
        <v>4671</v>
      </c>
      <c r="K438" t="s">
        <v>4672</v>
      </c>
      <c r="L438" s="23" t="s">
        <v>4355</v>
      </c>
      <c r="M438" s="23" t="s">
        <v>297</v>
      </c>
      <c r="N438" s="23" t="s">
        <v>150</v>
      </c>
      <c r="O438" s="23" t="s">
        <v>3724</v>
      </c>
      <c r="P438" s="23" t="s">
        <v>3510</v>
      </c>
      <c r="Q438" s="23" t="s">
        <v>133</v>
      </c>
      <c r="R438" s="23" t="s">
        <v>77</v>
      </c>
      <c r="S438" s="23" t="s">
        <v>4673</v>
      </c>
      <c r="T438" s="23" t="s">
        <v>4289</v>
      </c>
      <c r="U438" s="23" t="s">
        <v>246</v>
      </c>
      <c r="V438" s="23" t="s">
        <v>94</v>
      </c>
      <c r="W438" s="23" t="s">
        <v>750</v>
      </c>
      <c r="X438" s="23" t="s">
        <v>2737</v>
      </c>
      <c r="Y438" s="23" t="s">
        <v>347</v>
      </c>
      <c r="Z438" s="23" t="s">
        <v>150</v>
      </c>
      <c r="AA438" s="23" t="s">
        <v>4674</v>
      </c>
      <c r="AB438" s="23" t="s">
        <v>3686</v>
      </c>
      <c r="AC438" s="23" t="s">
        <v>1312</v>
      </c>
      <c r="AD438" s="23" t="s">
        <v>243</v>
      </c>
      <c r="AE438" s="23" t="s">
        <v>373</v>
      </c>
    </row>
    <row r="439" spans="1:31" hidden="1" x14ac:dyDescent="0.25">
      <c r="A439">
        <v>438</v>
      </c>
      <c r="B439" t="s">
        <v>151</v>
      </c>
      <c r="C439" t="s">
        <v>4675</v>
      </c>
      <c r="D439" t="s">
        <v>4651</v>
      </c>
      <c r="E439" t="s">
        <v>35</v>
      </c>
      <c r="F439" t="s">
        <v>36</v>
      </c>
      <c r="G439" t="s">
        <v>4676</v>
      </c>
      <c r="H439" t="s">
        <v>4677</v>
      </c>
      <c r="I439" t="s">
        <v>300</v>
      </c>
      <c r="J439" t="s">
        <v>4678</v>
      </c>
      <c r="K439" t="s">
        <v>4679</v>
      </c>
      <c r="L439" s="23" t="s">
        <v>838</v>
      </c>
      <c r="M439" s="23" t="s">
        <v>158</v>
      </c>
      <c r="N439" s="23" t="s">
        <v>114</v>
      </c>
      <c r="O439" s="23" t="s">
        <v>507</v>
      </c>
      <c r="P439" s="23" t="s">
        <v>1480</v>
      </c>
      <c r="Q439" s="23" t="s">
        <v>246</v>
      </c>
      <c r="R439" s="23" t="s">
        <v>114</v>
      </c>
      <c r="S439" s="23" t="s">
        <v>1497</v>
      </c>
      <c r="T439" s="23" t="s">
        <v>932</v>
      </c>
      <c r="U439" s="23" t="s">
        <v>150</v>
      </c>
      <c r="V439" s="23" t="s">
        <v>114</v>
      </c>
      <c r="W439" s="23" t="s">
        <v>1651</v>
      </c>
      <c r="X439" s="23" t="s">
        <v>220</v>
      </c>
      <c r="Y439" s="23" t="s">
        <v>104</v>
      </c>
      <c r="Z439" s="23" t="s">
        <v>114</v>
      </c>
      <c r="AA439" s="23" t="s">
        <v>468</v>
      </c>
      <c r="AB439" s="23" t="s">
        <v>350</v>
      </c>
      <c r="AC439" s="23" t="s">
        <v>336</v>
      </c>
      <c r="AD439" s="23" t="s">
        <v>114</v>
      </c>
      <c r="AE439" s="23" t="s">
        <v>255</v>
      </c>
    </row>
    <row r="440" spans="1:31" hidden="1" x14ac:dyDescent="0.25">
      <c r="A440">
        <v>439</v>
      </c>
      <c r="B440" t="s">
        <v>151</v>
      </c>
      <c r="C440" t="s">
        <v>4680</v>
      </c>
      <c r="D440" t="s">
        <v>4651</v>
      </c>
      <c r="E440" t="s">
        <v>35</v>
      </c>
      <c r="F440" t="s">
        <v>36</v>
      </c>
      <c r="G440" t="s">
        <v>4681</v>
      </c>
      <c r="H440" t="s">
        <v>4677</v>
      </c>
      <c r="I440" t="s">
        <v>300</v>
      </c>
      <c r="J440" t="s">
        <v>4682</v>
      </c>
      <c r="K440" t="s">
        <v>4683</v>
      </c>
      <c r="L440" s="23" t="s">
        <v>4684</v>
      </c>
      <c r="M440" s="23" t="s">
        <v>253</v>
      </c>
      <c r="N440" s="23" t="s">
        <v>246</v>
      </c>
      <c r="O440" s="23" t="s">
        <v>2523</v>
      </c>
      <c r="P440" s="23" t="s">
        <v>4685</v>
      </c>
      <c r="Q440" s="23" t="s">
        <v>981</v>
      </c>
      <c r="R440" s="23" t="s">
        <v>197</v>
      </c>
      <c r="S440" s="23" t="s">
        <v>2131</v>
      </c>
      <c r="T440" s="23" t="s">
        <v>2388</v>
      </c>
      <c r="U440" s="23" t="s">
        <v>93</v>
      </c>
      <c r="V440" s="23" t="s">
        <v>158</v>
      </c>
      <c r="W440" s="23" t="s">
        <v>4285</v>
      </c>
      <c r="X440" s="23" t="s">
        <v>3634</v>
      </c>
      <c r="Y440" s="23" t="s">
        <v>226</v>
      </c>
      <c r="Z440" s="23" t="s">
        <v>1032</v>
      </c>
      <c r="AA440" s="23" t="s">
        <v>4686</v>
      </c>
      <c r="AB440" s="23" t="s">
        <v>4687</v>
      </c>
      <c r="AC440" s="23" t="s">
        <v>490</v>
      </c>
      <c r="AD440" s="23" t="s">
        <v>590</v>
      </c>
      <c r="AE440" s="23" t="s">
        <v>4688</v>
      </c>
    </row>
    <row r="441" spans="1:31" hidden="1" x14ac:dyDescent="0.25">
      <c r="A441">
        <v>440</v>
      </c>
      <c r="B441" t="s">
        <v>151</v>
      </c>
      <c r="C441" t="s">
        <v>4650</v>
      </c>
      <c r="D441" t="s">
        <v>4651</v>
      </c>
      <c r="E441" t="s">
        <v>35</v>
      </c>
      <c r="F441" t="s">
        <v>162</v>
      </c>
      <c r="G441" t="s">
        <v>4652</v>
      </c>
      <c r="H441" t="s">
        <v>4653</v>
      </c>
      <c r="I441" t="s">
        <v>240</v>
      </c>
      <c r="J441" t="s">
        <v>4654</v>
      </c>
      <c r="K441" t="s">
        <v>4655</v>
      </c>
      <c r="L441" s="23" t="s">
        <v>244</v>
      </c>
      <c r="M441" s="23" t="s">
        <v>114</v>
      </c>
      <c r="N441" s="23" t="s">
        <v>114</v>
      </c>
      <c r="O441" s="23" t="s">
        <v>244</v>
      </c>
      <c r="P441" s="23" t="s">
        <v>118</v>
      </c>
      <c r="Q441" s="23" t="s">
        <v>114</v>
      </c>
      <c r="R441" s="23" t="s">
        <v>114</v>
      </c>
      <c r="S441" s="23" t="s">
        <v>118</v>
      </c>
      <c r="T441" s="23" t="s">
        <v>244</v>
      </c>
      <c r="U441" s="23" t="s">
        <v>114</v>
      </c>
      <c r="V441" s="23" t="s">
        <v>114</v>
      </c>
      <c r="W441" s="23" t="s">
        <v>244</v>
      </c>
      <c r="X441" s="23" t="s">
        <v>32</v>
      </c>
      <c r="Y441" s="23" t="s">
        <v>94</v>
      </c>
      <c r="Z441" s="23" t="s">
        <v>114</v>
      </c>
      <c r="AA441" s="23" t="s">
        <v>213</v>
      </c>
      <c r="AB441" s="23" t="s">
        <v>223</v>
      </c>
      <c r="AC441" s="23" t="s">
        <v>94</v>
      </c>
      <c r="AD441" s="23" t="s">
        <v>114</v>
      </c>
      <c r="AE441" s="23" t="s">
        <v>556</v>
      </c>
    </row>
    <row r="442" spans="1:31" hidden="1" x14ac:dyDescent="0.25">
      <c r="A442">
        <v>441</v>
      </c>
      <c r="B442" t="s">
        <v>151</v>
      </c>
      <c r="C442" t="s">
        <v>4656</v>
      </c>
      <c r="D442" t="s">
        <v>4651</v>
      </c>
      <c r="E442" t="s">
        <v>35</v>
      </c>
      <c r="F442" t="s">
        <v>162</v>
      </c>
      <c r="G442" t="s">
        <v>4574</v>
      </c>
      <c r="H442" t="s">
        <v>4657</v>
      </c>
      <c r="I442" t="s">
        <v>240</v>
      </c>
      <c r="J442" t="s">
        <v>4689</v>
      </c>
      <c r="K442" t="s">
        <v>4690</v>
      </c>
      <c r="L442" s="23" t="s">
        <v>2279</v>
      </c>
      <c r="M442" s="23" t="s">
        <v>3820</v>
      </c>
      <c r="N442" s="23" t="s">
        <v>1698</v>
      </c>
      <c r="O442" s="23" t="s">
        <v>4691</v>
      </c>
      <c r="P442" s="23" t="s">
        <v>3454</v>
      </c>
      <c r="Q442" s="23" t="s">
        <v>4692</v>
      </c>
      <c r="R442" s="23" t="s">
        <v>4693</v>
      </c>
      <c r="S442" s="23" t="s">
        <v>4065</v>
      </c>
      <c r="T442" s="23" t="s">
        <v>4694</v>
      </c>
      <c r="U442" s="23" t="s">
        <v>2031</v>
      </c>
      <c r="V442" s="23" t="s">
        <v>895</v>
      </c>
      <c r="W442" s="23" t="s">
        <v>4398</v>
      </c>
      <c r="X442" s="23" t="s">
        <v>4695</v>
      </c>
      <c r="Y442" s="23" t="s">
        <v>523</v>
      </c>
      <c r="Z442" s="23" t="s">
        <v>4210</v>
      </c>
      <c r="AA442" s="23" t="s">
        <v>4696</v>
      </c>
      <c r="AB442" s="23" t="s">
        <v>4697</v>
      </c>
      <c r="AC442" s="23" t="s">
        <v>4539</v>
      </c>
      <c r="AD442" s="23" t="s">
        <v>4698</v>
      </c>
      <c r="AE442" s="23" t="s">
        <v>4699</v>
      </c>
    </row>
    <row r="443" spans="1:31" hidden="1" x14ac:dyDescent="0.25">
      <c r="A443">
        <v>442</v>
      </c>
      <c r="B443" t="s">
        <v>151</v>
      </c>
      <c r="C443" t="s">
        <v>4668</v>
      </c>
      <c r="D443" t="s">
        <v>4651</v>
      </c>
      <c r="E443" t="s">
        <v>35</v>
      </c>
      <c r="F443" t="s">
        <v>162</v>
      </c>
      <c r="G443" t="s">
        <v>4669</v>
      </c>
      <c r="H443" t="s">
        <v>4670</v>
      </c>
      <c r="I443" t="s">
        <v>240</v>
      </c>
      <c r="J443" t="s">
        <v>4671</v>
      </c>
      <c r="K443" t="s">
        <v>4672</v>
      </c>
      <c r="L443" s="23" t="s">
        <v>4700</v>
      </c>
      <c r="M443" s="23" t="s">
        <v>185</v>
      </c>
      <c r="N443" s="23" t="s">
        <v>150</v>
      </c>
      <c r="O443" s="23" t="s">
        <v>596</v>
      </c>
      <c r="P443" s="23" t="s">
        <v>4701</v>
      </c>
      <c r="Q443" s="23" t="s">
        <v>1717</v>
      </c>
      <c r="R443" s="23" t="s">
        <v>93</v>
      </c>
      <c r="S443" s="23" t="s">
        <v>4702</v>
      </c>
      <c r="T443" s="23" t="s">
        <v>3090</v>
      </c>
      <c r="U443" s="23" t="s">
        <v>217</v>
      </c>
      <c r="V443" s="23" t="s">
        <v>150</v>
      </c>
      <c r="W443" s="23" t="s">
        <v>735</v>
      </c>
      <c r="X443" s="23" t="s">
        <v>1562</v>
      </c>
      <c r="Y443" s="23" t="s">
        <v>297</v>
      </c>
      <c r="Z443" s="23" t="s">
        <v>122</v>
      </c>
      <c r="AA443" s="23" t="s">
        <v>137</v>
      </c>
      <c r="AB443" s="23" t="s">
        <v>4703</v>
      </c>
      <c r="AC443" s="23" t="s">
        <v>764</v>
      </c>
      <c r="AD443" s="23" t="s">
        <v>149</v>
      </c>
      <c r="AE443" s="23" t="s">
        <v>4704</v>
      </c>
    </row>
    <row r="444" spans="1:31" hidden="1" x14ac:dyDescent="0.25">
      <c r="A444">
        <v>443</v>
      </c>
      <c r="B444" t="s">
        <v>151</v>
      </c>
      <c r="C444" t="s">
        <v>4675</v>
      </c>
      <c r="D444" t="s">
        <v>4651</v>
      </c>
      <c r="E444" t="s">
        <v>35</v>
      </c>
      <c r="F444" t="s">
        <v>162</v>
      </c>
      <c r="G444" t="s">
        <v>4676</v>
      </c>
      <c r="H444" t="s">
        <v>4677</v>
      </c>
      <c r="I444" t="s">
        <v>240</v>
      </c>
      <c r="J444" t="s">
        <v>4678</v>
      </c>
      <c r="K444" t="s">
        <v>4679</v>
      </c>
      <c r="L444" s="23" t="s">
        <v>80</v>
      </c>
      <c r="M444" s="23" t="s">
        <v>98</v>
      </c>
      <c r="N444" s="23" t="s">
        <v>114</v>
      </c>
      <c r="O444" s="23" t="s">
        <v>981</v>
      </c>
      <c r="P444" s="23" t="s">
        <v>1522</v>
      </c>
      <c r="Q444" s="23" t="s">
        <v>158</v>
      </c>
      <c r="R444" s="23" t="s">
        <v>94</v>
      </c>
      <c r="S444" s="23" t="s">
        <v>1052</v>
      </c>
      <c r="T444" s="23" t="s">
        <v>220</v>
      </c>
      <c r="U444" s="23" t="s">
        <v>114</v>
      </c>
      <c r="V444" s="23" t="s">
        <v>114</v>
      </c>
      <c r="W444" s="23" t="s">
        <v>220</v>
      </c>
      <c r="X444" s="23" t="s">
        <v>358</v>
      </c>
      <c r="Y444" s="23" t="s">
        <v>104</v>
      </c>
      <c r="Z444" s="23" t="s">
        <v>114</v>
      </c>
      <c r="AA444" s="23" t="s">
        <v>1201</v>
      </c>
      <c r="AB444" s="23" t="s">
        <v>581</v>
      </c>
      <c r="AC444" s="23" t="s">
        <v>257</v>
      </c>
      <c r="AD444" s="23" t="s">
        <v>94</v>
      </c>
      <c r="AE444" s="23" t="s">
        <v>2024</v>
      </c>
    </row>
    <row r="445" spans="1:31" hidden="1" x14ac:dyDescent="0.25">
      <c r="A445">
        <v>444</v>
      </c>
      <c r="B445" t="s">
        <v>151</v>
      </c>
      <c r="C445" t="s">
        <v>4680</v>
      </c>
      <c r="D445" t="s">
        <v>4651</v>
      </c>
      <c r="E445" t="s">
        <v>35</v>
      </c>
      <c r="F445" t="s">
        <v>162</v>
      </c>
      <c r="G445" t="s">
        <v>4681</v>
      </c>
      <c r="H445" t="s">
        <v>4677</v>
      </c>
      <c r="I445" t="s">
        <v>240</v>
      </c>
      <c r="J445" t="s">
        <v>4682</v>
      </c>
      <c r="K445" t="s">
        <v>4683</v>
      </c>
      <c r="L445" s="23" t="s">
        <v>1155</v>
      </c>
      <c r="M445" s="23" t="s">
        <v>149</v>
      </c>
      <c r="N445" s="23" t="s">
        <v>213</v>
      </c>
      <c r="O445" s="23" t="s">
        <v>384</v>
      </c>
      <c r="P445" s="23" t="s">
        <v>4705</v>
      </c>
      <c r="Q445" s="23" t="s">
        <v>932</v>
      </c>
      <c r="R445" s="23" t="s">
        <v>297</v>
      </c>
      <c r="S445" s="23" t="s">
        <v>3234</v>
      </c>
      <c r="T445" s="23" t="s">
        <v>1293</v>
      </c>
      <c r="U445" s="23" t="s">
        <v>192</v>
      </c>
      <c r="V445" s="23" t="s">
        <v>244</v>
      </c>
      <c r="W445" s="23" t="s">
        <v>1360</v>
      </c>
      <c r="X445" s="23" t="s">
        <v>3059</v>
      </c>
      <c r="Y445" s="23" t="s">
        <v>81</v>
      </c>
      <c r="Z445" s="23" t="s">
        <v>247</v>
      </c>
      <c r="AA445" s="23" t="s">
        <v>2442</v>
      </c>
      <c r="AB445" s="23" t="s">
        <v>3018</v>
      </c>
      <c r="AC445" s="23" t="s">
        <v>392</v>
      </c>
      <c r="AD445" s="23" t="s">
        <v>1507</v>
      </c>
      <c r="AE445" s="23" t="s">
        <v>4706</v>
      </c>
    </row>
    <row r="446" spans="1:31" hidden="1" x14ac:dyDescent="0.25">
      <c r="A446">
        <v>445</v>
      </c>
      <c r="B446" t="s">
        <v>76</v>
      </c>
      <c r="C446" t="s">
        <v>4707</v>
      </c>
      <c r="D446" t="s">
        <v>4708</v>
      </c>
      <c r="E446" t="s">
        <v>35</v>
      </c>
      <c r="F446" t="s">
        <v>162</v>
      </c>
      <c r="G446" t="s">
        <v>125</v>
      </c>
      <c r="H446" t="s">
        <v>4709</v>
      </c>
      <c r="I446" t="s">
        <v>300</v>
      </c>
      <c r="J446" t="s">
        <v>4710</v>
      </c>
      <c r="K446" t="s">
        <v>4711</v>
      </c>
      <c r="L446" s="23" t="s">
        <v>205</v>
      </c>
      <c r="M446" s="23" t="s">
        <v>196</v>
      </c>
      <c r="N446" s="23" t="s">
        <v>217</v>
      </c>
      <c r="O446" s="23" t="s">
        <v>2366</v>
      </c>
      <c r="P446" s="23" t="s">
        <v>3095</v>
      </c>
      <c r="Q446" s="23" t="s">
        <v>219</v>
      </c>
      <c r="R446" s="23" t="s">
        <v>2771</v>
      </c>
      <c r="S446" s="23" t="s">
        <v>4712</v>
      </c>
      <c r="T446" s="23" t="s">
        <v>1939</v>
      </c>
      <c r="U446" s="23" t="s">
        <v>113</v>
      </c>
      <c r="V446" s="23" t="s">
        <v>153</v>
      </c>
      <c r="W446" s="23" t="s">
        <v>1062</v>
      </c>
      <c r="X446" s="23" t="s">
        <v>1100</v>
      </c>
      <c r="Y446" s="23" t="s">
        <v>1507</v>
      </c>
      <c r="Z446" s="23" t="s">
        <v>97</v>
      </c>
      <c r="AA446" s="23" t="s">
        <v>1775</v>
      </c>
      <c r="AB446" s="23" t="s">
        <v>4713</v>
      </c>
      <c r="AC446" s="23" t="s">
        <v>4714</v>
      </c>
      <c r="AD446" s="23" t="s">
        <v>805</v>
      </c>
      <c r="AE446" s="23" t="s">
        <v>164</v>
      </c>
    </row>
    <row r="447" spans="1:31" hidden="1" x14ac:dyDescent="0.25">
      <c r="A447">
        <v>446</v>
      </c>
      <c r="B447" t="s">
        <v>76</v>
      </c>
      <c r="C447" t="s">
        <v>4715</v>
      </c>
      <c r="D447" t="s">
        <v>4708</v>
      </c>
      <c r="E447" t="s">
        <v>35</v>
      </c>
      <c r="F447" t="s">
        <v>162</v>
      </c>
      <c r="G447" t="s">
        <v>4716</v>
      </c>
      <c r="H447" t="s">
        <v>4717</v>
      </c>
      <c r="I447" t="s">
        <v>300</v>
      </c>
      <c r="J447" t="s">
        <v>4718</v>
      </c>
      <c r="K447" t="s">
        <v>4719</v>
      </c>
      <c r="L447" s="23" t="s">
        <v>118</v>
      </c>
      <c r="M447" s="23" t="s">
        <v>244</v>
      </c>
      <c r="N447" s="23" t="s">
        <v>94</v>
      </c>
      <c r="O447" s="23" t="s">
        <v>1316</v>
      </c>
      <c r="P447" s="23" t="s">
        <v>188</v>
      </c>
      <c r="Q447" s="23" t="s">
        <v>193</v>
      </c>
      <c r="R447" s="23" t="s">
        <v>114</v>
      </c>
      <c r="S447" s="23" t="s">
        <v>1717</v>
      </c>
      <c r="T447" s="23" t="s">
        <v>574</v>
      </c>
      <c r="U447" s="23" t="s">
        <v>150</v>
      </c>
      <c r="V447" s="23" t="s">
        <v>114</v>
      </c>
      <c r="W447" s="23" t="s">
        <v>315</v>
      </c>
      <c r="X447" s="23" t="s">
        <v>570</v>
      </c>
      <c r="Y447" s="23" t="s">
        <v>150</v>
      </c>
      <c r="Z447" s="23" t="s">
        <v>94</v>
      </c>
      <c r="AA447" s="23" t="s">
        <v>81</v>
      </c>
      <c r="AB447" s="23" t="s">
        <v>214</v>
      </c>
      <c r="AC447" s="23" t="s">
        <v>347</v>
      </c>
      <c r="AD447" s="23" t="s">
        <v>104</v>
      </c>
      <c r="AE447" s="23" t="s">
        <v>43</v>
      </c>
    </row>
    <row r="448" spans="1:31" hidden="1" x14ac:dyDescent="0.25">
      <c r="A448">
        <v>447</v>
      </c>
      <c r="B448" t="s">
        <v>76</v>
      </c>
      <c r="C448" t="s">
        <v>4720</v>
      </c>
      <c r="D448" t="s">
        <v>4708</v>
      </c>
      <c r="E448" t="s">
        <v>35</v>
      </c>
      <c r="F448" t="s">
        <v>162</v>
      </c>
      <c r="G448" t="s">
        <v>4721</v>
      </c>
      <c r="H448" t="s">
        <v>4722</v>
      </c>
      <c r="I448" t="s">
        <v>300</v>
      </c>
      <c r="J448" t="s">
        <v>4723</v>
      </c>
      <c r="K448" t="s">
        <v>4724</v>
      </c>
      <c r="L448" s="23" t="s">
        <v>32</v>
      </c>
      <c r="M448" s="23" t="s">
        <v>114</v>
      </c>
      <c r="N448" s="23" t="s">
        <v>114</v>
      </c>
      <c r="O448" s="23" t="s">
        <v>32</v>
      </c>
      <c r="P448" s="23" t="s">
        <v>115</v>
      </c>
      <c r="Q448" s="23" t="s">
        <v>94</v>
      </c>
      <c r="R448" s="23" t="s">
        <v>114</v>
      </c>
      <c r="S448" s="23" t="s">
        <v>120</v>
      </c>
      <c r="T448" s="23" t="s">
        <v>193</v>
      </c>
      <c r="U448" s="23" t="s">
        <v>114</v>
      </c>
      <c r="V448" s="23" t="s">
        <v>114</v>
      </c>
      <c r="W448" s="23" t="s">
        <v>193</v>
      </c>
      <c r="X448" s="23" t="s">
        <v>32</v>
      </c>
      <c r="Y448" s="23" t="s">
        <v>114</v>
      </c>
      <c r="Z448" s="23" t="s">
        <v>114</v>
      </c>
      <c r="AA448" s="23" t="s">
        <v>32</v>
      </c>
      <c r="AB448" s="23" t="s">
        <v>591</v>
      </c>
      <c r="AC448" s="23" t="s">
        <v>94</v>
      </c>
      <c r="AD448" s="23" t="s">
        <v>114</v>
      </c>
      <c r="AE448" s="23" t="s">
        <v>248</v>
      </c>
    </row>
    <row r="449" spans="1:31" hidden="1" x14ac:dyDescent="0.25">
      <c r="A449">
        <v>448</v>
      </c>
      <c r="B449" t="s">
        <v>76</v>
      </c>
      <c r="C449" t="s">
        <v>4725</v>
      </c>
      <c r="D449" t="s">
        <v>4708</v>
      </c>
      <c r="E449" t="s">
        <v>35</v>
      </c>
      <c r="F449" t="s">
        <v>162</v>
      </c>
      <c r="G449" t="s">
        <v>4726</v>
      </c>
      <c r="H449" t="s">
        <v>4727</v>
      </c>
      <c r="I449" t="s">
        <v>300</v>
      </c>
      <c r="J449" t="s">
        <v>4728</v>
      </c>
      <c r="K449" t="s">
        <v>4729</v>
      </c>
      <c r="L449" s="23" t="s">
        <v>257</v>
      </c>
      <c r="M449" s="23" t="s">
        <v>114</v>
      </c>
      <c r="N449" s="23" t="s">
        <v>114</v>
      </c>
      <c r="O449" s="23" t="s">
        <v>257</v>
      </c>
      <c r="P449" s="23" t="s">
        <v>768</v>
      </c>
      <c r="Q449" s="23" t="s">
        <v>94</v>
      </c>
      <c r="R449" s="23" t="s">
        <v>114</v>
      </c>
      <c r="S449" s="23" t="s">
        <v>1024</v>
      </c>
      <c r="T449" s="23" t="s">
        <v>69</v>
      </c>
      <c r="U449" s="23" t="s">
        <v>104</v>
      </c>
      <c r="V449" s="23" t="s">
        <v>114</v>
      </c>
      <c r="W449" s="23" t="s">
        <v>103</v>
      </c>
      <c r="X449" s="23" t="s">
        <v>149</v>
      </c>
      <c r="Y449" s="23" t="s">
        <v>94</v>
      </c>
      <c r="Z449" s="23" t="s">
        <v>114</v>
      </c>
      <c r="AA449" s="23" t="s">
        <v>192</v>
      </c>
      <c r="AB449" s="23" t="s">
        <v>1125</v>
      </c>
      <c r="AC449" s="23" t="s">
        <v>98</v>
      </c>
      <c r="AD449" s="23" t="s">
        <v>114</v>
      </c>
      <c r="AE449" s="23" t="s">
        <v>117</v>
      </c>
    </row>
    <row r="450" spans="1:31" hidden="1" x14ac:dyDescent="0.25">
      <c r="A450">
        <v>449</v>
      </c>
      <c r="B450" t="s">
        <v>76</v>
      </c>
      <c r="C450" t="s">
        <v>4730</v>
      </c>
      <c r="D450" t="s">
        <v>4708</v>
      </c>
      <c r="E450" t="s">
        <v>35</v>
      </c>
      <c r="F450" t="s">
        <v>162</v>
      </c>
      <c r="G450" t="s">
        <v>4731</v>
      </c>
      <c r="H450" t="s">
        <v>4732</v>
      </c>
      <c r="I450" t="s">
        <v>300</v>
      </c>
      <c r="J450" t="s">
        <v>4733</v>
      </c>
      <c r="K450" t="s">
        <v>4734</v>
      </c>
      <c r="L450" s="23" t="s">
        <v>4735</v>
      </c>
      <c r="M450" s="23" t="s">
        <v>155</v>
      </c>
      <c r="N450" s="23" t="s">
        <v>151</v>
      </c>
      <c r="O450" s="23" t="s">
        <v>1681</v>
      </c>
      <c r="P450" s="23" t="s">
        <v>4736</v>
      </c>
      <c r="Q450" s="23" t="s">
        <v>879</v>
      </c>
      <c r="R450" s="23" t="s">
        <v>302</v>
      </c>
      <c r="S450" s="23" t="s">
        <v>4737</v>
      </c>
      <c r="T450" s="23" t="s">
        <v>4080</v>
      </c>
      <c r="U450" s="23" t="s">
        <v>197</v>
      </c>
      <c r="V450" s="23" t="s">
        <v>69</v>
      </c>
      <c r="W450" s="23" t="s">
        <v>70</v>
      </c>
      <c r="X450" s="23" t="s">
        <v>1483</v>
      </c>
      <c r="Y450" s="23" t="s">
        <v>492</v>
      </c>
      <c r="Z450" s="23" t="s">
        <v>319</v>
      </c>
      <c r="AA450" s="23" t="s">
        <v>4738</v>
      </c>
      <c r="AB450" s="23" t="s">
        <v>4739</v>
      </c>
      <c r="AC450" s="23" t="s">
        <v>3776</v>
      </c>
      <c r="AD450" s="23" t="s">
        <v>2405</v>
      </c>
      <c r="AE450" s="23" t="s">
        <v>4740</v>
      </c>
    </row>
    <row r="451" spans="1:31" hidden="1" x14ac:dyDescent="0.25">
      <c r="A451">
        <v>450</v>
      </c>
      <c r="B451" t="s">
        <v>76</v>
      </c>
      <c r="C451" t="s">
        <v>4741</v>
      </c>
      <c r="D451" t="s">
        <v>4708</v>
      </c>
      <c r="E451" t="s">
        <v>35</v>
      </c>
      <c r="F451" t="s">
        <v>162</v>
      </c>
      <c r="G451" t="s">
        <v>4574</v>
      </c>
      <c r="H451" t="s">
        <v>4742</v>
      </c>
      <c r="I451" t="s">
        <v>300</v>
      </c>
      <c r="J451" t="s">
        <v>4743</v>
      </c>
      <c r="K451" t="s">
        <v>4744</v>
      </c>
      <c r="L451" s="23" t="s">
        <v>4339</v>
      </c>
      <c r="M451" s="23" t="s">
        <v>301</v>
      </c>
      <c r="N451" s="23" t="s">
        <v>489</v>
      </c>
      <c r="O451" s="23" t="s">
        <v>2265</v>
      </c>
      <c r="P451" s="23" t="s">
        <v>4745</v>
      </c>
      <c r="Q451" s="23" t="s">
        <v>2139</v>
      </c>
      <c r="R451" s="23" t="s">
        <v>750</v>
      </c>
      <c r="S451" s="23" t="s">
        <v>4746</v>
      </c>
      <c r="T451" s="23" t="s">
        <v>4747</v>
      </c>
      <c r="U451" s="23" t="s">
        <v>248</v>
      </c>
      <c r="V451" s="23" t="s">
        <v>489</v>
      </c>
      <c r="W451" s="23" t="s">
        <v>3620</v>
      </c>
      <c r="X451" s="23" t="s">
        <v>2396</v>
      </c>
      <c r="Y451" s="23" t="s">
        <v>3846</v>
      </c>
      <c r="Z451" s="23" t="s">
        <v>3724</v>
      </c>
      <c r="AA451" s="23" t="s">
        <v>880</v>
      </c>
      <c r="AB451" s="23" t="s">
        <v>4748</v>
      </c>
      <c r="AC451" s="23" t="s">
        <v>4749</v>
      </c>
      <c r="AD451" s="23" t="s">
        <v>4750</v>
      </c>
      <c r="AE451" s="23" t="s">
        <v>4751</v>
      </c>
    </row>
    <row r="452" spans="1:31" hidden="1" x14ac:dyDescent="0.25">
      <c r="A452">
        <v>451</v>
      </c>
      <c r="B452" t="s">
        <v>76</v>
      </c>
      <c r="C452" t="s">
        <v>4752</v>
      </c>
      <c r="D452" t="s">
        <v>4708</v>
      </c>
      <c r="E452" t="s">
        <v>35</v>
      </c>
      <c r="F452" t="s">
        <v>162</v>
      </c>
      <c r="G452" t="s">
        <v>4753</v>
      </c>
      <c r="H452" t="s">
        <v>4754</v>
      </c>
      <c r="I452" t="s">
        <v>300</v>
      </c>
      <c r="J452" t="s">
        <v>4755</v>
      </c>
      <c r="K452" t="s">
        <v>4756</v>
      </c>
      <c r="L452" s="23" t="s">
        <v>335</v>
      </c>
      <c r="M452" s="23" t="s">
        <v>1032</v>
      </c>
      <c r="N452" s="23" t="s">
        <v>150</v>
      </c>
      <c r="O452" s="23" t="s">
        <v>3089</v>
      </c>
      <c r="P452" s="23" t="s">
        <v>4757</v>
      </c>
      <c r="Q452" s="23" t="s">
        <v>477</v>
      </c>
      <c r="R452" s="23" t="s">
        <v>130</v>
      </c>
      <c r="S452" s="23" t="s">
        <v>573</v>
      </c>
      <c r="T452" s="23" t="s">
        <v>160</v>
      </c>
      <c r="U452" s="23" t="s">
        <v>257</v>
      </c>
      <c r="V452" s="23" t="s">
        <v>150</v>
      </c>
      <c r="W452" s="23" t="s">
        <v>767</v>
      </c>
      <c r="X452" s="23" t="s">
        <v>2024</v>
      </c>
      <c r="Y452" s="23" t="s">
        <v>149</v>
      </c>
      <c r="Z452" s="23" t="s">
        <v>122</v>
      </c>
      <c r="AA452" s="23" t="s">
        <v>1429</v>
      </c>
      <c r="AB452" s="23" t="s">
        <v>746</v>
      </c>
      <c r="AC452" s="23" t="s">
        <v>52</v>
      </c>
      <c r="AD452" s="23" t="s">
        <v>253</v>
      </c>
      <c r="AE452" s="23" t="s">
        <v>4758</v>
      </c>
    </row>
    <row r="453" spans="1:31" hidden="1" x14ac:dyDescent="0.25">
      <c r="A453">
        <v>452</v>
      </c>
      <c r="B453" t="s">
        <v>76</v>
      </c>
      <c r="C453" t="s">
        <v>4759</v>
      </c>
      <c r="D453" t="s">
        <v>4708</v>
      </c>
      <c r="E453" t="s">
        <v>35</v>
      </c>
      <c r="F453" t="s">
        <v>162</v>
      </c>
      <c r="G453" t="s">
        <v>4608</v>
      </c>
      <c r="H453" t="s">
        <v>4760</v>
      </c>
      <c r="I453" t="s">
        <v>300</v>
      </c>
      <c r="J453" t="s">
        <v>4761</v>
      </c>
      <c r="K453" t="s">
        <v>4762</v>
      </c>
      <c r="L453" s="23" t="s">
        <v>197</v>
      </c>
      <c r="M453" s="23" t="s">
        <v>104</v>
      </c>
      <c r="N453" s="23" t="s">
        <v>114</v>
      </c>
      <c r="O453" s="23" t="s">
        <v>297</v>
      </c>
      <c r="P453" s="23" t="s">
        <v>3967</v>
      </c>
      <c r="Q453" s="23" t="s">
        <v>243</v>
      </c>
      <c r="R453" s="23" t="s">
        <v>104</v>
      </c>
      <c r="S453" s="23" t="s">
        <v>3330</v>
      </c>
      <c r="T453" s="23" t="s">
        <v>2366</v>
      </c>
      <c r="U453" s="23" t="s">
        <v>94</v>
      </c>
      <c r="V453" s="23" t="s">
        <v>114</v>
      </c>
      <c r="W453" s="23" t="s">
        <v>309</v>
      </c>
      <c r="X453" s="23" t="s">
        <v>574</v>
      </c>
      <c r="Y453" s="23" t="s">
        <v>114</v>
      </c>
      <c r="Z453" s="23" t="s">
        <v>114</v>
      </c>
      <c r="AA453" s="23" t="s">
        <v>574</v>
      </c>
      <c r="AB453" s="23" t="s">
        <v>2523</v>
      </c>
      <c r="AC453" s="23" t="s">
        <v>130</v>
      </c>
      <c r="AD453" s="23" t="s">
        <v>104</v>
      </c>
      <c r="AE453" s="23" t="s">
        <v>4025</v>
      </c>
    </row>
    <row r="454" spans="1:31" hidden="1" x14ac:dyDescent="0.25">
      <c r="A454">
        <v>453</v>
      </c>
      <c r="B454" t="s">
        <v>76</v>
      </c>
      <c r="C454" t="s">
        <v>4763</v>
      </c>
      <c r="D454" t="s">
        <v>4708</v>
      </c>
      <c r="E454" t="s">
        <v>35</v>
      </c>
      <c r="F454" t="s">
        <v>162</v>
      </c>
      <c r="G454" t="s">
        <v>4764</v>
      </c>
      <c r="H454" t="s">
        <v>4765</v>
      </c>
      <c r="I454" t="s">
        <v>300</v>
      </c>
      <c r="J454" t="s">
        <v>4766</v>
      </c>
      <c r="K454" t="s">
        <v>4767</v>
      </c>
      <c r="L454" s="23" t="s">
        <v>4242</v>
      </c>
      <c r="M454" s="23" t="s">
        <v>174</v>
      </c>
      <c r="N454" s="23" t="s">
        <v>477</v>
      </c>
      <c r="O454" s="23" t="s">
        <v>524</v>
      </c>
      <c r="P454" s="23" t="s">
        <v>4768</v>
      </c>
      <c r="Q454" s="23" t="s">
        <v>827</v>
      </c>
      <c r="R454" s="23" t="s">
        <v>841</v>
      </c>
      <c r="S454" s="23" t="s">
        <v>4261</v>
      </c>
      <c r="T454" s="23" t="s">
        <v>4769</v>
      </c>
      <c r="U454" s="23" t="s">
        <v>117</v>
      </c>
      <c r="V454" s="23" t="s">
        <v>768</v>
      </c>
      <c r="W454" s="23" t="s">
        <v>4770</v>
      </c>
      <c r="X454" s="23" t="s">
        <v>4771</v>
      </c>
      <c r="Y454" s="23" t="s">
        <v>1522</v>
      </c>
      <c r="Z454" s="23" t="s">
        <v>2231</v>
      </c>
      <c r="AA454" s="23" t="s">
        <v>4772</v>
      </c>
      <c r="AB454" s="23" t="s">
        <v>4773</v>
      </c>
      <c r="AC454" s="23" t="s">
        <v>3058</v>
      </c>
      <c r="AD454" s="23" t="s">
        <v>2523</v>
      </c>
      <c r="AE454" s="23" t="s">
        <v>4774</v>
      </c>
    </row>
    <row r="455" spans="1:31" hidden="1" x14ac:dyDescent="0.25">
      <c r="A455">
        <v>454</v>
      </c>
      <c r="B455" t="s">
        <v>76</v>
      </c>
      <c r="C455" t="s">
        <v>4775</v>
      </c>
      <c r="D455" t="s">
        <v>4708</v>
      </c>
      <c r="E455" t="s">
        <v>35</v>
      </c>
      <c r="F455" t="s">
        <v>162</v>
      </c>
      <c r="G455" t="s">
        <v>4776</v>
      </c>
      <c r="H455" t="s">
        <v>4777</v>
      </c>
      <c r="I455" t="s">
        <v>163</v>
      </c>
      <c r="J455" t="s">
        <v>4778</v>
      </c>
      <c r="K455" t="s">
        <v>4779</v>
      </c>
      <c r="L455" s="23" t="s">
        <v>4210</v>
      </c>
      <c r="M455" s="23" t="s">
        <v>76</v>
      </c>
      <c r="N455" s="23" t="s">
        <v>149</v>
      </c>
      <c r="O455" s="23" t="s">
        <v>4674</v>
      </c>
      <c r="P455" s="23" t="s">
        <v>2454</v>
      </c>
      <c r="Q455" s="23" t="s">
        <v>208</v>
      </c>
      <c r="R455" s="23" t="s">
        <v>216</v>
      </c>
      <c r="S455" s="23" t="s">
        <v>209</v>
      </c>
      <c r="T455" s="23" t="s">
        <v>184</v>
      </c>
      <c r="U455" s="23" t="s">
        <v>213</v>
      </c>
      <c r="V455" s="23" t="s">
        <v>122</v>
      </c>
      <c r="W455" s="23" t="s">
        <v>2143</v>
      </c>
      <c r="X455" s="23" t="s">
        <v>224</v>
      </c>
      <c r="Y455" s="23" t="s">
        <v>297</v>
      </c>
      <c r="Z455" s="23" t="s">
        <v>247</v>
      </c>
      <c r="AA455" s="23" t="s">
        <v>1770</v>
      </c>
      <c r="AB455" s="23" t="s">
        <v>1597</v>
      </c>
      <c r="AC455" s="23" t="s">
        <v>260</v>
      </c>
      <c r="AD455" s="23" t="s">
        <v>569</v>
      </c>
      <c r="AE455" s="23" t="s">
        <v>4780</v>
      </c>
    </row>
    <row r="456" spans="1:31" hidden="1" x14ac:dyDescent="0.25">
      <c r="A456">
        <v>455</v>
      </c>
      <c r="B456" t="s">
        <v>76</v>
      </c>
      <c r="C456" t="s">
        <v>4707</v>
      </c>
      <c r="D456" t="s">
        <v>4708</v>
      </c>
      <c r="E456" t="s">
        <v>35</v>
      </c>
      <c r="F456" t="s">
        <v>36</v>
      </c>
      <c r="G456" t="s">
        <v>125</v>
      </c>
      <c r="H456" t="s">
        <v>4709</v>
      </c>
      <c r="I456" t="s">
        <v>240</v>
      </c>
      <c r="J456" t="s">
        <v>4710</v>
      </c>
      <c r="K456" t="s">
        <v>4711</v>
      </c>
      <c r="L456" s="23" t="s">
        <v>462</v>
      </c>
      <c r="M456" s="23" t="s">
        <v>297</v>
      </c>
      <c r="N456" s="23" t="s">
        <v>282</v>
      </c>
      <c r="O456" s="23" t="s">
        <v>186</v>
      </c>
      <c r="P456" s="23" t="s">
        <v>3573</v>
      </c>
      <c r="Q456" s="23" t="s">
        <v>972</v>
      </c>
      <c r="R456" s="23" t="s">
        <v>233</v>
      </c>
      <c r="S456" s="23" t="s">
        <v>3061</v>
      </c>
      <c r="T456" s="23" t="s">
        <v>2256</v>
      </c>
      <c r="U456" s="23" t="s">
        <v>246</v>
      </c>
      <c r="V456" s="23" t="s">
        <v>153</v>
      </c>
      <c r="W456" s="23" t="s">
        <v>462</v>
      </c>
      <c r="X456" s="23" t="s">
        <v>3198</v>
      </c>
      <c r="Y456" s="23" t="s">
        <v>226</v>
      </c>
      <c r="Z456" s="23" t="s">
        <v>211</v>
      </c>
      <c r="AA456" s="23" t="s">
        <v>3701</v>
      </c>
      <c r="AB456" s="23" t="s">
        <v>2046</v>
      </c>
      <c r="AC456" s="23" t="s">
        <v>1142</v>
      </c>
      <c r="AD456" s="23" t="s">
        <v>1996</v>
      </c>
      <c r="AE456" s="23" t="s">
        <v>1821</v>
      </c>
    </row>
    <row r="457" spans="1:31" hidden="1" x14ac:dyDescent="0.25">
      <c r="A457">
        <v>456</v>
      </c>
      <c r="B457" t="s">
        <v>76</v>
      </c>
      <c r="C457" t="s">
        <v>4715</v>
      </c>
      <c r="D457" t="s">
        <v>4708</v>
      </c>
      <c r="E457" t="s">
        <v>35</v>
      </c>
      <c r="F457" t="s">
        <v>36</v>
      </c>
      <c r="G457" t="s">
        <v>4716</v>
      </c>
      <c r="H457" t="s">
        <v>4717</v>
      </c>
      <c r="I457" t="s">
        <v>240</v>
      </c>
      <c r="J457" t="s">
        <v>4718</v>
      </c>
      <c r="K457" t="s">
        <v>4719</v>
      </c>
      <c r="L457" s="23" t="s">
        <v>81</v>
      </c>
      <c r="M457" s="23" t="s">
        <v>98</v>
      </c>
      <c r="N457" s="23" t="s">
        <v>94</v>
      </c>
      <c r="O457" s="23" t="s">
        <v>223</v>
      </c>
      <c r="P457" s="23" t="s">
        <v>838</v>
      </c>
      <c r="Q457" s="23" t="s">
        <v>257</v>
      </c>
      <c r="R457" s="23" t="s">
        <v>94</v>
      </c>
      <c r="S457" s="23" t="s">
        <v>259</v>
      </c>
      <c r="T457" s="23" t="s">
        <v>197</v>
      </c>
      <c r="U457" s="23" t="s">
        <v>150</v>
      </c>
      <c r="V457" s="23" t="s">
        <v>114</v>
      </c>
      <c r="W457" s="23" t="s">
        <v>185</v>
      </c>
      <c r="X457" s="23" t="s">
        <v>155</v>
      </c>
      <c r="Y457" s="23" t="s">
        <v>150</v>
      </c>
      <c r="Z457" s="23" t="s">
        <v>114</v>
      </c>
      <c r="AA457" s="23" t="s">
        <v>556</v>
      </c>
      <c r="AB457" s="23" t="s">
        <v>532</v>
      </c>
      <c r="AC457" s="23" t="s">
        <v>347</v>
      </c>
      <c r="AD457" s="23" t="s">
        <v>104</v>
      </c>
      <c r="AE457" s="23" t="s">
        <v>950</v>
      </c>
    </row>
    <row r="458" spans="1:31" hidden="1" x14ac:dyDescent="0.25">
      <c r="A458">
        <v>457</v>
      </c>
      <c r="B458" t="s">
        <v>76</v>
      </c>
      <c r="C458" t="s">
        <v>4720</v>
      </c>
      <c r="D458" t="s">
        <v>4708</v>
      </c>
      <c r="E458" t="s">
        <v>35</v>
      </c>
      <c r="F458" t="s">
        <v>36</v>
      </c>
      <c r="G458" t="s">
        <v>4721</v>
      </c>
      <c r="H458" t="s">
        <v>4722</v>
      </c>
      <c r="I458" t="s">
        <v>240</v>
      </c>
      <c r="J458" t="s">
        <v>4723</v>
      </c>
      <c r="K458" t="s">
        <v>4724</v>
      </c>
      <c r="L458" s="23" t="s">
        <v>213</v>
      </c>
      <c r="M458" s="23" t="s">
        <v>114</v>
      </c>
      <c r="N458" s="23" t="s">
        <v>114</v>
      </c>
      <c r="O458" s="23" t="s">
        <v>213</v>
      </c>
      <c r="P458" s="23" t="s">
        <v>487</v>
      </c>
      <c r="Q458" s="23" t="s">
        <v>94</v>
      </c>
      <c r="R458" s="23" t="s">
        <v>114</v>
      </c>
      <c r="S458" s="23" t="s">
        <v>559</v>
      </c>
      <c r="T458" s="23" t="s">
        <v>93</v>
      </c>
      <c r="U458" s="23" t="s">
        <v>94</v>
      </c>
      <c r="V458" s="23" t="s">
        <v>114</v>
      </c>
      <c r="W458" s="23" t="s">
        <v>246</v>
      </c>
      <c r="X458" s="23" t="s">
        <v>213</v>
      </c>
      <c r="Y458" s="23" t="s">
        <v>114</v>
      </c>
      <c r="Z458" s="23" t="s">
        <v>114</v>
      </c>
      <c r="AA458" s="23" t="s">
        <v>213</v>
      </c>
      <c r="AB458" s="23" t="s">
        <v>303</v>
      </c>
      <c r="AC458" s="23" t="s">
        <v>104</v>
      </c>
      <c r="AD458" s="23" t="s">
        <v>114</v>
      </c>
      <c r="AE458" s="23" t="s">
        <v>133</v>
      </c>
    </row>
    <row r="459" spans="1:31" hidden="1" x14ac:dyDescent="0.25">
      <c r="A459">
        <v>458</v>
      </c>
      <c r="B459" t="s">
        <v>76</v>
      </c>
      <c r="C459" t="s">
        <v>4725</v>
      </c>
      <c r="D459" t="s">
        <v>4708</v>
      </c>
      <c r="E459" t="s">
        <v>35</v>
      </c>
      <c r="F459" t="s">
        <v>36</v>
      </c>
      <c r="G459" t="s">
        <v>4726</v>
      </c>
      <c r="H459" t="s">
        <v>4727</v>
      </c>
      <c r="I459" t="s">
        <v>240</v>
      </c>
      <c r="J459" t="s">
        <v>4728</v>
      </c>
      <c r="K459" t="s">
        <v>4729</v>
      </c>
      <c r="L459" s="23" t="s">
        <v>130</v>
      </c>
      <c r="M459" s="23" t="s">
        <v>94</v>
      </c>
      <c r="N459" s="23" t="s">
        <v>114</v>
      </c>
      <c r="O459" s="23" t="s">
        <v>103</v>
      </c>
      <c r="P459" s="23" t="s">
        <v>115</v>
      </c>
      <c r="Q459" s="23" t="s">
        <v>150</v>
      </c>
      <c r="R459" s="23" t="s">
        <v>114</v>
      </c>
      <c r="S459" s="23" t="s">
        <v>295</v>
      </c>
      <c r="T459" s="23" t="s">
        <v>76</v>
      </c>
      <c r="U459" s="23" t="s">
        <v>114</v>
      </c>
      <c r="V459" s="23" t="s">
        <v>94</v>
      </c>
      <c r="W459" s="23" t="s">
        <v>253</v>
      </c>
      <c r="X459" s="23" t="s">
        <v>479</v>
      </c>
      <c r="Y459" s="23" t="s">
        <v>114</v>
      </c>
      <c r="Z459" s="23" t="s">
        <v>114</v>
      </c>
      <c r="AA459" s="23" t="s">
        <v>479</v>
      </c>
      <c r="AB459" s="23" t="s">
        <v>929</v>
      </c>
      <c r="AC459" s="23" t="s">
        <v>98</v>
      </c>
      <c r="AD459" s="23" t="s">
        <v>94</v>
      </c>
      <c r="AE459" s="23" t="s">
        <v>152</v>
      </c>
    </row>
    <row r="460" spans="1:31" hidden="1" x14ac:dyDescent="0.25">
      <c r="A460">
        <v>459</v>
      </c>
      <c r="B460" t="s">
        <v>76</v>
      </c>
      <c r="C460" t="s">
        <v>4730</v>
      </c>
      <c r="D460" t="s">
        <v>4708</v>
      </c>
      <c r="E460" t="s">
        <v>35</v>
      </c>
      <c r="F460" t="s">
        <v>36</v>
      </c>
      <c r="G460" t="s">
        <v>4731</v>
      </c>
      <c r="H460" t="s">
        <v>4732</v>
      </c>
      <c r="I460" t="s">
        <v>240</v>
      </c>
      <c r="J460" t="s">
        <v>4733</v>
      </c>
      <c r="K460" t="s">
        <v>4734</v>
      </c>
      <c r="L460" s="23" t="s">
        <v>1758</v>
      </c>
      <c r="M460" s="23" t="s">
        <v>1400</v>
      </c>
      <c r="N460" s="23" t="s">
        <v>1032</v>
      </c>
      <c r="O460" s="23" t="s">
        <v>1775</v>
      </c>
      <c r="P460" s="23" t="s">
        <v>2563</v>
      </c>
      <c r="Q460" s="23" t="s">
        <v>232</v>
      </c>
      <c r="R460" s="23" t="s">
        <v>1082</v>
      </c>
      <c r="S460" s="23" t="s">
        <v>4781</v>
      </c>
      <c r="T460" s="23" t="s">
        <v>4282</v>
      </c>
      <c r="U460" s="23" t="s">
        <v>278</v>
      </c>
      <c r="V460" s="23" t="s">
        <v>217</v>
      </c>
      <c r="W460" s="23" t="s">
        <v>2037</v>
      </c>
      <c r="X460" s="23" t="s">
        <v>2719</v>
      </c>
      <c r="Y460" s="23" t="s">
        <v>208</v>
      </c>
      <c r="Z460" s="23" t="s">
        <v>245</v>
      </c>
      <c r="AA460" s="23" t="s">
        <v>4782</v>
      </c>
      <c r="AB460" s="23" t="s">
        <v>4783</v>
      </c>
      <c r="AC460" s="23" t="s">
        <v>1445</v>
      </c>
      <c r="AD460" s="23" t="s">
        <v>1743</v>
      </c>
      <c r="AE460" s="23" t="s">
        <v>4784</v>
      </c>
    </row>
    <row r="461" spans="1:31" hidden="1" x14ac:dyDescent="0.25">
      <c r="A461">
        <v>460</v>
      </c>
      <c r="B461" t="s">
        <v>76</v>
      </c>
      <c r="C461" t="s">
        <v>4741</v>
      </c>
      <c r="D461" t="s">
        <v>4708</v>
      </c>
      <c r="E461" t="s">
        <v>35</v>
      </c>
      <c r="F461" t="s">
        <v>36</v>
      </c>
      <c r="G461" t="s">
        <v>4574</v>
      </c>
      <c r="H461" t="s">
        <v>4742</v>
      </c>
      <c r="I461" t="s">
        <v>240</v>
      </c>
      <c r="J461" t="s">
        <v>4785</v>
      </c>
      <c r="K461" t="s">
        <v>4786</v>
      </c>
      <c r="L461" s="23" t="s">
        <v>4787</v>
      </c>
      <c r="M461" s="23" t="s">
        <v>495</v>
      </c>
      <c r="N461" s="23" t="s">
        <v>100</v>
      </c>
      <c r="O461" s="23" t="s">
        <v>3302</v>
      </c>
      <c r="P461" s="23" t="s">
        <v>4788</v>
      </c>
      <c r="Q461" s="23" t="s">
        <v>335</v>
      </c>
      <c r="R461" s="23" t="s">
        <v>3934</v>
      </c>
      <c r="S461" s="23" t="s">
        <v>4789</v>
      </c>
      <c r="T461" s="23" t="s">
        <v>353</v>
      </c>
      <c r="U461" s="23" t="s">
        <v>1717</v>
      </c>
      <c r="V461" s="23" t="s">
        <v>407</v>
      </c>
      <c r="W461" s="23" t="s">
        <v>1054</v>
      </c>
      <c r="X461" s="23" t="s">
        <v>930</v>
      </c>
      <c r="Y461" s="23" t="s">
        <v>555</v>
      </c>
      <c r="Z461" s="23" t="s">
        <v>411</v>
      </c>
      <c r="AA461" s="23" t="s">
        <v>2799</v>
      </c>
      <c r="AB461" s="23" t="s">
        <v>4790</v>
      </c>
      <c r="AC461" s="23" t="s">
        <v>1836</v>
      </c>
      <c r="AD461" s="23" t="s">
        <v>3211</v>
      </c>
      <c r="AE461" s="23" t="s">
        <v>4791</v>
      </c>
    </row>
    <row r="462" spans="1:31" hidden="1" x14ac:dyDescent="0.25">
      <c r="A462">
        <v>461</v>
      </c>
      <c r="B462" t="s">
        <v>76</v>
      </c>
      <c r="C462" t="s">
        <v>4752</v>
      </c>
      <c r="D462" t="s">
        <v>4708</v>
      </c>
      <c r="E462" t="s">
        <v>35</v>
      </c>
      <c r="F462" t="s">
        <v>36</v>
      </c>
      <c r="G462" t="s">
        <v>4753</v>
      </c>
      <c r="H462" t="s">
        <v>4754</v>
      </c>
      <c r="I462" t="s">
        <v>240</v>
      </c>
      <c r="J462" t="s">
        <v>4755</v>
      </c>
      <c r="K462" t="s">
        <v>4756</v>
      </c>
      <c r="L462" s="23" t="s">
        <v>4552</v>
      </c>
      <c r="M462" s="23" t="s">
        <v>217</v>
      </c>
      <c r="N462" s="23" t="s">
        <v>77</v>
      </c>
      <c r="O462" s="23" t="s">
        <v>2212</v>
      </c>
      <c r="P462" s="23" t="s">
        <v>3573</v>
      </c>
      <c r="Q462" s="23" t="s">
        <v>714</v>
      </c>
      <c r="R462" s="23" t="s">
        <v>153</v>
      </c>
      <c r="S462" s="23" t="s">
        <v>3060</v>
      </c>
      <c r="T462" s="23" t="s">
        <v>1013</v>
      </c>
      <c r="U462" s="23" t="s">
        <v>257</v>
      </c>
      <c r="V462" s="23" t="s">
        <v>94</v>
      </c>
      <c r="W462" s="23" t="s">
        <v>2786</v>
      </c>
      <c r="X462" s="23" t="s">
        <v>4792</v>
      </c>
      <c r="Y462" s="23" t="s">
        <v>1032</v>
      </c>
      <c r="Z462" s="23" t="s">
        <v>150</v>
      </c>
      <c r="AA462" s="23" t="s">
        <v>411</v>
      </c>
      <c r="AB462" s="23" t="s">
        <v>4793</v>
      </c>
      <c r="AC462" s="23" t="s">
        <v>569</v>
      </c>
      <c r="AD462" s="23" t="s">
        <v>1032</v>
      </c>
      <c r="AE462" s="23" t="s">
        <v>4794</v>
      </c>
    </row>
    <row r="463" spans="1:31" hidden="1" x14ac:dyDescent="0.25">
      <c r="A463">
        <v>462</v>
      </c>
      <c r="B463" t="s">
        <v>76</v>
      </c>
      <c r="C463" t="s">
        <v>4759</v>
      </c>
      <c r="D463" t="s">
        <v>4708</v>
      </c>
      <c r="E463" t="s">
        <v>35</v>
      </c>
      <c r="F463" t="s">
        <v>36</v>
      </c>
      <c r="G463" t="s">
        <v>4608</v>
      </c>
      <c r="H463" t="s">
        <v>4760</v>
      </c>
      <c r="I463" t="s">
        <v>240</v>
      </c>
      <c r="J463" t="s">
        <v>4761</v>
      </c>
      <c r="K463" t="s">
        <v>4762</v>
      </c>
      <c r="L463" s="23" t="s">
        <v>1255</v>
      </c>
      <c r="M463" s="23" t="s">
        <v>150</v>
      </c>
      <c r="N463" s="23" t="s">
        <v>114</v>
      </c>
      <c r="O463" s="23" t="s">
        <v>2884</v>
      </c>
      <c r="P463" s="23" t="s">
        <v>1426</v>
      </c>
      <c r="Q463" s="23" t="s">
        <v>243</v>
      </c>
      <c r="R463" s="23" t="s">
        <v>94</v>
      </c>
      <c r="S463" s="23" t="s">
        <v>214</v>
      </c>
      <c r="T463" s="23" t="s">
        <v>118</v>
      </c>
      <c r="U463" s="23" t="s">
        <v>114</v>
      </c>
      <c r="V463" s="23" t="s">
        <v>114</v>
      </c>
      <c r="W463" s="23" t="s">
        <v>118</v>
      </c>
      <c r="X463" s="23" t="s">
        <v>3663</v>
      </c>
      <c r="Y463" s="23" t="s">
        <v>94</v>
      </c>
      <c r="Z463" s="23" t="s">
        <v>114</v>
      </c>
      <c r="AA463" s="23" t="s">
        <v>1809</v>
      </c>
      <c r="AB463" s="23" t="s">
        <v>4795</v>
      </c>
      <c r="AC463" s="23" t="s">
        <v>103</v>
      </c>
      <c r="AD463" s="23" t="s">
        <v>94</v>
      </c>
      <c r="AE463" s="23" t="s">
        <v>3059</v>
      </c>
    </row>
    <row r="464" spans="1:31" hidden="1" x14ac:dyDescent="0.25">
      <c r="A464">
        <v>463</v>
      </c>
      <c r="B464" t="s">
        <v>76</v>
      </c>
      <c r="C464" t="s">
        <v>4763</v>
      </c>
      <c r="D464" t="s">
        <v>4708</v>
      </c>
      <c r="E464" t="s">
        <v>35</v>
      </c>
      <c r="F464" t="s">
        <v>36</v>
      </c>
      <c r="G464" t="s">
        <v>4764</v>
      </c>
      <c r="H464" t="s">
        <v>4765</v>
      </c>
      <c r="I464" t="s">
        <v>240</v>
      </c>
      <c r="J464" t="s">
        <v>4766</v>
      </c>
      <c r="K464" t="s">
        <v>4767</v>
      </c>
      <c r="L464" s="23" t="s">
        <v>71</v>
      </c>
      <c r="M464" s="23" t="s">
        <v>2958</v>
      </c>
      <c r="N464" s="23" t="s">
        <v>562</v>
      </c>
      <c r="O464" s="23" t="s">
        <v>1543</v>
      </c>
      <c r="P464" s="23" t="s">
        <v>4796</v>
      </c>
      <c r="Q464" s="23" t="s">
        <v>469</v>
      </c>
      <c r="R464" s="23" t="s">
        <v>3663</v>
      </c>
      <c r="S464" s="23" t="s">
        <v>4463</v>
      </c>
      <c r="T464" s="23" t="s">
        <v>4470</v>
      </c>
      <c r="U464" s="23" t="s">
        <v>85</v>
      </c>
      <c r="V464" s="23" t="s">
        <v>295</v>
      </c>
      <c r="W464" s="23" t="s">
        <v>3645</v>
      </c>
      <c r="X464" s="23" t="s">
        <v>323</v>
      </c>
      <c r="Y464" s="23" t="s">
        <v>2717</v>
      </c>
      <c r="Z464" s="23" t="s">
        <v>3747</v>
      </c>
      <c r="AA464" s="23" t="s">
        <v>4797</v>
      </c>
      <c r="AB464" s="23" t="s">
        <v>4798</v>
      </c>
      <c r="AC464" s="23" t="s">
        <v>3110</v>
      </c>
      <c r="AD464" s="23" t="s">
        <v>4799</v>
      </c>
      <c r="AE464" s="23" t="s">
        <v>4800</v>
      </c>
    </row>
    <row r="465" spans="1:31" hidden="1" x14ac:dyDescent="0.25">
      <c r="A465">
        <v>464</v>
      </c>
      <c r="B465" t="s">
        <v>76</v>
      </c>
      <c r="C465" t="s">
        <v>4775</v>
      </c>
      <c r="D465" t="s">
        <v>4708</v>
      </c>
      <c r="E465" t="s">
        <v>35</v>
      </c>
      <c r="F465" t="s">
        <v>36</v>
      </c>
      <c r="G465" t="s">
        <v>4776</v>
      </c>
      <c r="H465" t="s">
        <v>4777</v>
      </c>
      <c r="I465" t="s">
        <v>39</v>
      </c>
      <c r="J465" t="s">
        <v>4778</v>
      </c>
      <c r="K465" t="s">
        <v>4779</v>
      </c>
      <c r="L465" s="23" t="s">
        <v>1922</v>
      </c>
      <c r="M465" s="23" t="s">
        <v>119</v>
      </c>
      <c r="N465" s="23" t="s">
        <v>479</v>
      </c>
      <c r="O465" s="23" t="s">
        <v>790</v>
      </c>
      <c r="P465" s="23" t="s">
        <v>3171</v>
      </c>
      <c r="Q465" s="23" t="s">
        <v>259</v>
      </c>
      <c r="R465" s="23" t="s">
        <v>1069</v>
      </c>
      <c r="S465" s="23" t="s">
        <v>3439</v>
      </c>
      <c r="T465" s="23" t="s">
        <v>136</v>
      </c>
      <c r="U465" s="23" t="s">
        <v>315</v>
      </c>
      <c r="V465" s="23" t="s">
        <v>69</v>
      </c>
      <c r="W465" s="23" t="s">
        <v>3088</v>
      </c>
      <c r="X465" s="23" t="s">
        <v>4801</v>
      </c>
      <c r="Y465" s="23" t="s">
        <v>1400</v>
      </c>
      <c r="Z465" s="23" t="s">
        <v>151</v>
      </c>
      <c r="AA465" s="23" t="s">
        <v>1856</v>
      </c>
      <c r="AB465" s="23" t="s">
        <v>1299</v>
      </c>
      <c r="AC465" s="23" t="s">
        <v>2498</v>
      </c>
      <c r="AD465" s="23" t="s">
        <v>152</v>
      </c>
      <c r="AE465" s="23" t="s">
        <v>4802</v>
      </c>
    </row>
    <row r="466" spans="1:31" hidden="1" x14ac:dyDescent="0.25">
      <c r="A466">
        <v>465</v>
      </c>
      <c r="B466" t="s">
        <v>118</v>
      </c>
      <c r="C466" t="s">
        <v>4803</v>
      </c>
      <c r="D466" t="s">
        <v>4804</v>
      </c>
      <c r="E466" t="s">
        <v>35</v>
      </c>
      <c r="F466" t="s">
        <v>36</v>
      </c>
      <c r="G466" t="s">
        <v>4805</v>
      </c>
      <c r="H466" t="s">
        <v>4806</v>
      </c>
      <c r="I466" t="s">
        <v>163</v>
      </c>
      <c r="J466" t="s">
        <v>4807</v>
      </c>
      <c r="K466" t="s">
        <v>4808</v>
      </c>
      <c r="L466" s="23" t="s">
        <v>4515</v>
      </c>
      <c r="M466" s="23" t="s">
        <v>130</v>
      </c>
      <c r="N466" s="23" t="s">
        <v>104</v>
      </c>
      <c r="O466" s="23" t="s">
        <v>464</v>
      </c>
      <c r="P466" s="23" t="s">
        <v>1776</v>
      </c>
      <c r="Q466" s="23" t="s">
        <v>574</v>
      </c>
      <c r="R466" s="23" t="s">
        <v>94</v>
      </c>
      <c r="S466" s="23" t="s">
        <v>4354</v>
      </c>
      <c r="T466" s="23" t="s">
        <v>232</v>
      </c>
      <c r="U466" s="23" t="s">
        <v>244</v>
      </c>
      <c r="V466" s="23" t="s">
        <v>114</v>
      </c>
      <c r="W466" s="23" t="s">
        <v>1362</v>
      </c>
      <c r="X466" s="23" t="s">
        <v>384</v>
      </c>
      <c r="Y466" s="23" t="s">
        <v>32</v>
      </c>
      <c r="Z466" s="23" t="s">
        <v>114</v>
      </c>
      <c r="AA466" s="23" t="s">
        <v>3086</v>
      </c>
      <c r="AB466" s="23" t="s">
        <v>2451</v>
      </c>
      <c r="AC466" s="23" t="s">
        <v>216</v>
      </c>
      <c r="AD466" s="23" t="s">
        <v>150</v>
      </c>
      <c r="AE466" s="23" t="s">
        <v>3690</v>
      </c>
    </row>
    <row r="467" spans="1:31" hidden="1" x14ac:dyDescent="0.25">
      <c r="A467">
        <v>466</v>
      </c>
      <c r="B467" t="s">
        <v>118</v>
      </c>
      <c r="C467" t="s">
        <v>4809</v>
      </c>
      <c r="D467" t="s">
        <v>4804</v>
      </c>
      <c r="E467" t="s">
        <v>35</v>
      </c>
      <c r="F467" t="s">
        <v>36</v>
      </c>
      <c r="G467" t="s">
        <v>4810</v>
      </c>
      <c r="H467" t="s">
        <v>4806</v>
      </c>
      <c r="I467" t="s">
        <v>163</v>
      </c>
      <c r="J467" t="s">
        <v>4811</v>
      </c>
      <c r="K467" t="s">
        <v>4812</v>
      </c>
      <c r="L467" s="23" t="s">
        <v>4813</v>
      </c>
      <c r="M467" s="23" t="s">
        <v>1729</v>
      </c>
      <c r="N467" s="23" t="s">
        <v>1951</v>
      </c>
      <c r="O467" s="23" t="s">
        <v>4814</v>
      </c>
      <c r="P467" s="23" t="s">
        <v>4815</v>
      </c>
      <c r="Q467" s="23" t="s">
        <v>4816</v>
      </c>
      <c r="R467" s="23" t="s">
        <v>2573</v>
      </c>
      <c r="S467" s="23" t="s">
        <v>4817</v>
      </c>
      <c r="T467" s="23" t="s">
        <v>1912</v>
      </c>
      <c r="U467" s="23" t="s">
        <v>1061</v>
      </c>
      <c r="V467" s="23" t="s">
        <v>101</v>
      </c>
      <c r="W467" s="23" t="s">
        <v>4818</v>
      </c>
      <c r="X467" s="23" t="s">
        <v>4819</v>
      </c>
      <c r="Y467" s="23" t="s">
        <v>1855</v>
      </c>
      <c r="Z467" s="23" t="s">
        <v>4820</v>
      </c>
      <c r="AA467" s="23" t="s">
        <v>4821</v>
      </c>
      <c r="AB467" s="23" t="s">
        <v>4822</v>
      </c>
      <c r="AC467" s="23" t="s">
        <v>2777</v>
      </c>
      <c r="AD467" s="23" t="s">
        <v>4823</v>
      </c>
      <c r="AE467" s="23" t="s">
        <v>4824</v>
      </c>
    </row>
    <row r="468" spans="1:31" hidden="1" x14ac:dyDescent="0.25">
      <c r="A468">
        <v>467</v>
      </c>
      <c r="B468" t="s">
        <v>118</v>
      </c>
      <c r="C468" t="s">
        <v>4825</v>
      </c>
      <c r="D468" t="s">
        <v>4804</v>
      </c>
      <c r="E468" t="s">
        <v>35</v>
      </c>
      <c r="F468" t="s">
        <v>36</v>
      </c>
      <c r="G468" t="s">
        <v>4826</v>
      </c>
      <c r="H468" t="s">
        <v>4806</v>
      </c>
      <c r="I468" t="s">
        <v>163</v>
      </c>
      <c r="J468" t="s">
        <v>4827</v>
      </c>
      <c r="K468" t="s">
        <v>4828</v>
      </c>
      <c r="L468" s="23" t="s">
        <v>4829</v>
      </c>
      <c r="M468" s="23" t="s">
        <v>1705</v>
      </c>
      <c r="N468" s="23" t="s">
        <v>282</v>
      </c>
      <c r="O468" s="23" t="s">
        <v>4830</v>
      </c>
      <c r="P468" s="23" t="s">
        <v>4831</v>
      </c>
      <c r="Q468" s="23" t="s">
        <v>1564</v>
      </c>
      <c r="R468" s="23" t="s">
        <v>189</v>
      </c>
      <c r="S468" s="23" t="s">
        <v>4832</v>
      </c>
      <c r="T468" s="23" t="s">
        <v>4833</v>
      </c>
      <c r="U468" s="23" t="s">
        <v>468</v>
      </c>
      <c r="V468" s="23" t="s">
        <v>213</v>
      </c>
      <c r="W468" s="23" t="s">
        <v>4834</v>
      </c>
      <c r="X468" s="23" t="s">
        <v>4835</v>
      </c>
      <c r="Y468" s="23" t="s">
        <v>165</v>
      </c>
      <c r="Z468" s="23" t="s">
        <v>559</v>
      </c>
      <c r="AA468" s="23" t="s">
        <v>4836</v>
      </c>
      <c r="AB468" s="23" t="s">
        <v>4837</v>
      </c>
      <c r="AC468" s="23" t="s">
        <v>882</v>
      </c>
      <c r="AD468" s="23" t="s">
        <v>232</v>
      </c>
      <c r="AE468" s="23" t="s">
        <v>4838</v>
      </c>
    </row>
    <row r="469" spans="1:31" hidden="1" x14ac:dyDescent="0.25">
      <c r="A469">
        <v>468</v>
      </c>
      <c r="B469" t="s">
        <v>118</v>
      </c>
      <c r="C469" t="s">
        <v>4839</v>
      </c>
      <c r="D469" t="s">
        <v>4804</v>
      </c>
      <c r="E469" t="s">
        <v>35</v>
      </c>
      <c r="F469" t="s">
        <v>36</v>
      </c>
      <c r="G469" t="s">
        <v>4840</v>
      </c>
      <c r="H469" t="s">
        <v>4806</v>
      </c>
      <c r="I469" t="s">
        <v>163</v>
      </c>
      <c r="J469" t="s">
        <v>4841</v>
      </c>
      <c r="K469" t="s">
        <v>4842</v>
      </c>
      <c r="L469" s="23" t="s">
        <v>2650</v>
      </c>
      <c r="M469" s="23" t="s">
        <v>247</v>
      </c>
      <c r="N469" s="23" t="s">
        <v>158</v>
      </c>
      <c r="O469" s="23" t="s">
        <v>1865</v>
      </c>
      <c r="P469" s="23" t="s">
        <v>2255</v>
      </c>
      <c r="Q469" s="23" t="s">
        <v>256</v>
      </c>
      <c r="R469" s="23" t="s">
        <v>213</v>
      </c>
      <c r="S469" s="23" t="s">
        <v>3063</v>
      </c>
      <c r="T469" s="23" t="s">
        <v>975</v>
      </c>
      <c r="U469" s="23" t="s">
        <v>257</v>
      </c>
      <c r="V469" s="23" t="s">
        <v>150</v>
      </c>
      <c r="W469" s="23" t="s">
        <v>2642</v>
      </c>
      <c r="X469" s="23" t="s">
        <v>1002</v>
      </c>
      <c r="Y469" s="23" t="s">
        <v>151</v>
      </c>
      <c r="Z469" s="23" t="s">
        <v>32</v>
      </c>
      <c r="AA469" s="23" t="s">
        <v>4843</v>
      </c>
      <c r="AB469" s="23" t="s">
        <v>4389</v>
      </c>
      <c r="AC469" s="23" t="s">
        <v>259</v>
      </c>
      <c r="AD469" s="23" t="s">
        <v>1032</v>
      </c>
      <c r="AE469" s="23" t="s">
        <v>3199</v>
      </c>
    </row>
    <row r="470" spans="1:31" hidden="1" x14ac:dyDescent="0.25">
      <c r="A470">
        <v>469</v>
      </c>
      <c r="B470" t="s">
        <v>118</v>
      </c>
      <c r="C470" t="s">
        <v>4844</v>
      </c>
      <c r="D470" t="s">
        <v>4804</v>
      </c>
      <c r="E470" t="s">
        <v>35</v>
      </c>
      <c r="F470" t="s">
        <v>36</v>
      </c>
      <c r="G470" t="s">
        <v>4845</v>
      </c>
      <c r="H470" t="s">
        <v>4806</v>
      </c>
      <c r="I470" t="s">
        <v>163</v>
      </c>
      <c r="J470" t="s">
        <v>4846</v>
      </c>
      <c r="K470" t="s">
        <v>4847</v>
      </c>
      <c r="L470" s="23" t="s">
        <v>4848</v>
      </c>
      <c r="M470" s="23" t="s">
        <v>1125</v>
      </c>
      <c r="N470" s="23" t="s">
        <v>315</v>
      </c>
      <c r="O470" s="23" t="s">
        <v>4849</v>
      </c>
      <c r="P470" s="23" t="s">
        <v>2016</v>
      </c>
      <c r="Q470" s="23" t="s">
        <v>43</v>
      </c>
      <c r="R470" s="23" t="s">
        <v>312</v>
      </c>
      <c r="S470" s="23" t="s">
        <v>4399</v>
      </c>
      <c r="T470" s="23" t="s">
        <v>552</v>
      </c>
      <c r="U470" s="23" t="s">
        <v>189</v>
      </c>
      <c r="V470" s="23" t="s">
        <v>153</v>
      </c>
      <c r="W470" s="23" t="s">
        <v>3698</v>
      </c>
      <c r="X470" s="23" t="s">
        <v>2411</v>
      </c>
      <c r="Y470" s="23" t="s">
        <v>1522</v>
      </c>
      <c r="Z470" s="23" t="s">
        <v>319</v>
      </c>
      <c r="AA470" s="23" t="s">
        <v>4850</v>
      </c>
      <c r="AB470" s="23" t="s">
        <v>4851</v>
      </c>
      <c r="AC470" s="23" t="s">
        <v>4852</v>
      </c>
      <c r="AD470" s="23" t="s">
        <v>43</v>
      </c>
      <c r="AE470" s="23" t="s">
        <v>4853</v>
      </c>
    </row>
    <row r="471" spans="1:31" hidden="1" x14ac:dyDescent="0.25">
      <c r="A471">
        <v>470</v>
      </c>
      <c r="B471" t="s">
        <v>118</v>
      </c>
      <c r="C471" t="s">
        <v>4854</v>
      </c>
      <c r="D471" t="s">
        <v>4804</v>
      </c>
      <c r="E471" t="s">
        <v>35</v>
      </c>
      <c r="F471" t="s">
        <v>36</v>
      </c>
      <c r="G471" t="s">
        <v>4855</v>
      </c>
      <c r="H471" t="s">
        <v>4856</v>
      </c>
      <c r="I471" t="s">
        <v>163</v>
      </c>
      <c r="J471" t="s">
        <v>4857</v>
      </c>
      <c r="K471" t="s">
        <v>4858</v>
      </c>
      <c r="L471" s="23" t="s">
        <v>3731</v>
      </c>
      <c r="M471" s="23" t="s">
        <v>119</v>
      </c>
      <c r="N471" s="23" t="s">
        <v>104</v>
      </c>
      <c r="O471" s="23" t="s">
        <v>4859</v>
      </c>
      <c r="P471" s="23" t="s">
        <v>1517</v>
      </c>
      <c r="Q471" s="23" t="s">
        <v>559</v>
      </c>
      <c r="R471" s="23" t="s">
        <v>150</v>
      </c>
      <c r="S471" s="23" t="s">
        <v>4860</v>
      </c>
      <c r="T471" s="23" t="s">
        <v>1295</v>
      </c>
      <c r="U471" s="23" t="s">
        <v>153</v>
      </c>
      <c r="V471" s="23" t="s">
        <v>114</v>
      </c>
      <c r="W471" s="23" t="s">
        <v>1533</v>
      </c>
      <c r="X471" s="23" t="s">
        <v>4861</v>
      </c>
      <c r="Y471" s="23" t="s">
        <v>223</v>
      </c>
      <c r="Z471" s="23" t="s">
        <v>32</v>
      </c>
      <c r="AA471" s="23" t="s">
        <v>3060</v>
      </c>
      <c r="AB471" s="23" t="s">
        <v>4862</v>
      </c>
      <c r="AC471" s="23" t="s">
        <v>1362</v>
      </c>
      <c r="AD471" s="23" t="s">
        <v>246</v>
      </c>
      <c r="AE471" s="23" t="s">
        <v>4863</v>
      </c>
    </row>
    <row r="472" spans="1:31" hidden="1" x14ac:dyDescent="0.25">
      <c r="A472">
        <v>471</v>
      </c>
      <c r="B472" t="s">
        <v>118</v>
      </c>
      <c r="C472" t="s">
        <v>4864</v>
      </c>
      <c r="D472" t="s">
        <v>4804</v>
      </c>
      <c r="E472" t="s">
        <v>35</v>
      </c>
      <c r="F472" t="s">
        <v>36</v>
      </c>
      <c r="G472" t="s">
        <v>4865</v>
      </c>
      <c r="H472" t="s">
        <v>4866</v>
      </c>
      <c r="I472" t="s">
        <v>163</v>
      </c>
      <c r="J472" t="s">
        <v>4867</v>
      </c>
      <c r="K472" t="s">
        <v>4868</v>
      </c>
      <c r="L472" s="23" t="s">
        <v>1032</v>
      </c>
      <c r="M472" s="23" t="s">
        <v>104</v>
      </c>
      <c r="N472" s="23" t="s">
        <v>114</v>
      </c>
      <c r="O472" s="23" t="s">
        <v>76</v>
      </c>
      <c r="P472" s="23" t="s">
        <v>426</v>
      </c>
      <c r="Q472" s="23" t="s">
        <v>98</v>
      </c>
      <c r="R472" s="23" t="s">
        <v>114</v>
      </c>
      <c r="S472" s="23" t="s">
        <v>155</v>
      </c>
      <c r="T472" s="23" t="s">
        <v>93</v>
      </c>
      <c r="U472" s="23" t="s">
        <v>114</v>
      </c>
      <c r="V472" s="23" t="s">
        <v>114</v>
      </c>
      <c r="W472" s="23" t="s">
        <v>93</v>
      </c>
      <c r="X472" s="23" t="s">
        <v>151</v>
      </c>
      <c r="Y472" s="23" t="s">
        <v>114</v>
      </c>
      <c r="Z472" s="23" t="s">
        <v>114</v>
      </c>
      <c r="AA472" s="23" t="s">
        <v>151</v>
      </c>
      <c r="AB472" s="23" t="s">
        <v>117</v>
      </c>
      <c r="AC472" s="23" t="s">
        <v>158</v>
      </c>
      <c r="AD472" s="23" t="s">
        <v>114</v>
      </c>
      <c r="AE472" s="23" t="s">
        <v>1464</v>
      </c>
    </row>
    <row r="473" spans="1:31" hidden="1" x14ac:dyDescent="0.25">
      <c r="A473">
        <v>472</v>
      </c>
      <c r="B473" t="s">
        <v>118</v>
      </c>
      <c r="C473" t="s">
        <v>4803</v>
      </c>
      <c r="D473" t="s">
        <v>4804</v>
      </c>
      <c r="E473" t="s">
        <v>35</v>
      </c>
      <c r="F473" t="s">
        <v>162</v>
      </c>
      <c r="G473" t="s">
        <v>4805</v>
      </c>
      <c r="H473" t="s">
        <v>4806</v>
      </c>
      <c r="I473" t="s">
        <v>39</v>
      </c>
      <c r="J473" t="s">
        <v>4807</v>
      </c>
      <c r="K473" t="s">
        <v>4808</v>
      </c>
      <c r="L473" s="23" t="s">
        <v>330</v>
      </c>
      <c r="M473" s="23" t="s">
        <v>1032</v>
      </c>
      <c r="N473" s="23" t="s">
        <v>77</v>
      </c>
      <c r="O473" s="23" t="s">
        <v>165</v>
      </c>
      <c r="P473" s="23" t="s">
        <v>2448</v>
      </c>
      <c r="Q473" s="23" t="s">
        <v>259</v>
      </c>
      <c r="R473" s="23" t="s">
        <v>77</v>
      </c>
      <c r="S473" s="23" t="s">
        <v>4869</v>
      </c>
      <c r="T473" s="23" t="s">
        <v>4870</v>
      </c>
      <c r="U473" s="23" t="s">
        <v>151</v>
      </c>
      <c r="V473" s="23" t="s">
        <v>104</v>
      </c>
      <c r="W473" s="23" t="s">
        <v>1297</v>
      </c>
      <c r="X473" s="23" t="s">
        <v>3347</v>
      </c>
      <c r="Y473" s="23" t="s">
        <v>192</v>
      </c>
      <c r="Z473" s="23" t="s">
        <v>104</v>
      </c>
      <c r="AA473" s="23" t="s">
        <v>1865</v>
      </c>
      <c r="AB473" s="23" t="s">
        <v>509</v>
      </c>
      <c r="AC473" s="23" t="s">
        <v>329</v>
      </c>
      <c r="AD473" s="23" t="s">
        <v>479</v>
      </c>
      <c r="AE473" s="23" t="s">
        <v>4871</v>
      </c>
    </row>
    <row r="474" spans="1:31" hidden="1" x14ac:dyDescent="0.25">
      <c r="A474">
        <v>473</v>
      </c>
      <c r="B474" t="s">
        <v>118</v>
      </c>
      <c r="C474" t="s">
        <v>4809</v>
      </c>
      <c r="D474" t="s">
        <v>4804</v>
      </c>
      <c r="E474" t="s">
        <v>35</v>
      </c>
      <c r="F474" t="s">
        <v>162</v>
      </c>
      <c r="G474" t="s">
        <v>4810</v>
      </c>
      <c r="H474" t="s">
        <v>4806</v>
      </c>
      <c r="I474" t="s">
        <v>39</v>
      </c>
      <c r="J474" t="s">
        <v>4811</v>
      </c>
      <c r="K474" t="s">
        <v>4812</v>
      </c>
      <c r="L474" s="23" t="s">
        <v>4872</v>
      </c>
      <c r="M474" s="23" t="s">
        <v>203</v>
      </c>
      <c r="N474" s="23" t="s">
        <v>3663</v>
      </c>
      <c r="O474" s="23" t="s">
        <v>4873</v>
      </c>
      <c r="P474" s="23" t="s">
        <v>4874</v>
      </c>
      <c r="Q474" s="23" t="s">
        <v>3984</v>
      </c>
      <c r="R474" s="23" t="s">
        <v>3426</v>
      </c>
      <c r="S474" s="23" t="s">
        <v>4875</v>
      </c>
      <c r="T474" s="23" t="s">
        <v>4876</v>
      </c>
      <c r="U474" s="23" t="s">
        <v>333</v>
      </c>
      <c r="V474" s="23" t="s">
        <v>205</v>
      </c>
      <c r="W474" s="23" t="s">
        <v>4877</v>
      </c>
      <c r="X474" s="23" t="s">
        <v>4878</v>
      </c>
      <c r="Y474" s="23" t="s">
        <v>3634</v>
      </c>
      <c r="Z474" s="23" t="s">
        <v>2776</v>
      </c>
      <c r="AA474" s="23" t="s">
        <v>2202</v>
      </c>
      <c r="AB474" s="23" t="s">
        <v>4879</v>
      </c>
      <c r="AC474" s="23" t="s">
        <v>4880</v>
      </c>
      <c r="AD474" s="23" t="s">
        <v>4881</v>
      </c>
      <c r="AE474" s="23" t="s">
        <v>4882</v>
      </c>
    </row>
    <row r="475" spans="1:31" hidden="1" x14ac:dyDescent="0.25">
      <c r="A475">
        <v>474</v>
      </c>
      <c r="B475" t="s">
        <v>118</v>
      </c>
      <c r="C475" t="s">
        <v>4825</v>
      </c>
      <c r="D475" t="s">
        <v>4804</v>
      </c>
      <c r="E475" t="s">
        <v>35</v>
      </c>
      <c r="F475" t="s">
        <v>162</v>
      </c>
      <c r="G475" t="s">
        <v>4826</v>
      </c>
      <c r="H475" t="s">
        <v>4806</v>
      </c>
      <c r="I475" t="s">
        <v>39</v>
      </c>
      <c r="J475" t="s">
        <v>4827</v>
      </c>
      <c r="K475" t="s">
        <v>4828</v>
      </c>
      <c r="L475" s="23" t="s">
        <v>4883</v>
      </c>
      <c r="M475" s="23" t="s">
        <v>2216</v>
      </c>
      <c r="N475" s="23" t="s">
        <v>69</v>
      </c>
      <c r="O475" s="23" t="s">
        <v>3876</v>
      </c>
      <c r="P475" s="23" t="s">
        <v>4884</v>
      </c>
      <c r="Q475" s="23" t="s">
        <v>1527</v>
      </c>
      <c r="R475" s="23" t="s">
        <v>477</v>
      </c>
      <c r="S475" s="23" t="s">
        <v>4885</v>
      </c>
      <c r="T475" s="23" t="s">
        <v>1010</v>
      </c>
      <c r="U475" s="23" t="s">
        <v>154</v>
      </c>
      <c r="V475" s="23" t="s">
        <v>479</v>
      </c>
      <c r="W475" s="23" t="s">
        <v>4886</v>
      </c>
      <c r="X475" s="23" t="s">
        <v>4887</v>
      </c>
      <c r="Y475" s="23" t="s">
        <v>490</v>
      </c>
      <c r="Z475" s="23" t="s">
        <v>297</v>
      </c>
      <c r="AA475" s="23" t="s">
        <v>4888</v>
      </c>
      <c r="AB475" s="23" t="s">
        <v>4889</v>
      </c>
      <c r="AC475" s="23" t="s">
        <v>3698</v>
      </c>
      <c r="AD475" s="23" t="s">
        <v>264</v>
      </c>
      <c r="AE475" s="23" t="s">
        <v>4890</v>
      </c>
    </row>
    <row r="476" spans="1:31" hidden="1" x14ac:dyDescent="0.25">
      <c r="A476">
        <v>475</v>
      </c>
      <c r="B476" t="s">
        <v>118</v>
      </c>
      <c r="C476" t="s">
        <v>4839</v>
      </c>
      <c r="D476" t="s">
        <v>4804</v>
      </c>
      <c r="E476" t="s">
        <v>35</v>
      </c>
      <c r="F476" t="s">
        <v>162</v>
      </c>
      <c r="G476" t="s">
        <v>4840</v>
      </c>
      <c r="H476" t="s">
        <v>4806</v>
      </c>
      <c r="I476" t="s">
        <v>39</v>
      </c>
      <c r="J476" t="s">
        <v>4841</v>
      </c>
      <c r="K476" t="s">
        <v>4842</v>
      </c>
      <c r="L476" s="23" t="s">
        <v>815</v>
      </c>
      <c r="M476" s="23" t="s">
        <v>149</v>
      </c>
      <c r="N476" s="23" t="s">
        <v>104</v>
      </c>
      <c r="O476" s="23" t="s">
        <v>462</v>
      </c>
      <c r="P476" s="23" t="s">
        <v>2286</v>
      </c>
      <c r="Q476" s="23" t="s">
        <v>220</v>
      </c>
      <c r="R476" s="23" t="s">
        <v>243</v>
      </c>
      <c r="S476" s="23" t="s">
        <v>2037</v>
      </c>
      <c r="T476" s="23" t="s">
        <v>1947</v>
      </c>
      <c r="U476" s="23" t="s">
        <v>151</v>
      </c>
      <c r="V476" s="23" t="s">
        <v>150</v>
      </c>
      <c r="W476" s="23" t="s">
        <v>2008</v>
      </c>
      <c r="X476" s="23" t="s">
        <v>1556</v>
      </c>
      <c r="Y476" s="23" t="s">
        <v>297</v>
      </c>
      <c r="Z476" s="23" t="s">
        <v>98</v>
      </c>
      <c r="AA476" s="23" t="s">
        <v>523</v>
      </c>
      <c r="AB476" s="23" t="s">
        <v>272</v>
      </c>
      <c r="AC476" s="23" t="s">
        <v>579</v>
      </c>
      <c r="AD476" s="23" t="s">
        <v>247</v>
      </c>
      <c r="AE476" s="23" t="s">
        <v>4891</v>
      </c>
    </row>
    <row r="477" spans="1:31" hidden="1" x14ac:dyDescent="0.25">
      <c r="A477">
        <v>476</v>
      </c>
      <c r="B477" t="s">
        <v>118</v>
      </c>
      <c r="C477" t="s">
        <v>4844</v>
      </c>
      <c r="D477" t="s">
        <v>4804</v>
      </c>
      <c r="E477" t="s">
        <v>35</v>
      </c>
      <c r="F477" t="s">
        <v>162</v>
      </c>
      <c r="G477" t="s">
        <v>4845</v>
      </c>
      <c r="H477" t="s">
        <v>4806</v>
      </c>
      <c r="I477" t="s">
        <v>39</v>
      </c>
      <c r="J477" t="s">
        <v>4846</v>
      </c>
      <c r="K477" t="s">
        <v>4847</v>
      </c>
      <c r="L477" s="23" t="s">
        <v>1803</v>
      </c>
      <c r="M477" s="23" t="s">
        <v>220</v>
      </c>
      <c r="N477" s="23" t="s">
        <v>185</v>
      </c>
      <c r="O477" s="23" t="s">
        <v>4892</v>
      </c>
      <c r="P477" s="23" t="s">
        <v>4893</v>
      </c>
      <c r="Q477" s="23" t="s">
        <v>790</v>
      </c>
      <c r="R477" s="23" t="s">
        <v>1464</v>
      </c>
      <c r="S477" s="23" t="s">
        <v>4894</v>
      </c>
      <c r="T477" s="23" t="s">
        <v>4895</v>
      </c>
      <c r="U477" s="23" t="s">
        <v>468</v>
      </c>
      <c r="V477" s="23" t="s">
        <v>149</v>
      </c>
      <c r="W477" s="23" t="s">
        <v>1380</v>
      </c>
      <c r="X477" s="23" t="s">
        <v>3362</v>
      </c>
      <c r="Y477" s="23" t="s">
        <v>838</v>
      </c>
      <c r="Z477" s="23" t="s">
        <v>295</v>
      </c>
      <c r="AA477" s="23" t="s">
        <v>4896</v>
      </c>
      <c r="AB477" s="23" t="s">
        <v>4897</v>
      </c>
      <c r="AC477" s="23" t="s">
        <v>567</v>
      </c>
      <c r="AD477" s="23" t="s">
        <v>1267</v>
      </c>
      <c r="AE477" s="23" t="s">
        <v>4898</v>
      </c>
    </row>
    <row r="478" spans="1:31" hidden="1" x14ac:dyDescent="0.25">
      <c r="A478">
        <v>477</v>
      </c>
      <c r="B478" t="s">
        <v>118</v>
      </c>
      <c r="C478" t="s">
        <v>4854</v>
      </c>
      <c r="D478" t="s">
        <v>4804</v>
      </c>
      <c r="E478" t="s">
        <v>35</v>
      </c>
      <c r="F478" t="s">
        <v>162</v>
      </c>
      <c r="G478" t="s">
        <v>4855</v>
      </c>
      <c r="H478" t="s">
        <v>4856</v>
      </c>
      <c r="I478" t="s">
        <v>39</v>
      </c>
      <c r="J478" t="s">
        <v>4857</v>
      </c>
      <c r="K478" t="s">
        <v>4858</v>
      </c>
      <c r="L478" s="23" t="s">
        <v>1104</v>
      </c>
      <c r="M478" s="23" t="s">
        <v>570</v>
      </c>
      <c r="N478" s="23" t="s">
        <v>104</v>
      </c>
      <c r="O478" s="23" t="s">
        <v>1283</v>
      </c>
      <c r="P478" s="23" t="s">
        <v>4899</v>
      </c>
      <c r="Q478" s="23" t="s">
        <v>2346</v>
      </c>
      <c r="R478" s="23" t="s">
        <v>93</v>
      </c>
      <c r="S478" s="23" t="s">
        <v>908</v>
      </c>
      <c r="T478" s="23" t="s">
        <v>3856</v>
      </c>
      <c r="U478" s="23" t="s">
        <v>295</v>
      </c>
      <c r="V478" s="23" t="s">
        <v>98</v>
      </c>
      <c r="W478" s="23" t="s">
        <v>4693</v>
      </c>
      <c r="X478" s="23" t="s">
        <v>4900</v>
      </c>
      <c r="Y478" s="23" t="s">
        <v>295</v>
      </c>
      <c r="Z478" s="23" t="s">
        <v>98</v>
      </c>
      <c r="AA478" s="23" t="s">
        <v>655</v>
      </c>
      <c r="AB478" s="23" t="s">
        <v>1385</v>
      </c>
      <c r="AC478" s="23" t="s">
        <v>2256</v>
      </c>
      <c r="AD478" s="23" t="s">
        <v>282</v>
      </c>
      <c r="AE478" s="23" t="s">
        <v>3672</v>
      </c>
    </row>
    <row r="479" spans="1:31" hidden="1" x14ac:dyDescent="0.25">
      <c r="A479">
        <v>478</v>
      </c>
      <c r="B479" t="s">
        <v>118</v>
      </c>
      <c r="C479" t="s">
        <v>4864</v>
      </c>
      <c r="D479" t="s">
        <v>4804</v>
      </c>
      <c r="E479" t="s">
        <v>35</v>
      </c>
      <c r="F479" t="s">
        <v>162</v>
      </c>
      <c r="G479" t="s">
        <v>4865</v>
      </c>
      <c r="H479" t="s">
        <v>4866</v>
      </c>
      <c r="I479" t="s">
        <v>39</v>
      </c>
      <c r="J479" t="s">
        <v>4867</v>
      </c>
      <c r="K479" t="s">
        <v>4868</v>
      </c>
      <c r="L479" s="23" t="s">
        <v>213</v>
      </c>
      <c r="M479" s="23" t="s">
        <v>94</v>
      </c>
      <c r="N479" s="23" t="s">
        <v>114</v>
      </c>
      <c r="O479" s="23" t="s">
        <v>193</v>
      </c>
      <c r="P479" s="23" t="s">
        <v>81</v>
      </c>
      <c r="Q479" s="23" t="s">
        <v>77</v>
      </c>
      <c r="R479" s="23" t="s">
        <v>114</v>
      </c>
      <c r="S479" s="23" t="s">
        <v>1400</v>
      </c>
      <c r="T479" s="23" t="s">
        <v>149</v>
      </c>
      <c r="U479" s="23" t="s">
        <v>114</v>
      </c>
      <c r="V479" s="23" t="s">
        <v>114</v>
      </c>
      <c r="W479" s="23" t="s">
        <v>149</v>
      </c>
      <c r="X479" s="23" t="s">
        <v>197</v>
      </c>
      <c r="Y479" s="23" t="s">
        <v>94</v>
      </c>
      <c r="Z479" s="23" t="s">
        <v>114</v>
      </c>
      <c r="AA479" s="23" t="s">
        <v>138</v>
      </c>
      <c r="AB479" s="23" t="s">
        <v>304</v>
      </c>
      <c r="AC479" s="23" t="s">
        <v>213</v>
      </c>
      <c r="AD479" s="23" t="s">
        <v>114</v>
      </c>
      <c r="AE479" s="23" t="s">
        <v>201</v>
      </c>
    </row>
    <row r="480" spans="1:31" hidden="1" x14ac:dyDescent="0.25">
      <c r="A480">
        <v>479</v>
      </c>
      <c r="B480" t="s">
        <v>118</v>
      </c>
      <c r="C480" t="s">
        <v>4864</v>
      </c>
      <c r="D480" t="s">
        <v>4901</v>
      </c>
      <c r="E480" t="s">
        <v>35</v>
      </c>
      <c r="F480" t="s">
        <v>36</v>
      </c>
      <c r="G480" t="s">
        <v>4865</v>
      </c>
      <c r="H480" t="s">
        <v>4866</v>
      </c>
      <c r="I480" t="s">
        <v>163</v>
      </c>
      <c r="J480" t="s">
        <v>4867</v>
      </c>
      <c r="K480" t="s">
        <v>4868</v>
      </c>
      <c r="L480" s="23" t="s">
        <v>1032</v>
      </c>
      <c r="M480" s="23" t="s">
        <v>104</v>
      </c>
      <c r="N480" s="23" t="s">
        <v>114</v>
      </c>
      <c r="O480" s="23" t="s">
        <v>76</v>
      </c>
      <c r="P480" s="23" t="s">
        <v>426</v>
      </c>
      <c r="Q480" s="23" t="s">
        <v>98</v>
      </c>
      <c r="R480" s="23" t="s">
        <v>114</v>
      </c>
      <c r="S480" s="23" t="s">
        <v>155</v>
      </c>
      <c r="T480" s="23" t="s">
        <v>93</v>
      </c>
      <c r="U480" s="23" t="s">
        <v>114</v>
      </c>
      <c r="V480" s="23" t="s">
        <v>114</v>
      </c>
      <c r="W480" s="23" t="s">
        <v>93</v>
      </c>
      <c r="X480" s="23" t="s">
        <v>151</v>
      </c>
      <c r="Y480" s="23" t="s">
        <v>114</v>
      </c>
      <c r="Z480" s="23" t="s">
        <v>114</v>
      </c>
      <c r="AA480" s="23" t="s">
        <v>151</v>
      </c>
      <c r="AB480" s="23" t="s">
        <v>117</v>
      </c>
      <c r="AC480" s="23" t="s">
        <v>158</v>
      </c>
      <c r="AD480" s="23" t="s">
        <v>114</v>
      </c>
      <c r="AE480" s="23" t="s">
        <v>1464</v>
      </c>
    </row>
    <row r="481" spans="1:31" hidden="1" x14ac:dyDescent="0.25">
      <c r="A481">
        <v>480</v>
      </c>
      <c r="B481" t="s">
        <v>118</v>
      </c>
      <c r="C481" t="s">
        <v>4902</v>
      </c>
      <c r="D481" t="s">
        <v>4901</v>
      </c>
      <c r="E481" t="s">
        <v>35</v>
      </c>
      <c r="F481" t="s">
        <v>36</v>
      </c>
      <c r="G481" t="s">
        <v>4776</v>
      </c>
      <c r="H481" t="s">
        <v>4777</v>
      </c>
      <c r="I481" t="s">
        <v>163</v>
      </c>
      <c r="J481" t="s">
        <v>4778</v>
      </c>
      <c r="K481" t="s">
        <v>4779</v>
      </c>
      <c r="L481" s="23" t="s">
        <v>4210</v>
      </c>
      <c r="M481" s="23" t="s">
        <v>76</v>
      </c>
      <c r="N481" s="23" t="s">
        <v>149</v>
      </c>
      <c r="O481" s="23" t="s">
        <v>4674</v>
      </c>
      <c r="P481" s="23" t="s">
        <v>2454</v>
      </c>
      <c r="Q481" s="23" t="s">
        <v>208</v>
      </c>
      <c r="R481" s="23" t="s">
        <v>216</v>
      </c>
      <c r="S481" s="23" t="s">
        <v>209</v>
      </c>
      <c r="T481" s="23" t="s">
        <v>184</v>
      </c>
      <c r="U481" s="23" t="s">
        <v>213</v>
      </c>
      <c r="V481" s="23" t="s">
        <v>122</v>
      </c>
      <c r="W481" s="23" t="s">
        <v>2143</v>
      </c>
      <c r="X481" s="23" t="s">
        <v>224</v>
      </c>
      <c r="Y481" s="23" t="s">
        <v>297</v>
      </c>
      <c r="Z481" s="23" t="s">
        <v>247</v>
      </c>
      <c r="AA481" s="23" t="s">
        <v>1770</v>
      </c>
      <c r="AB481" s="23" t="s">
        <v>1597</v>
      </c>
      <c r="AC481" s="23" t="s">
        <v>260</v>
      </c>
      <c r="AD481" s="23" t="s">
        <v>569</v>
      </c>
      <c r="AE481" s="23" t="s">
        <v>4780</v>
      </c>
    </row>
    <row r="482" spans="1:31" hidden="1" x14ac:dyDescent="0.25">
      <c r="A482">
        <v>481</v>
      </c>
      <c r="B482" t="s">
        <v>118</v>
      </c>
      <c r="C482" t="s">
        <v>4903</v>
      </c>
      <c r="D482" t="s">
        <v>4901</v>
      </c>
      <c r="E482" t="s">
        <v>35</v>
      </c>
      <c r="F482" t="s">
        <v>36</v>
      </c>
      <c r="G482" t="s">
        <v>4764</v>
      </c>
      <c r="H482" t="s">
        <v>4765</v>
      </c>
      <c r="I482" t="s">
        <v>300</v>
      </c>
      <c r="J482" t="s">
        <v>4766</v>
      </c>
      <c r="K482" t="s">
        <v>4767</v>
      </c>
      <c r="L482" s="23" t="s">
        <v>4242</v>
      </c>
      <c r="M482" s="23" t="s">
        <v>174</v>
      </c>
      <c r="N482" s="23" t="s">
        <v>477</v>
      </c>
      <c r="O482" s="23" t="s">
        <v>524</v>
      </c>
      <c r="P482" s="23" t="s">
        <v>4768</v>
      </c>
      <c r="Q482" s="23" t="s">
        <v>827</v>
      </c>
      <c r="R482" s="23" t="s">
        <v>841</v>
      </c>
      <c r="S482" s="23" t="s">
        <v>4261</v>
      </c>
      <c r="T482" s="23" t="s">
        <v>4769</v>
      </c>
      <c r="U482" s="23" t="s">
        <v>117</v>
      </c>
      <c r="V482" s="23" t="s">
        <v>768</v>
      </c>
      <c r="W482" s="23" t="s">
        <v>4770</v>
      </c>
      <c r="X482" s="23" t="s">
        <v>4771</v>
      </c>
      <c r="Y482" s="23" t="s">
        <v>1522</v>
      </c>
      <c r="Z482" s="23" t="s">
        <v>2231</v>
      </c>
      <c r="AA482" s="23" t="s">
        <v>4772</v>
      </c>
      <c r="AB482" s="23" t="s">
        <v>4773</v>
      </c>
      <c r="AC482" s="23" t="s">
        <v>3058</v>
      </c>
      <c r="AD482" s="23" t="s">
        <v>2523</v>
      </c>
      <c r="AE482" s="23" t="s">
        <v>4774</v>
      </c>
    </row>
    <row r="483" spans="1:31" hidden="1" x14ac:dyDescent="0.25">
      <c r="A483">
        <v>482</v>
      </c>
      <c r="B483" t="s">
        <v>118</v>
      </c>
      <c r="C483" t="s">
        <v>4864</v>
      </c>
      <c r="D483" t="s">
        <v>4901</v>
      </c>
      <c r="E483" t="s">
        <v>35</v>
      </c>
      <c r="F483" t="s">
        <v>162</v>
      </c>
      <c r="G483" t="s">
        <v>4865</v>
      </c>
      <c r="H483" t="s">
        <v>4866</v>
      </c>
      <c r="I483" t="s">
        <v>39</v>
      </c>
      <c r="J483" t="s">
        <v>4867</v>
      </c>
      <c r="K483" t="s">
        <v>4868</v>
      </c>
      <c r="L483" s="23" t="s">
        <v>213</v>
      </c>
      <c r="M483" s="23" t="s">
        <v>94</v>
      </c>
      <c r="N483" s="23" t="s">
        <v>114</v>
      </c>
      <c r="O483" s="23" t="s">
        <v>193</v>
      </c>
      <c r="P483" s="23" t="s">
        <v>81</v>
      </c>
      <c r="Q483" s="23" t="s">
        <v>77</v>
      </c>
      <c r="R483" s="23" t="s">
        <v>114</v>
      </c>
      <c r="S483" s="23" t="s">
        <v>1400</v>
      </c>
      <c r="T483" s="23" t="s">
        <v>149</v>
      </c>
      <c r="U483" s="23" t="s">
        <v>114</v>
      </c>
      <c r="V483" s="23" t="s">
        <v>114</v>
      </c>
      <c r="W483" s="23" t="s">
        <v>149</v>
      </c>
      <c r="X483" s="23" t="s">
        <v>197</v>
      </c>
      <c r="Y483" s="23" t="s">
        <v>94</v>
      </c>
      <c r="Z483" s="23" t="s">
        <v>114</v>
      </c>
      <c r="AA483" s="23" t="s">
        <v>138</v>
      </c>
      <c r="AB483" s="23" t="s">
        <v>304</v>
      </c>
      <c r="AC483" s="23" t="s">
        <v>213</v>
      </c>
      <c r="AD483" s="23" t="s">
        <v>114</v>
      </c>
      <c r="AE483" s="23" t="s">
        <v>201</v>
      </c>
    </row>
    <row r="484" spans="1:31" hidden="1" x14ac:dyDescent="0.25">
      <c r="A484">
        <v>483</v>
      </c>
      <c r="B484" t="s">
        <v>118</v>
      </c>
      <c r="C484" t="s">
        <v>4902</v>
      </c>
      <c r="D484" t="s">
        <v>4901</v>
      </c>
      <c r="E484" t="s">
        <v>35</v>
      </c>
      <c r="F484" t="s">
        <v>162</v>
      </c>
      <c r="G484" t="s">
        <v>4776</v>
      </c>
      <c r="H484" t="s">
        <v>4777</v>
      </c>
      <c r="I484" t="s">
        <v>39</v>
      </c>
      <c r="J484" t="s">
        <v>4778</v>
      </c>
      <c r="K484" t="s">
        <v>4779</v>
      </c>
      <c r="L484" s="23" t="s">
        <v>1922</v>
      </c>
      <c r="M484" s="23" t="s">
        <v>119</v>
      </c>
      <c r="N484" s="23" t="s">
        <v>479</v>
      </c>
      <c r="O484" s="23" t="s">
        <v>790</v>
      </c>
      <c r="P484" s="23" t="s">
        <v>3171</v>
      </c>
      <c r="Q484" s="23" t="s">
        <v>259</v>
      </c>
      <c r="R484" s="23" t="s">
        <v>1069</v>
      </c>
      <c r="S484" s="23" t="s">
        <v>3439</v>
      </c>
      <c r="T484" s="23" t="s">
        <v>136</v>
      </c>
      <c r="U484" s="23" t="s">
        <v>315</v>
      </c>
      <c r="V484" s="23" t="s">
        <v>69</v>
      </c>
      <c r="W484" s="23" t="s">
        <v>3088</v>
      </c>
      <c r="X484" s="23" t="s">
        <v>4801</v>
      </c>
      <c r="Y484" s="23" t="s">
        <v>1400</v>
      </c>
      <c r="Z484" s="23" t="s">
        <v>151</v>
      </c>
      <c r="AA484" s="23" t="s">
        <v>1856</v>
      </c>
      <c r="AB484" s="23" t="s">
        <v>1299</v>
      </c>
      <c r="AC484" s="23" t="s">
        <v>2498</v>
      </c>
      <c r="AD484" s="23" t="s">
        <v>152</v>
      </c>
      <c r="AE484" s="23" t="s">
        <v>4802</v>
      </c>
    </row>
    <row r="485" spans="1:31" hidden="1" x14ac:dyDescent="0.25">
      <c r="A485">
        <v>484</v>
      </c>
      <c r="B485" t="s">
        <v>118</v>
      </c>
      <c r="C485" t="s">
        <v>4903</v>
      </c>
      <c r="D485" t="s">
        <v>4901</v>
      </c>
      <c r="E485" t="s">
        <v>35</v>
      </c>
      <c r="F485" t="s">
        <v>162</v>
      </c>
      <c r="G485" t="s">
        <v>4764</v>
      </c>
      <c r="H485" t="s">
        <v>4765</v>
      </c>
      <c r="I485" t="s">
        <v>240</v>
      </c>
      <c r="J485" t="s">
        <v>4766</v>
      </c>
      <c r="K485" t="s">
        <v>4767</v>
      </c>
      <c r="L485" s="23" t="s">
        <v>71</v>
      </c>
      <c r="M485" s="23" t="s">
        <v>2958</v>
      </c>
      <c r="N485" s="23" t="s">
        <v>562</v>
      </c>
      <c r="O485" s="23" t="s">
        <v>1543</v>
      </c>
      <c r="P485" s="23" t="s">
        <v>4796</v>
      </c>
      <c r="Q485" s="23" t="s">
        <v>469</v>
      </c>
      <c r="R485" s="23" t="s">
        <v>3663</v>
      </c>
      <c r="S485" s="23" t="s">
        <v>4463</v>
      </c>
      <c r="T485" s="23" t="s">
        <v>4470</v>
      </c>
      <c r="U485" s="23" t="s">
        <v>85</v>
      </c>
      <c r="V485" s="23" t="s">
        <v>295</v>
      </c>
      <c r="W485" s="23" t="s">
        <v>3645</v>
      </c>
      <c r="X485" s="23" t="s">
        <v>323</v>
      </c>
      <c r="Y485" s="23" t="s">
        <v>2717</v>
      </c>
      <c r="Z485" s="23" t="s">
        <v>3747</v>
      </c>
      <c r="AA485" s="23" t="s">
        <v>4797</v>
      </c>
      <c r="AB485" s="23" t="s">
        <v>4798</v>
      </c>
      <c r="AC485" s="23" t="s">
        <v>3110</v>
      </c>
      <c r="AD485" s="23" t="s">
        <v>4799</v>
      </c>
      <c r="AE485" s="23" t="s">
        <v>4800</v>
      </c>
    </row>
    <row r="486" spans="1:31" hidden="1" x14ac:dyDescent="0.25">
      <c r="A486">
        <v>485</v>
      </c>
      <c r="B486" t="s">
        <v>4904</v>
      </c>
      <c r="C486" t="s">
        <v>4905</v>
      </c>
      <c r="D486" t="s">
        <v>4906</v>
      </c>
      <c r="E486" t="s">
        <v>35</v>
      </c>
      <c r="F486" t="s">
        <v>36</v>
      </c>
      <c r="G486" t="s">
        <v>4907</v>
      </c>
      <c r="H486" t="s">
        <v>4908</v>
      </c>
      <c r="I486" t="s">
        <v>300</v>
      </c>
      <c r="J486" t="s">
        <v>4909</v>
      </c>
      <c r="K486" t="s">
        <v>4910</v>
      </c>
      <c r="L486" s="23" t="s">
        <v>3966</v>
      </c>
      <c r="M486" s="23" t="s">
        <v>297</v>
      </c>
      <c r="N486" s="23" t="s">
        <v>94</v>
      </c>
      <c r="O486" s="23" t="s">
        <v>75</v>
      </c>
      <c r="P486" s="23" t="s">
        <v>2448</v>
      </c>
      <c r="Q486" s="23" t="s">
        <v>1069</v>
      </c>
      <c r="R486" s="23" t="s">
        <v>94</v>
      </c>
      <c r="S486" s="23" t="s">
        <v>4911</v>
      </c>
      <c r="T486" s="23" t="s">
        <v>2449</v>
      </c>
      <c r="U486" s="23" t="s">
        <v>479</v>
      </c>
      <c r="V486" s="23" t="s">
        <v>114</v>
      </c>
      <c r="W486" s="23" t="s">
        <v>4016</v>
      </c>
      <c r="X486" s="23" t="s">
        <v>2723</v>
      </c>
      <c r="Y486" s="23" t="s">
        <v>570</v>
      </c>
      <c r="Z486" s="23" t="s">
        <v>114</v>
      </c>
      <c r="AA486" s="23" t="s">
        <v>3088</v>
      </c>
      <c r="AB486" s="23" t="s">
        <v>4912</v>
      </c>
      <c r="AC486" s="23" t="s">
        <v>1162</v>
      </c>
      <c r="AD486" s="23" t="s">
        <v>104</v>
      </c>
      <c r="AE486" s="23" t="s">
        <v>4913</v>
      </c>
    </row>
    <row r="487" spans="1:31" hidden="1" x14ac:dyDescent="0.25">
      <c r="A487">
        <v>486</v>
      </c>
      <c r="B487" t="s">
        <v>4904</v>
      </c>
      <c r="C487" t="s">
        <v>4914</v>
      </c>
      <c r="D487" t="s">
        <v>4906</v>
      </c>
      <c r="E487" t="s">
        <v>35</v>
      </c>
      <c r="F487" t="s">
        <v>36</v>
      </c>
      <c r="G487" t="s">
        <v>4915</v>
      </c>
      <c r="H487" t="s">
        <v>4908</v>
      </c>
      <c r="I487" t="s">
        <v>300</v>
      </c>
      <c r="J487" t="s">
        <v>4916</v>
      </c>
      <c r="K487" t="s">
        <v>4917</v>
      </c>
      <c r="L487" s="23" t="s">
        <v>2303</v>
      </c>
      <c r="M487" s="23" t="s">
        <v>507</v>
      </c>
      <c r="N487" s="23" t="s">
        <v>193</v>
      </c>
      <c r="O487" s="23" t="s">
        <v>4918</v>
      </c>
      <c r="P487" s="23" t="s">
        <v>4919</v>
      </c>
      <c r="Q487" s="23" t="s">
        <v>2768</v>
      </c>
      <c r="R487" s="23" t="s">
        <v>768</v>
      </c>
      <c r="S487" s="23" t="s">
        <v>4920</v>
      </c>
      <c r="T487" s="23" t="s">
        <v>3950</v>
      </c>
      <c r="U487" s="23" t="s">
        <v>256</v>
      </c>
      <c r="V487" s="23" t="s">
        <v>77</v>
      </c>
      <c r="W487" s="23" t="s">
        <v>4102</v>
      </c>
      <c r="X487" s="23" t="s">
        <v>4921</v>
      </c>
      <c r="Y487" s="23" t="s">
        <v>569</v>
      </c>
      <c r="Z487" s="23" t="s">
        <v>479</v>
      </c>
      <c r="AA487" s="23" t="s">
        <v>4922</v>
      </c>
      <c r="AB487" s="23" t="s">
        <v>4923</v>
      </c>
      <c r="AC487" s="23" t="s">
        <v>2951</v>
      </c>
      <c r="AD487" s="23" t="s">
        <v>248</v>
      </c>
      <c r="AE487" s="23" t="s">
        <v>4924</v>
      </c>
    </row>
    <row r="488" spans="1:31" hidden="1" x14ac:dyDescent="0.25">
      <c r="A488">
        <v>487</v>
      </c>
      <c r="B488" t="s">
        <v>4904</v>
      </c>
      <c r="C488" t="s">
        <v>4925</v>
      </c>
      <c r="D488" t="s">
        <v>4906</v>
      </c>
      <c r="E488" t="s">
        <v>35</v>
      </c>
      <c r="F488" t="s">
        <v>36</v>
      </c>
      <c r="G488" t="s">
        <v>4926</v>
      </c>
      <c r="H488" t="s">
        <v>4908</v>
      </c>
      <c r="I488" t="s">
        <v>300</v>
      </c>
      <c r="J488" t="s">
        <v>4927</v>
      </c>
      <c r="K488" t="s">
        <v>4928</v>
      </c>
      <c r="L488" s="23" t="s">
        <v>388</v>
      </c>
      <c r="M488" s="23" t="s">
        <v>156</v>
      </c>
      <c r="N488" s="23" t="s">
        <v>114</v>
      </c>
      <c r="O488" s="23" t="s">
        <v>3147</v>
      </c>
      <c r="P488" s="23" t="s">
        <v>3995</v>
      </c>
      <c r="Q488" s="23" t="s">
        <v>1362</v>
      </c>
      <c r="R488" s="23" t="s">
        <v>93</v>
      </c>
      <c r="S488" s="23" t="s">
        <v>694</v>
      </c>
      <c r="T488" s="23" t="s">
        <v>1371</v>
      </c>
      <c r="U488" s="23" t="s">
        <v>81</v>
      </c>
      <c r="V488" s="23" t="s">
        <v>98</v>
      </c>
      <c r="W488" s="23" t="s">
        <v>1423</v>
      </c>
      <c r="X488" s="23" t="s">
        <v>4929</v>
      </c>
      <c r="Y488" s="23" t="s">
        <v>455</v>
      </c>
      <c r="Z488" s="23" t="s">
        <v>77</v>
      </c>
      <c r="AA488" s="23" t="s">
        <v>4930</v>
      </c>
      <c r="AB488" s="23" t="s">
        <v>4931</v>
      </c>
      <c r="AC488" s="23" t="s">
        <v>1533</v>
      </c>
      <c r="AD488" s="23" t="s">
        <v>336</v>
      </c>
      <c r="AE488" s="23" t="s">
        <v>4932</v>
      </c>
    </row>
    <row r="489" spans="1:31" hidden="1" x14ac:dyDescent="0.25">
      <c r="A489">
        <v>488</v>
      </c>
      <c r="B489" t="s">
        <v>4904</v>
      </c>
      <c r="C489" t="s">
        <v>4933</v>
      </c>
      <c r="D489" t="s">
        <v>4906</v>
      </c>
      <c r="E489" t="s">
        <v>35</v>
      </c>
      <c r="F489" t="s">
        <v>36</v>
      </c>
      <c r="G489" t="s">
        <v>4764</v>
      </c>
      <c r="H489" t="s">
        <v>4908</v>
      </c>
      <c r="I489" t="s">
        <v>300</v>
      </c>
      <c r="J489" t="s">
        <v>4934</v>
      </c>
      <c r="K489" t="s">
        <v>4935</v>
      </c>
      <c r="L489" s="23" t="s">
        <v>2869</v>
      </c>
      <c r="M489" s="23" t="s">
        <v>676</v>
      </c>
      <c r="N489" s="23" t="s">
        <v>281</v>
      </c>
      <c r="O489" s="23" t="s">
        <v>4936</v>
      </c>
      <c r="P489" s="23" t="s">
        <v>4937</v>
      </c>
      <c r="Q489" s="23" t="s">
        <v>4548</v>
      </c>
      <c r="R489" s="23" t="s">
        <v>1758</v>
      </c>
      <c r="S489" s="23" t="s">
        <v>4938</v>
      </c>
      <c r="T489" s="23" t="s">
        <v>1202</v>
      </c>
      <c r="U489" s="23" t="s">
        <v>495</v>
      </c>
      <c r="V489" s="23" t="s">
        <v>714</v>
      </c>
      <c r="W489" s="23" t="s">
        <v>4939</v>
      </c>
      <c r="X489" s="23" t="s">
        <v>4940</v>
      </c>
      <c r="Y489" s="23" t="s">
        <v>400</v>
      </c>
      <c r="Z489" s="23" t="s">
        <v>1295</v>
      </c>
      <c r="AA489" s="23" t="s">
        <v>4941</v>
      </c>
      <c r="AB489" s="23" t="s">
        <v>4942</v>
      </c>
      <c r="AC489" s="23" t="s">
        <v>4943</v>
      </c>
      <c r="AD489" s="23" t="s">
        <v>404</v>
      </c>
      <c r="AE489" s="23" t="s">
        <v>2548</v>
      </c>
    </row>
    <row r="490" spans="1:31" hidden="1" x14ac:dyDescent="0.25">
      <c r="A490">
        <v>489</v>
      </c>
      <c r="B490" t="s">
        <v>4904</v>
      </c>
      <c r="C490" t="s">
        <v>4944</v>
      </c>
      <c r="D490" t="s">
        <v>4906</v>
      </c>
      <c r="E490" t="s">
        <v>35</v>
      </c>
      <c r="F490" t="s">
        <v>36</v>
      </c>
      <c r="G490" t="s">
        <v>4945</v>
      </c>
      <c r="H490" t="s">
        <v>4908</v>
      </c>
      <c r="I490" t="s">
        <v>300</v>
      </c>
      <c r="J490" t="s">
        <v>4946</v>
      </c>
      <c r="K490" t="s">
        <v>4947</v>
      </c>
      <c r="L490" s="23" t="s">
        <v>477</v>
      </c>
      <c r="M490" s="23" t="s">
        <v>223</v>
      </c>
      <c r="N490" s="23" t="s">
        <v>119</v>
      </c>
      <c r="O490" s="23" t="s">
        <v>142</v>
      </c>
      <c r="P490" s="23" t="s">
        <v>152</v>
      </c>
      <c r="Q490" s="23" t="s">
        <v>52</v>
      </c>
      <c r="R490" s="23" t="s">
        <v>929</v>
      </c>
      <c r="S490" s="23" t="s">
        <v>2388</v>
      </c>
      <c r="T490" s="23" t="s">
        <v>243</v>
      </c>
      <c r="U490" s="23" t="s">
        <v>32</v>
      </c>
      <c r="V490" s="23" t="s">
        <v>193</v>
      </c>
      <c r="W490" s="23" t="s">
        <v>138</v>
      </c>
      <c r="X490" s="23" t="s">
        <v>1712</v>
      </c>
      <c r="Y490" s="23" t="s">
        <v>185</v>
      </c>
      <c r="Z490" s="23" t="s">
        <v>192</v>
      </c>
      <c r="AA490" s="23" t="s">
        <v>593</v>
      </c>
      <c r="AB490" s="23" t="s">
        <v>3086</v>
      </c>
      <c r="AC490" s="23" t="s">
        <v>1089</v>
      </c>
      <c r="AD490" s="23" t="s">
        <v>598</v>
      </c>
      <c r="AE490" s="23" t="s">
        <v>3164</v>
      </c>
    </row>
    <row r="491" spans="1:31" hidden="1" x14ac:dyDescent="0.25">
      <c r="A491">
        <v>490</v>
      </c>
      <c r="B491" t="s">
        <v>4904</v>
      </c>
      <c r="C491" t="s">
        <v>4948</v>
      </c>
      <c r="D491" t="s">
        <v>4906</v>
      </c>
      <c r="E491" t="s">
        <v>35</v>
      </c>
      <c r="F491" t="s">
        <v>36</v>
      </c>
      <c r="G491" t="s">
        <v>4949</v>
      </c>
      <c r="H491" t="s">
        <v>4908</v>
      </c>
      <c r="I491" t="s">
        <v>300</v>
      </c>
      <c r="J491" t="s">
        <v>4950</v>
      </c>
      <c r="K491" t="s">
        <v>4951</v>
      </c>
      <c r="L491" s="23" t="s">
        <v>3127</v>
      </c>
      <c r="M491" s="23" t="s">
        <v>118</v>
      </c>
      <c r="N491" s="23" t="s">
        <v>257</v>
      </c>
      <c r="O491" s="23" t="s">
        <v>3103</v>
      </c>
      <c r="P491" s="23" t="s">
        <v>4952</v>
      </c>
      <c r="Q491" s="23" t="s">
        <v>591</v>
      </c>
      <c r="R491" s="23" t="s">
        <v>197</v>
      </c>
      <c r="S491" s="23" t="s">
        <v>4953</v>
      </c>
      <c r="T491" s="23" t="s">
        <v>4211</v>
      </c>
      <c r="U491" s="23" t="s">
        <v>336</v>
      </c>
      <c r="V491" s="23" t="s">
        <v>213</v>
      </c>
      <c r="W491" s="23" t="s">
        <v>3856</v>
      </c>
      <c r="X491" s="23" t="s">
        <v>4104</v>
      </c>
      <c r="Y491" s="23" t="s">
        <v>245</v>
      </c>
      <c r="Z491" s="23" t="s">
        <v>245</v>
      </c>
      <c r="AA491" s="23" t="s">
        <v>842</v>
      </c>
      <c r="AB491" s="23" t="s">
        <v>4954</v>
      </c>
      <c r="AC491" s="23" t="s">
        <v>2384</v>
      </c>
      <c r="AD491" s="23" t="s">
        <v>2346</v>
      </c>
      <c r="AE491" s="23" t="s">
        <v>4955</v>
      </c>
    </row>
    <row r="492" spans="1:31" hidden="1" x14ac:dyDescent="0.25">
      <c r="A492">
        <v>491</v>
      </c>
      <c r="B492" t="s">
        <v>4904</v>
      </c>
      <c r="C492" t="s">
        <v>4905</v>
      </c>
      <c r="D492" t="s">
        <v>4906</v>
      </c>
      <c r="E492" t="s">
        <v>35</v>
      </c>
      <c r="F492" t="s">
        <v>162</v>
      </c>
      <c r="G492" t="s">
        <v>4907</v>
      </c>
      <c r="H492" t="s">
        <v>4908</v>
      </c>
      <c r="I492" t="s">
        <v>240</v>
      </c>
      <c r="J492" t="s">
        <v>4909</v>
      </c>
      <c r="K492" t="s">
        <v>4910</v>
      </c>
      <c r="L492" s="23" t="s">
        <v>862</v>
      </c>
      <c r="M492" s="23" t="s">
        <v>149</v>
      </c>
      <c r="N492" s="23" t="s">
        <v>114</v>
      </c>
      <c r="O492" s="23" t="s">
        <v>3979</v>
      </c>
      <c r="P492" s="23" t="s">
        <v>4956</v>
      </c>
      <c r="Q492" s="23" t="s">
        <v>319</v>
      </c>
      <c r="R492" s="23" t="s">
        <v>114</v>
      </c>
      <c r="S492" s="23" t="s">
        <v>3584</v>
      </c>
      <c r="T492" s="23" t="s">
        <v>1640</v>
      </c>
      <c r="U492" s="23" t="s">
        <v>217</v>
      </c>
      <c r="V492" s="23" t="s">
        <v>114</v>
      </c>
      <c r="W492" s="23" t="s">
        <v>369</v>
      </c>
      <c r="X492" s="23" t="s">
        <v>327</v>
      </c>
      <c r="Y492" s="23" t="s">
        <v>347</v>
      </c>
      <c r="Z492" s="23" t="s">
        <v>114</v>
      </c>
      <c r="AA492" s="23" t="s">
        <v>911</v>
      </c>
      <c r="AB492" s="23" t="s">
        <v>4957</v>
      </c>
      <c r="AC492" s="23" t="s">
        <v>408</v>
      </c>
      <c r="AD492" s="23" t="s">
        <v>114</v>
      </c>
      <c r="AE492" s="23" t="s">
        <v>4958</v>
      </c>
    </row>
    <row r="493" spans="1:31" hidden="1" x14ac:dyDescent="0.25">
      <c r="A493">
        <v>492</v>
      </c>
      <c r="B493" t="s">
        <v>4904</v>
      </c>
      <c r="C493" t="s">
        <v>4914</v>
      </c>
      <c r="D493" t="s">
        <v>4906</v>
      </c>
      <c r="E493" t="s">
        <v>35</v>
      </c>
      <c r="F493" t="s">
        <v>162</v>
      </c>
      <c r="G493" t="s">
        <v>4915</v>
      </c>
      <c r="H493" t="s">
        <v>4908</v>
      </c>
      <c r="I493" t="s">
        <v>240</v>
      </c>
      <c r="J493" t="s">
        <v>4916</v>
      </c>
      <c r="K493" t="s">
        <v>4917</v>
      </c>
      <c r="L493" s="23" t="s">
        <v>4465</v>
      </c>
      <c r="M493" s="23" t="s">
        <v>2216</v>
      </c>
      <c r="N493" s="23" t="s">
        <v>153</v>
      </c>
      <c r="O493" s="23" t="s">
        <v>3984</v>
      </c>
      <c r="P493" s="23" t="s">
        <v>4959</v>
      </c>
      <c r="Q493" s="23" t="s">
        <v>2613</v>
      </c>
      <c r="R493" s="23" t="s">
        <v>278</v>
      </c>
      <c r="S493" s="23" t="s">
        <v>4960</v>
      </c>
      <c r="T493" s="23" t="s">
        <v>3047</v>
      </c>
      <c r="U493" s="23" t="s">
        <v>256</v>
      </c>
      <c r="V493" s="23" t="s">
        <v>77</v>
      </c>
      <c r="W493" s="23" t="s">
        <v>1189</v>
      </c>
      <c r="X493" s="23" t="s">
        <v>1870</v>
      </c>
      <c r="Y493" s="23" t="s">
        <v>154</v>
      </c>
      <c r="Z493" s="23" t="s">
        <v>196</v>
      </c>
      <c r="AA493" s="23" t="s">
        <v>4961</v>
      </c>
      <c r="AB493" s="23" t="s">
        <v>4962</v>
      </c>
      <c r="AC493" s="23" t="s">
        <v>4963</v>
      </c>
      <c r="AD493" s="23" t="s">
        <v>1082</v>
      </c>
      <c r="AE493" s="23" t="s">
        <v>4964</v>
      </c>
    </row>
    <row r="494" spans="1:31" hidden="1" x14ac:dyDescent="0.25">
      <c r="A494">
        <v>493</v>
      </c>
      <c r="B494" t="s">
        <v>4904</v>
      </c>
      <c r="C494" t="s">
        <v>4925</v>
      </c>
      <c r="D494" t="s">
        <v>4906</v>
      </c>
      <c r="E494" t="s">
        <v>35</v>
      </c>
      <c r="F494" t="s">
        <v>162</v>
      </c>
      <c r="G494" t="s">
        <v>4926</v>
      </c>
      <c r="H494" t="s">
        <v>4908</v>
      </c>
      <c r="I494" t="s">
        <v>240</v>
      </c>
      <c r="J494" t="s">
        <v>4927</v>
      </c>
      <c r="K494" t="s">
        <v>4928</v>
      </c>
      <c r="L494" s="23" t="s">
        <v>4965</v>
      </c>
      <c r="M494" s="23" t="s">
        <v>559</v>
      </c>
      <c r="N494" s="23" t="s">
        <v>150</v>
      </c>
      <c r="O494" s="23" t="s">
        <v>1003</v>
      </c>
      <c r="P494" s="23" t="s">
        <v>509</v>
      </c>
      <c r="Q494" s="23" t="s">
        <v>230</v>
      </c>
      <c r="R494" s="23" t="s">
        <v>130</v>
      </c>
      <c r="S494" s="23" t="s">
        <v>2593</v>
      </c>
      <c r="T494" s="23" t="s">
        <v>4966</v>
      </c>
      <c r="U494" s="23" t="s">
        <v>574</v>
      </c>
      <c r="V494" s="23" t="s">
        <v>98</v>
      </c>
      <c r="W494" s="23" t="s">
        <v>2009</v>
      </c>
      <c r="X494" s="23" t="s">
        <v>4967</v>
      </c>
      <c r="Y494" s="23" t="s">
        <v>559</v>
      </c>
      <c r="Z494" s="23" t="s">
        <v>104</v>
      </c>
      <c r="AA494" s="23" t="s">
        <v>3105</v>
      </c>
      <c r="AB494" s="23" t="s">
        <v>4968</v>
      </c>
      <c r="AC494" s="23" t="s">
        <v>310</v>
      </c>
      <c r="AD494" s="23" t="s">
        <v>192</v>
      </c>
      <c r="AE494" s="23" t="s">
        <v>4969</v>
      </c>
    </row>
    <row r="495" spans="1:31" hidden="1" x14ac:dyDescent="0.25">
      <c r="A495">
        <v>494</v>
      </c>
      <c r="B495" t="s">
        <v>4904</v>
      </c>
      <c r="C495" t="s">
        <v>4933</v>
      </c>
      <c r="D495" t="s">
        <v>4906</v>
      </c>
      <c r="E495" t="s">
        <v>35</v>
      </c>
      <c r="F495" t="s">
        <v>162</v>
      </c>
      <c r="G495" t="s">
        <v>4764</v>
      </c>
      <c r="H495" t="s">
        <v>4908</v>
      </c>
      <c r="I495" t="s">
        <v>240</v>
      </c>
      <c r="J495" t="s">
        <v>4934</v>
      </c>
      <c r="K495" t="s">
        <v>4935</v>
      </c>
      <c r="L495" s="23" t="s">
        <v>2115</v>
      </c>
      <c r="M495" s="23" t="s">
        <v>1089</v>
      </c>
      <c r="N495" s="23" t="s">
        <v>1791</v>
      </c>
      <c r="O495" s="23" t="s">
        <v>4339</v>
      </c>
      <c r="P495" s="23" t="s">
        <v>4970</v>
      </c>
      <c r="Q495" s="23" t="s">
        <v>2054</v>
      </c>
      <c r="R495" s="23" t="s">
        <v>369</v>
      </c>
      <c r="S495" s="23" t="s">
        <v>4971</v>
      </c>
      <c r="T495" s="23" t="s">
        <v>4972</v>
      </c>
      <c r="U495" s="23" t="s">
        <v>501</v>
      </c>
      <c r="V495" s="23" t="s">
        <v>220</v>
      </c>
      <c r="W495" s="23" t="s">
        <v>4973</v>
      </c>
      <c r="X495" s="23" t="s">
        <v>3694</v>
      </c>
      <c r="Y495" s="23" t="s">
        <v>1104</v>
      </c>
      <c r="Z495" s="23" t="s">
        <v>3747</v>
      </c>
      <c r="AA495" s="23" t="s">
        <v>4974</v>
      </c>
      <c r="AB495" s="23" t="s">
        <v>4975</v>
      </c>
      <c r="AC495" s="23" t="s">
        <v>4976</v>
      </c>
      <c r="AD495" s="23" t="s">
        <v>4977</v>
      </c>
      <c r="AE495" s="23" t="s">
        <v>4978</v>
      </c>
    </row>
    <row r="496" spans="1:31" hidden="1" x14ac:dyDescent="0.25">
      <c r="A496">
        <v>495</v>
      </c>
      <c r="B496" t="s">
        <v>4904</v>
      </c>
      <c r="C496" t="s">
        <v>4944</v>
      </c>
      <c r="D496" t="s">
        <v>4906</v>
      </c>
      <c r="E496" t="s">
        <v>35</v>
      </c>
      <c r="F496" t="s">
        <v>162</v>
      </c>
      <c r="G496" t="s">
        <v>4945</v>
      </c>
      <c r="H496" t="s">
        <v>4908</v>
      </c>
      <c r="I496" t="s">
        <v>240</v>
      </c>
      <c r="J496" t="s">
        <v>4946</v>
      </c>
      <c r="K496" t="s">
        <v>4947</v>
      </c>
      <c r="L496" s="23" t="s">
        <v>185</v>
      </c>
      <c r="M496" s="23" t="s">
        <v>570</v>
      </c>
      <c r="N496" s="23" t="s">
        <v>119</v>
      </c>
      <c r="O496" s="23" t="s">
        <v>302</v>
      </c>
      <c r="P496" s="23" t="s">
        <v>200</v>
      </c>
      <c r="Q496" s="23" t="s">
        <v>142</v>
      </c>
      <c r="R496" s="23" t="s">
        <v>1500</v>
      </c>
      <c r="S496" s="23" t="s">
        <v>2128</v>
      </c>
      <c r="T496" s="23" t="s">
        <v>303</v>
      </c>
      <c r="U496" s="23" t="s">
        <v>130</v>
      </c>
      <c r="V496" s="23" t="s">
        <v>130</v>
      </c>
      <c r="W496" s="23" t="s">
        <v>1201</v>
      </c>
      <c r="X496" s="23" t="s">
        <v>189</v>
      </c>
      <c r="Y496" s="23" t="s">
        <v>93</v>
      </c>
      <c r="Z496" s="23" t="s">
        <v>130</v>
      </c>
      <c r="AA496" s="23" t="s">
        <v>133</v>
      </c>
      <c r="AB496" s="23" t="s">
        <v>229</v>
      </c>
      <c r="AC496" s="23" t="s">
        <v>330</v>
      </c>
      <c r="AD496" s="23" t="s">
        <v>760</v>
      </c>
      <c r="AE496" s="23" t="s">
        <v>2437</v>
      </c>
    </row>
    <row r="497" spans="1:31" hidden="1" x14ac:dyDescent="0.25">
      <c r="A497">
        <v>496</v>
      </c>
      <c r="B497" t="s">
        <v>4904</v>
      </c>
      <c r="C497" t="s">
        <v>4948</v>
      </c>
      <c r="D497" t="s">
        <v>4906</v>
      </c>
      <c r="E497" t="s">
        <v>35</v>
      </c>
      <c r="F497" t="s">
        <v>162</v>
      </c>
      <c r="G497" t="s">
        <v>4949</v>
      </c>
      <c r="H497" t="s">
        <v>4908</v>
      </c>
      <c r="I497" t="s">
        <v>240</v>
      </c>
      <c r="J497" t="s">
        <v>4950</v>
      </c>
      <c r="K497" t="s">
        <v>4951</v>
      </c>
      <c r="L497" s="23" t="s">
        <v>3198</v>
      </c>
      <c r="M497" s="23" t="s">
        <v>253</v>
      </c>
      <c r="N497" s="23" t="s">
        <v>193</v>
      </c>
      <c r="O497" s="23" t="s">
        <v>4979</v>
      </c>
      <c r="P497" s="23" t="s">
        <v>106</v>
      </c>
      <c r="Q497" s="23" t="s">
        <v>772</v>
      </c>
      <c r="R497" s="23" t="s">
        <v>253</v>
      </c>
      <c r="S497" s="23" t="s">
        <v>4980</v>
      </c>
      <c r="T497" s="23" t="s">
        <v>2255</v>
      </c>
      <c r="U497" s="23" t="s">
        <v>197</v>
      </c>
      <c r="V497" s="23" t="s">
        <v>153</v>
      </c>
      <c r="W497" s="23" t="s">
        <v>491</v>
      </c>
      <c r="X497" s="23" t="s">
        <v>4444</v>
      </c>
      <c r="Y497" s="23" t="s">
        <v>73</v>
      </c>
      <c r="Z497" s="23" t="s">
        <v>559</v>
      </c>
      <c r="AA497" s="23" t="s">
        <v>1928</v>
      </c>
      <c r="AB497" s="23" t="s">
        <v>4981</v>
      </c>
      <c r="AC497" s="23" t="s">
        <v>658</v>
      </c>
      <c r="AD497" s="23" t="s">
        <v>2346</v>
      </c>
      <c r="AE497" s="23" t="s">
        <v>4982</v>
      </c>
    </row>
    <row r="498" spans="1:31" hidden="1" x14ac:dyDescent="0.25">
      <c r="A498">
        <v>497</v>
      </c>
      <c r="B498" t="s">
        <v>119</v>
      </c>
      <c r="C498" t="s">
        <v>4983</v>
      </c>
      <c r="D498" t="s">
        <v>4984</v>
      </c>
      <c r="E498" t="s">
        <v>35</v>
      </c>
      <c r="F498" t="s">
        <v>36</v>
      </c>
      <c r="G498" t="s">
        <v>4985</v>
      </c>
      <c r="H498" t="s">
        <v>4986</v>
      </c>
      <c r="I498" t="s">
        <v>163</v>
      </c>
      <c r="J498" t="s">
        <v>4987</v>
      </c>
      <c r="K498" t="s">
        <v>4988</v>
      </c>
      <c r="L498" s="23" t="s">
        <v>876</v>
      </c>
      <c r="M498" s="23" t="s">
        <v>1651</v>
      </c>
      <c r="N498" s="23" t="s">
        <v>153</v>
      </c>
      <c r="O498" s="23" t="s">
        <v>4989</v>
      </c>
      <c r="P498" s="23" t="s">
        <v>4990</v>
      </c>
      <c r="Q498" s="23" t="s">
        <v>1026</v>
      </c>
      <c r="R498" s="23" t="s">
        <v>297</v>
      </c>
      <c r="S498" s="23" t="s">
        <v>1017</v>
      </c>
      <c r="T498" s="23" t="s">
        <v>2246</v>
      </c>
      <c r="U498" s="23" t="s">
        <v>574</v>
      </c>
      <c r="V498" s="23" t="s">
        <v>158</v>
      </c>
      <c r="W498" s="23" t="s">
        <v>2847</v>
      </c>
      <c r="X498" s="23" t="s">
        <v>2244</v>
      </c>
      <c r="Y498" s="23" t="s">
        <v>230</v>
      </c>
      <c r="Z498" s="23" t="s">
        <v>282</v>
      </c>
      <c r="AA498" s="23" t="s">
        <v>1383</v>
      </c>
      <c r="AB498" s="23" t="s">
        <v>576</v>
      </c>
      <c r="AC498" s="23" t="s">
        <v>1528</v>
      </c>
      <c r="AD498" s="23" t="s">
        <v>208</v>
      </c>
      <c r="AE498" s="23" t="s">
        <v>2189</v>
      </c>
    </row>
    <row r="499" spans="1:31" hidden="1" x14ac:dyDescent="0.25">
      <c r="A499">
        <v>498</v>
      </c>
      <c r="B499" t="s">
        <v>119</v>
      </c>
      <c r="C499" t="s">
        <v>4991</v>
      </c>
      <c r="D499" t="s">
        <v>4984</v>
      </c>
      <c r="E499" t="s">
        <v>35</v>
      </c>
      <c r="F499" t="s">
        <v>36</v>
      </c>
      <c r="G499" t="s">
        <v>4992</v>
      </c>
      <c r="H499" t="s">
        <v>4993</v>
      </c>
      <c r="I499" t="s">
        <v>163</v>
      </c>
      <c r="J499" t="s">
        <v>4994</v>
      </c>
      <c r="K499" t="s">
        <v>4995</v>
      </c>
      <c r="L499" s="23" t="s">
        <v>4684</v>
      </c>
      <c r="M499" s="23" t="s">
        <v>455</v>
      </c>
      <c r="N499" s="23" t="s">
        <v>149</v>
      </c>
      <c r="O499" s="23" t="s">
        <v>1107</v>
      </c>
      <c r="P499" s="23" t="s">
        <v>4996</v>
      </c>
      <c r="Q499" s="23" t="s">
        <v>579</v>
      </c>
      <c r="R499" s="23" t="s">
        <v>159</v>
      </c>
      <c r="S499" s="23" t="s">
        <v>4997</v>
      </c>
      <c r="T499" s="23" t="s">
        <v>1283</v>
      </c>
      <c r="U499" s="23" t="s">
        <v>253</v>
      </c>
      <c r="V499" s="23" t="s">
        <v>77</v>
      </c>
      <c r="W499" s="23" t="s">
        <v>4998</v>
      </c>
      <c r="X499" s="23" t="s">
        <v>3063</v>
      </c>
      <c r="Y499" s="23" t="s">
        <v>451</v>
      </c>
      <c r="Z499" s="23" t="s">
        <v>217</v>
      </c>
      <c r="AA499" s="23" t="s">
        <v>4999</v>
      </c>
      <c r="AB499" s="23" t="s">
        <v>1163</v>
      </c>
      <c r="AC499" s="23" t="s">
        <v>3086</v>
      </c>
      <c r="AD499" s="23" t="s">
        <v>201</v>
      </c>
      <c r="AE499" s="23" t="s">
        <v>5000</v>
      </c>
    </row>
    <row r="500" spans="1:31" hidden="1" x14ac:dyDescent="0.25">
      <c r="A500">
        <v>499</v>
      </c>
      <c r="B500" t="s">
        <v>119</v>
      </c>
      <c r="C500" t="s">
        <v>5001</v>
      </c>
      <c r="D500" t="s">
        <v>4984</v>
      </c>
      <c r="E500" t="s">
        <v>35</v>
      </c>
      <c r="F500" t="s">
        <v>36</v>
      </c>
      <c r="G500" t="s">
        <v>5002</v>
      </c>
      <c r="H500" t="s">
        <v>4993</v>
      </c>
      <c r="I500" t="s">
        <v>163</v>
      </c>
      <c r="J500" t="s">
        <v>5003</v>
      </c>
      <c r="K500" t="s">
        <v>5004</v>
      </c>
      <c r="L500" s="23" t="s">
        <v>1767</v>
      </c>
      <c r="M500" s="23" t="s">
        <v>97</v>
      </c>
      <c r="N500" s="23" t="s">
        <v>32</v>
      </c>
      <c r="O500" s="23" t="s">
        <v>823</v>
      </c>
      <c r="P500" s="23" t="s">
        <v>446</v>
      </c>
      <c r="Q500" s="23" t="s">
        <v>1162</v>
      </c>
      <c r="R500" s="23" t="s">
        <v>192</v>
      </c>
      <c r="S500" s="23" t="s">
        <v>5005</v>
      </c>
      <c r="T500" s="23" t="s">
        <v>2788</v>
      </c>
      <c r="U500" s="23" t="s">
        <v>118</v>
      </c>
      <c r="V500" s="23" t="s">
        <v>150</v>
      </c>
      <c r="W500" s="23" t="s">
        <v>2772</v>
      </c>
      <c r="X500" s="23" t="s">
        <v>1961</v>
      </c>
      <c r="Y500" s="23" t="s">
        <v>119</v>
      </c>
      <c r="Z500" s="23" t="s">
        <v>158</v>
      </c>
      <c r="AA500" s="23" t="s">
        <v>3834</v>
      </c>
      <c r="AB500" s="23" t="s">
        <v>5006</v>
      </c>
      <c r="AC500" s="23" t="s">
        <v>3038</v>
      </c>
      <c r="AD500" s="23" t="s">
        <v>426</v>
      </c>
      <c r="AE500" s="23" t="s">
        <v>5007</v>
      </c>
    </row>
    <row r="501" spans="1:31" hidden="1" x14ac:dyDescent="0.25">
      <c r="A501">
        <v>500</v>
      </c>
      <c r="B501" t="s">
        <v>119</v>
      </c>
      <c r="C501" t="s">
        <v>5008</v>
      </c>
      <c r="D501" t="s">
        <v>4984</v>
      </c>
      <c r="E501" t="s">
        <v>35</v>
      </c>
      <c r="F501" t="s">
        <v>36</v>
      </c>
      <c r="G501" t="s">
        <v>4810</v>
      </c>
      <c r="H501" t="s">
        <v>4993</v>
      </c>
      <c r="I501" t="s">
        <v>163</v>
      </c>
      <c r="J501" t="s">
        <v>5009</v>
      </c>
      <c r="K501" t="s">
        <v>5010</v>
      </c>
      <c r="L501" s="23" t="s">
        <v>3085</v>
      </c>
      <c r="M501" s="23" t="s">
        <v>4211</v>
      </c>
      <c r="N501" s="23" t="s">
        <v>4285</v>
      </c>
      <c r="O501" s="23" t="s">
        <v>5011</v>
      </c>
      <c r="P501" s="23" t="s">
        <v>5012</v>
      </c>
      <c r="Q501" s="23" t="s">
        <v>1757</v>
      </c>
      <c r="R501" s="23" t="s">
        <v>1515</v>
      </c>
      <c r="S501" s="23" t="s">
        <v>5013</v>
      </c>
      <c r="T501" s="23" t="s">
        <v>5014</v>
      </c>
      <c r="U501" s="23" t="s">
        <v>318</v>
      </c>
      <c r="V501" s="23" t="s">
        <v>408</v>
      </c>
      <c r="W501" s="23" t="s">
        <v>5015</v>
      </c>
      <c r="X501" s="23" t="s">
        <v>5016</v>
      </c>
      <c r="Y501" s="23" t="s">
        <v>3061</v>
      </c>
      <c r="Z501" s="23" t="s">
        <v>2962</v>
      </c>
      <c r="AA501" s="23" t="s">
        <v>5017</v>
      </c>
      <c r="AB501" s="23" t="s">
        <v>5018</v>
      </c>
      <c r="AC501" s="23" t="s">
        <v>1254</v>
      </c>
      <c r="AD501" s="23" t="s">
        <v>5019</v>
      </c>
      <c r="AE501" s="23" t="s">
        <v>5020</v>
      </c>
    </row>
    <row r="502" spans="1:31" hidden="1" x14ac:dyDescent="0.25">
      <c r="A502">
        <v>501</v>
      </c>
      <c r="B502" t="s">
        <v>119</v>
      </c>
      <c r="C502" t="s">
        <v>5021</v>
      </c>
      <c r="D502" t="s">
        <v>4984</v>
      </c>
      <c r="E502" t="s">
        <v>35</v>
      </c>
      <c r="F502" t="s">
        <v>36</v>
      </c>
      <c r="G502" t="s">
        <v>5022</v>
      </c>
      <c r="H502" t="s">
        <v>4993</v>
      </c>
      <c r="I502" t="s">
        <v>163</v>
      </c>
      <c r="J502" t="s">
        <v>5023</v>
      </c>
      <c r="K502" t="s">
        <v>5024</v>
      </c>
      <c r="L502" s="23" t="s">
        <v>230</v>
      </c>
      <c r="M502" s="23" t="s">
        <v>153</v>
      </c>
      <c r="N502" s="23" t="s">
        <v>104</v>
      </c>
      <c r="O502" s="23" t="s">
        <v>425</v>
      </c>
      <c r="P502" s="23" t="s">
        <v>3026</v>
      </c>
      <c r="Q502" s="23" t="s">
        <v>570</v>
      </c>
      <c r="R502" s="23" t="s">
        <v>77</v>
      </c>
      <c r="S502" s="23" t="s">
        <v>3027</v>
      </c>
      <c r="T502" s="23" t="s">
        <v>629</v>
      </c>
      <c r="U502" s="23" t="s">
        <v>32</v>
      </c>
      <c r="V502" s="23" t="s">
        <v>114</v>
      </c>
      <c r="W502" s="23" t="s">
        <v>815</v>
      </c>
      <c r="X502" s="23" t="s">
        <v>4552</v>
      </c>
      <c r="Y502" s="23" t="s">
        <v>103</v>
      </c>
      <c r="Z502" s="23" t="s">
        <v>94</v>
      </c>
      <c r="AA502" s="23" t="s">
        <v>161</v>
      </c>
      <c r="AB502" s="23" t="s">
        <v>182</v>
      </c>
      <c r="AC502" s="23" t="s">
        <v>562</v>
      </c>
      <c r="AD502" s="23" t="s">
        <v>193</v>
      </c>
      <c r="AE502" s="23" t="s">
        <v>5025</v>
      </c>
    </row>
    <row r="503" spans="1:31" hidden="1" x14ac:dyDescent="0.25">
      <c r="A503">
        <v>502</v>
      </c>
      <c r="B503" t="s">
        <v>119</v>
      </c>
      <c r="C503" t="s">
        <v>4983</v>
      </c>
      <c r="D503" t="s">
        <v>4984</v>
      </c>
      <c r="E503" t="s">
        <v>35</v>
      </c>
      <c r="F503" t="s">
        <v>162</v>
      </c>
      <c r="G503" t="s">
        <v>4985</v>
      </c>
      <c r="H503" t="s">
        <v>4986</v>
      </c>
      <c r="I503" t="s">
        <v>39</v>
      </c>
      <c r="J503" t="s">
        <v>4987</v>
      </c>
      <c r="K503" t="s">
        <v>4988</v>
      </c>
      <c r="L503" s="23" t="s">
        <v>1035</v>
      </c>
      <c r="M503" s="23" t="s">
        <v>1316</v>
      </c>
      <c r="N503" s="23" t="s">
        <v>213</v>
      </c>
      <c r="O503" s="23" t="s">
        <v>4209</v>
      </c>
      <c r="P503" s="23" t="s">
        <v>4504</v>
      </c>
      <c r="Q503" s="23" t="s">
        <v>264</v>
      </c>
      <c r="R503" s="23" t="s">
        <v>1316</v>
      </c>
      <c r="S503" s="23" t="s">
        <v>5026</v>
      </c>
      <c r="T503" s="23" t="s">
        <v>3112</v>
      </c>
      <c r="U503" s="23" t="s">
        <v>155</v>
      </c>
      <c r="V503" s="23" t="s">
        <v>122</v>
      </c>
      <c r="W503" s="23" t="s">
        <v>939</v>
      </c>
      <c r="X503" s="23" t="s">
        <v>908</v>
      </c>
      <c r="Y503" s="23" t="s">
        <v>278</v>
      </c>
      <c r="Z503" s="23" t="s">
        <v>158</v>
      </c>
      <c r="AA503" s="23" t="s">
        <v>403</v>
      </c>
      <c r="AB503" s="23" t="s">
        <v>1068</v>
      </c>
      <c r="AC503" s="23" t="s">
        <v>84</v>
      </c>
      <c r="AD503" s="23" t="s">
        <v>245</v>
      </c>
      <c r="AE503" s="23" t="s">
        <v>5027</v>
      </c>
    </row>
    <row r="504" spans="1:31" hidden="1" x14ac:dyDescent="0.25">
      <c r="A504">
        <v>503</v>
      </c>
      <c r="B504" t="s">
        <v>119</v>
      </c>
      <c r="C504" t="s">
        <v>4991</v>
      </c>
      <c r="D504" t="s">
        <v>4984</v>
      </c>
      <c r="E504" t="s">
        <v>35</v>
      </c>
      <c r="F504" t="s">
        <v>162</v>
      </c>
      <c r="G504" t="s">
        <v>4992</v>
      </c>
      <c r="H504" t="s">
        <v>4993</v>
      </c>
      <c r="I504" t="s">
        <v>39</v>
      </c>
      <c r="J504" t="s">
        <v>4994</v>
      </c>
      <c r="K504" t="s">
        <v>4995</v>
      </c>
      <c r="L504" s="23" t="s">
        <v>318</v>
      </c>
      <c r="M504" s="23" t="s">
        <v>119</v>
      </c>
      <c r="N504" s="23" t="s">
        <v>130</v>
      </c>
      <c r="O504" s="23" t="s">
        <v>2745</v>
      </c>
      <c r="P504" s="23" t="s">
        <v>5028</v>
      </c>
      <c r="Q504" s="23" t="s">
        <v>407</v>
      </c>
      <c r="R504" s="23" t="s">
        <v>1507</v>
      </c>
      <c r="S504" s="23" t="s">
        <v>4314</v>
      </c>
      <c r="T504" s="23" t="s">
        <v>3294</v>
      </c>
      <c r="U504" s="23" t="s">
        <v>315</v>
      </c>
      <c r="V504" s="23" t="s">
        <v>32</v>
      </c>
      <c r="W504" s="23" t="s">
        <v>1954</v>
      </c>
      <c r="X504" s="23" t="s">
        <v>5029</v>
      </c>
      <c r="Y504" s="23" t="s">
        <v>426</v>
      </c>
      <c r="Z504" s="23" t="s">
        <v>243</v>
      </c>
      <c r="AA504" s="23" t="s">
        <v>2441</v>
      </c>
      <c r="AB504" s="23" t="s">
        <v>86</v>
      </c>
      <c r="AC504" s="23" t="s">
        <v>512</v>
      </c>
      <c r="AD504" s="23" t="s">
        <v>2346</v>
      </c>
      <c r="AE504" s="23" t="s">
        <v>5030</v>
      </c>
    </row>
    <row r="505" spans="1:31" hidden="1" x14ac:dyDescent="0.25">
      <c r="A505">
        <v>504</v>
      </c>
      <c r="B505" t="s">
        <v>119</v>
      </c>
      <c r="C505" t="s">
        <v>5001</v>
      </c>
      <c r="D505" t="s">
        <v>4984</v>
      </c>
      <c r="E505" t="s">
        <v>35</v>
      </c>
      <c r="F505" t="s">
        <v>162</v>
      </c>
      <c r="G505" t="s">
        <v>5002</v>
      </c>
      <c r="H505" t="s">
        <v>4993</v>
      </c>
      <c r="I505" t="s">
        <v>39</v>
      </c>
      <c r="J505" t="s">
        <v>5003</v>
      </c>
      <c r="K505" t="s">
        <v>5004</v>
      </c>
      <c r="L505" s="23" t="s">
        <v>2067</v>
      </c>
      <c r="M505" s="23" t="s">
        <v>556</v>
      </c>
      <c r="N505" s="23" t="s">
        <v>77</v>
      </c>
      <c r="O505" s="23" t="s">
        <v>5031</v>
      </c>
      <c r="P505" s="23" t="s">
        <v>5032</v>
      </c>
      <c r="Q505" s="23" t="s">
        <v>490</v>
      </c>
      <c r="R505" s="23" t="s">
        <v>282</v>
      </c>
      <c r="S505" s="23" t="s">
        <v>1180</v>
      </c>
      <c r="T505" s="23" t="s">
        <v>84</v>
      </c>
      <c r="U505" s="23" t="s">
        <v>336</v>
      </c>
      <c r="V505" s="23" t="s">
        <v>98</v>
      </c>
      <c r="W505" s="23" t="s">
        <v>2102</v>
      </c>
      <c r="X505" s="23" t="s">
        <v>565</v>
      </c>
      <c r="Y505" s="23" t="s">
        <v>556</v>
      </c>
      <c r="Z505" s="23" t="s">
        <v>158</v>
      </c>
      <c r="AA505" s="23" t="s">
        <v>2910</v>
      </c>
      <c r="AB505" s="23" t="s">
        <v>1722</v>
      </c>
      <c r="AC505" s="23" t="s">
        <v>2824</v>
      </c>
      <c r="AD505" s="23" t="s">
        <v>574</v>
      </c>
      <c r="AE505" s="23" t="s">
        <v>5033</v>
      </c>
    </row>
    <row r="506" spans="1:31" hidden="1" x14ac:dyDescent="0.25">
      <c r="A506">
        <v>505</v>
      </c>
      <c r="B506" t="s">
        <v>119</v>
      </c>
      <c r="C506" t="s">
        <v>5008</v>
      </c>
      <c r="D506" t="s">
        <v>4984</v>
      </c>
      <c r="E506" t="s">
        <v>35</v>
      </c>
      <c r="F506" t="s">
        <v>162</v>
      </c>
      <c r="G506" t="s">
        <v>4810</v>
      </c>
      <c r="H506" t="s">
        <v>4993</v>
      </c>
      <c r="I506" t="s">
        <v>39</v>
      </c>
      <c r="J506" t="s">
        <v>5009</v>
      </c>
      <c r="K506" t="s">
        <v>5010</v>
      </c>
      <c r="L506" s="23" t="s">
        <v>5034</v>
      </c>
      <c r="M506" s="23" t="s">
        <v>5035</v>
      </c>
      <c r="N506" s="23" t="s">
        <v>3406</v>
      </c>
      <c r="O506" s="23" t="s">
        <v>5036</v>
      </c>
      <c r="P506" s="23" t="s">
        <v>5037</v>
      </c>
      <c r="Q506" s="23" t="s">
        <v>4034</v>
      </c>
      <c r="R506" s="23" t="s">
        <v>1694</v>
      </c>
      <c r="S506" s="23" t="s">
        <v>5038</v>
      </c>
      <c r="T506" s="23" t="s">
        <v>5039</v>
      </c>
      <c r="U506" s="23" t="s">
        <v>2730</v>
      </c>
      <c r="V506" s="23" t="s">
        <v>2884</v>
      </c>
      <c r="W506" s="23" t="s">
        <v>5040</v>
      </c>
      <c r="X506" s="23" t="s">
        <v>5041</v>
      </c>
      <c r="Y506" s="23" t="s">
        <v>5042</v>
      </c>
      <c r="Z506" s="23" t="s">
        <v>1415</v>
      </c>
      <c r="AA506" s="23" t="s">
        <v>5043</v>
      </c>
      <c r="AB506" s="23" t="s">
        <v>5044</v>
      </c>
      <c r="AC506" s="23" t="s">
        <v>5045</v>
      </c>
      <c r="AD506" s="23" t="s">
        <v>5046</v>
      </c>
      <c r="AE506" s="23" t="s">
        <v>5047</v>
      </c>
    </row>
    <row r="507" spans="1:31" hidden="1" x14ac:dyDescent="0.25">
      <c r="A507">
        <v>506</v>
      </c>
      <c r="B507" t="s">
        <v>119</v>
      </c>
      <c r="C507" t="s">
        <v>5021</v>
      </c>
      <c r="D507" t="s">
        <v>4984</v>
      </c>
      <c r="E507" t="s">
        <v>35</v>
      </c>
      <c r="F507" t="s">
        <v>162</v>
      </c>
      <c r="G507" t="s">
        <v>5022</v>
      </c>
      <c r="H507" t="s">
        <v>4993</v>
      </c>
      <c r="I507" t="s">
        <v>39</v>
      </c>
      <c r="J507" t="s">
        <v>5023</v>
      </c>
      <c r="K507" t="s">
        <v>5024</v>
      </c>
      <c r="L507" s="23" t="s">
        <v>1579</v>
      </c>
      <c r="M507" s="23" t="s">
        <v>1032</v>
      </c>
      <c r="N507" s="23" t="s">
        <v>158</v>
      </c>
      <c r="O507" s="23" t="s">
        <v>950</v>
      </c>
      <c r="P507" s="23" t="s">
        <v>1562</v>
      </c>
      <c r="Q507" s="23" t="s">
        <v>1651</v>
      </c>
      <c r="R507" s="23" t="s">
        <v>282</v>
      </c>
      <c r="S507" s="23" t="s">
        <v>2814</v>
      </c>
      <c r="T507" s="23" t="s">
        <v>4249</v>
      </c>
      <c r="U507" s="23" t="s">
        <v>217</v>
      </c>
      <c r="V507" s="23" t="s">
        <v>98</v>
      </c>
      <c r="W507" s="23" t="s">
        <v>454</v>
      </c>
      <c r="X507" s="23" t="s">
        <v>337</v>
      </c>
      <c r="Y507" s="23" t="s">
        <v>118</v>
      </c>
      <c r="Z507" s="23" t="s">
        <v>257</v>
      </c>
      <c r="AA507" s="23" t="s">
        <v>3731</v>
      </c>
      <c r="AB507" s="23" t="s">
        <v>5048</v>
      </c>
      <c r="AC507" s="23" t="s">
        <v>1685</v>
      </c>
      <c r="AD507" s="23" t="s">
        <v>426</v>
      </c>
      <c r="AE507" s="23" t="s">
        <v>4325</v>
      </c>
    </row>
    <row r="508" spans="1:31" hidden="1" x14ac:dyDescent="0.25">
      <c r="A508">
        <v>507</v>
      </c>
      <c r="B508" t="s">
        <v>197</v>
      </c>
      <c r="C508" t="s">
        <v>5049</v>
      </c>
      <c r="D508" t="s">
        <v>5050</v>
      </c>
      <c r="E508" t="s">
        <v>35</v>
      </c>
      <c r="F508" t="s">
        <v>36</v>
      </c>
      <c r="G508" t="s">
        <v>5051</v>
      </c>
      <c r="H508" t="s">
        <v>5052</v>
      </c>
      <c r="I508" t="s">
        <v>163</v>
      </c>
      <c r="J508" t="s">
        <v>5053</v>
      </c>
      <c r="K508" t="s">
        <v>5054</v>
      </c>
      <c r="L508" s="23" t="s">
        <v>1139</v>
      </c>
      <c r="M508" s="23" t="s">
        <v>247</v>
      </c>
      <c r="N508" s="23" t="s">
        <v>104</v>
      </c>
      <c r="O508" s="23" t="s">
        <v>5055</v>
      </c>
      <c r="P508" s="23" t="s">
        <v>3107</v>
      </c>
      <c r="Q508" s="23" t="s">
        <v>81</v>
      </c>
      <c r="R508" s="23" t="s">
        <v>104</v>
      </c>
      <c r="S508" s="23" t="s">
        <v>139</v>
      </c>
      <c r="T508" s="23" t="s">
        <v>184</v>
      </c>
      <c r="U508" s="23" t="s">
        <v>243</v>
      </c>
      <c r="V508" s="23" t="s">
        <v>114</v>
      </c>
      <c r="W508" s="23" t="s">
        <v>433</v>
      </c>
      <c r="X508" s="23" t="s">
        <v>527</v>
      </c>
      <c r="Y508" s="23" t="s">
        <v>130</v>
      </c>
      <c r="Z508" s="23" t="s">
        <v>94</v>
      </c>
      <c r="AA508" s="23" t="s">
        <v>1775</v>
      </c>
      <c r="AB508" s="23" t="s">
        <v>5056</v>
      </c>
      <c r="AC508" s="23" t="s">
        <v>1651</v>
      </c>
      <c r="AD508" s="23" t="s">
        <v>244</v>
      </c>
      <c r="AE508" s="23" t="s">
        <v>4533</v>
      </c>
    </row>
    <row r="509" spans="1:31" hidden="1" x14ac:dyDescent="0.25">
      <c r="A509">
        <v>508</v>
      </c>
      <c r="B509" t="s">
        <v>197</v>
      </c>
      <c r="C509" t="s">
        <v>5057</v>
      </c>
      <c r="D509" t="s">
        <v>5050</v>
      </c>
      <c r="E509" t="s">
        <v>35</v>
      </c>
      <c r="F509" t="s">
        <v>36</v>
      </c>
      <c r="G509" t="s">
        <v>4810</v>
      </c>
      <c r="H509" t="s">
        <v>5058</v>
      </c>
      <c r="I509" t="s">
        <v>163</v>
      </c>
      <c r="J509" t="s">
        <v>5059</v>
      </c>
      <c r="K509" t="s">
        <v>5060</v>
      </c>
      <c r="L509" s="23" t="s">
        <v>5061</v>
      </c>
      <c r="M509" s="23" t="s">
        <v>1865</v>
      </c>
      <c r="N509" s="23" t="s">
        <v>274</v>
      </c>
      <c r="O509" s="23" t="s">
        <v>5062</v>
      </c>
      <c r="P509" s="23" t="s">
        <v>5063</v>
      </c>
      <c r="Q509" s="23" t="s">
        <v>5064</v>
      </c>
      <c r="R509" s="23" t="s">
        <v>4795</v>
      </c>
      <c r="S509" s="23" t="s">
        <v>183</v>
      </c>
      <c r="T509" s="23" t="s">
        <v>5065</v>
      </c>
      <c r="U509" s="23" t="s">
        <v>950</v>
      </c>
      <c r="V509" s="23" t="s">
        <v>838</v>
      </c>
      <c r="W509" s="23" t="s">
        <v>5066</v>
      </c>
      <c r="X509" s="23" t="s">
        <v>5067</v>
      </c>
      <c r="Y509" s="23" t="s">
        <v>2286</v>
      </c>
      <c r="Z509" s="23" t="s">
        <v>3337</v>
      </c>
      <c r="AA509" s="23" t="s">
        <v>5068</v>
      </c>
      <c r="AB509" s="23" t="s">
        <v>5069</v>
      </c>
      <c r="AC509" s="23" t="s">
        <v>1956</v>
      </c>
      <c r="AD509" s="23" t="s">
        <v>5070</v>
      </c>
      <c r="AE509" s="23" t="s">
        <v>5071</v>
      </c>
    </row>
    <row r="510" spans="1:31" hidden="1" x14ac:dyDescent="0.25">
      <c r="A510">
        <v>509</v>
      </c>
      <c r="B510" t="s">
        <v>197</v>
      </c>
      <c r="C510" t="s">
        <v>5072</v>
      </c>
      <c r="D510" t="s">
        <v>5050</v>
      </c>
      <c r="E510" t="s">
        <v>35</v>
      </c>
      <c r="F510" t="s">
        <v>36</v>
      </c>
      <c r="G510" t="s">
        <v>5073</v>
      </c>
      <c r="H510" t="s">
        <v>5074</v>
      </c>
      <c r="I510" t="s">
        <v>163</v>
      </c>
      <c r="J510" t="s">
        <v>5075</v>
      </c>
      <c r="K510" t="s">
        <v>5076</v>
      </c>
      <c r="L510" s="23" t="s">
        <v>4548</v>
      </c>
      <c r="M510" s="23" t="s">
        <v>914</v>
      </c>
      <c r="N510" s="23" t="s">
        <v>347</v>
      </c>
      <c r="O510" s="23" t="s">
        <v>5077</v>
      </c>
      <c r="P510" s="23" t="s">
        <v>4319</v>
      </c>
      <c r="Q510" s="23" t="s">
        <v>593</v>
      </c>
      <c r="R510" s="23" t="s">
        <v>477</v>
      </c>
      <c r="S510" s="23" t="s">
        <v>3517</v>
      </c>
      <c r="T510" s="23" t="s">
        <v>787</v>
      </c>
      <c r="U510" s="23" t="s">
        <v>315</v>
      </c>
      <c r="V510" s="23" t="s">
        <v>158</v>
      </c>
      <c r="W510" s="23" t="s">
        <v>1049</v>
      </c>
      <c r="X510" s="23" t="s">
        <v>940</v>
      </c>
      <c r="Y510" s="23" t="s">
        <v>588</v>
      </c>
      <c r="Z510" s="23" t="s">
        <v>32</v>
      </c>
      <c r="AA510" s="23" t="s">
        <v>5078</v>
      </c>
      <c r="AB510" s="23" t="s">
        <v>5079</v>
      </c>
      <c r="AC510" s="23" t="s">
        <v>4700</v>
      </c>
      <c r="AD510" s="23" t="s">
        <v>117</v>
      </c>
      <c r="AE510" s="23" t="s">
        <v>5080</v>
      </c>
    </row>
    <row r="511" spans="1:31" hidden="1" x14ac:dyDescent="0.25">
      <c r="A511">
        <v>510</v>
      </c>
      <c r="B511" t="s">
        <v>197</v>
      </c>
      <c r="C511" t="s">
        <v>5081</v>
      </c>
      <c r="D511" t="s">
        <v>5050</v>
      </c>
      <c r="E511" t="s">
        <v>35</v>
      </c>
      <c r="F511" t="s">
        <v>36</v>
      </c>
      <c r="G511" t="s">
        <v>4992</v>
      </c>
      <c r="H511" t="s">
        <v>5082</v>
      </c>
      <c r="I511" t="s">
        <v>163</v>
      </c>
      <c r="J511" t="s">
        <v>5083</v>
      </c>
      <c r="K511" t="s">
        <v>5084</v>
      </c>
      <c r="L511" s="23" t="s">
        <v>4570</v>
      </c>
      <c r="M511" s="23" t="s">
        <v>226</v>
      </c>
      <c r="N511" s="23" t="s">
        <v>336</v>
      </c>
      <c r="O511" s="23" t="s">
        <v>448</v>
      </c>
      <c r="P511" s="23" t="s">
        <v>5085</v>
      </c>
      <c r="Q511" s="23" t="s">
        <v>72</v>
      </c>
      <c r="R511" s="23" t="s">
        <v>319</v>
      </c>
      <c r="S511" s="23" t="s">
        <v>5086</v>
      </c>
      <c r="T511" s="23" t="s">
        <v>1072</v>
      </c>
      <c r="U511" s="23" t="s">
        <v>347</v>
      </c>
      <c r="V511" s="23" t="s">
        <v>32</v>
      </c>
      <c r="W511" s="23" t="s">
        <v>433</v>
      </c>
      <c r="X511" s="23" t="s">
        <v>3583</v>
      </c>
      <c r="Y511" s="23" t="s">
        <v>115</v>
      </c>
      <c r="Z511" s="23" t="s">
        <v>69</v>
      </c>
      <c r="AA511" s="23" t="s">
        <v>698</v>
      </c>
      <c r="AB511" s="23" t="s">
        <v>3608</v>
      </c>
      <c r="AC511" s="23" t="s">
        <v>1092</v>
      </c>
      <c r="AD511" s="23" t="s">
        <v>259</v>
      </c>
      <c r="AE511" s="23" t="s">
        <v>5087</v>
      </c>
    </row>
    <row r="512" spans="1:31" hidden="1" x14ac:dyDescent="0.25">
      <c r="A512">
        <v>511</v>
      </c>
      <c r="B512" t="s">
        <v>197</v>
      </c>
      <c r="C512" t="s">
        <v>5088</v>
      </c>
      <c r="D512" t="s">
        <v>5050</v>
      </c>
      <c r="E512" t="s">
        <v>35</v>
      </c>
      <c r="F512" t="s">
        <v>36</v>
      </c>
      <c r="G512" t="s">
        <v>5089</v>
      </c>
      <c r="H512" t="s">
        <v>5090</v>
      </c>
      <c r="I512" t="s">
        <v>163</v>
      </c>
      <c r="J512" t="s">
        <v>5091</v>
      </c>
      <c r="K512" t="s">
        <v>5092</v>
      </c>
      <c r="L512" s="23" t="s">
        <v>119</v>
      </c>
      <c r="M512" s="23" t="s">
        <v>122</v>
      </c>
      <c r="N512" s="23" t="s">
        <v>114</v>
      </c>
      <c r="O512" s="23" t="s">
        <v>68</v>
      </c>
      <c r="P512" s="23" t="s">
        <v>914</v>
      </c>
      <c r="Q512" s="23" t="s">
        <v>98</v>
      </c>
      <c r="R512" s="23" t="s">
        <v>114</v>
      </c>
      <c r="S512" s="23" t="s">
        <v>159</v>
      </c>
      <c r="T512" s="23" t="s">
        <v>336</v>
      </c>
      <c r="U512" s="23" t="s">
        <v>104</v>
      </c>
      <c r="V512" s="23" t="s">
        <v>114</v>
      </c>
      <c r="W512" s="23" t="s">
        <v>192</v>
      </c>
      <c r="X512" s="23" t="s">
        <v>211</v>
      </c>
      <c r="Y512" s="23" t="s">
        <v>150</v>
      </c>
      <c r="Z512" s="23" t="s">
        <v>114</v>
      </c>
      <c r="AA512" s="23" t="s">
        <v>223</v>
      </c>
      <c r="AB512" s="23" t="s">
        <v>51</v>
      </c>
      <c r="AC512" s="23" t="s">
        <v>153</v>
      </c>
      <c r="AD512" s="23" t="s">
        <v>114</v>
      </c>
      <c r="AE512" s="23" t="s">
        <v>1403</v>
      </c>
    </row>
    <row r="513" spans="1:31" hidden="1" x14ac:dyDescent="0.25">
      <c r="A513">
        <v>512</v>
      </c>
      <c r="B513" t="s">
        <v>197</v>
      </c>
      <c r="C513" t="s">
        <v>5093</v>
      </c>
      <c r="D513" t="s">
        <v>5050</v>
      </c>
      <c r="E513" t="s">
        <v>35</v>
      </c>
      <c r="F513" t="s">
        <v>36</v>
      </c>
      <c r="G513" t="s">
        <v>4985</v>
      </c>
      <c r="H513" t="s">
        <v>5094</v>
      </c>
      <c r="I513" t="s">
        <v>163</v>
      </c>
      <c r="J513" t="s">
        <v>5095</v>
      </c>
      <c r="K513" t="s">
        <v>5096</v>
      </c>
      <c r="L513" s="23" t="s">
        <v>776</v>
      </c>
      <c r="M513" s="23" t="s">
        <v>130</v>
      </c>
      <c r="N513" s="23" t="s">
        <v>122</v>
      </c>
      <c r="O513" s="23" t="s">
        <v>2450</v>
      </c>
      <c r="P513" s="23" t="s">
        <v>2109</v>
      </c>
      <c r="Q513" s="23" t="s">
        <v>297</v>
      </c>
      <c r="R513" s="23" t="s">
        <v>243</v>
      </c>
      <c r="S513" s="23" t="s">
        <v>3583</v>
      </c>
      <c r="T513" s="23" t="s">
        <v>490</v>
      </c>
      <c r="U513" s="23" t="s">
        <v>153</v>
      </c>
      <c r="V513" s="23" t="s">
        <v>150</v>
      </c>
      <c r="W513" s="23" t="s">
        <v>2875</v>
      </c>
      <c r="X513" s="23" t="s">
        <v>1127</v>
      </c>
      <c r="Y513" s="23" t="s">
        <v>253</v>
      </c>
      <c r="Z513" s="23" t="s">
        <v>158</v>
      </c>
      <c r="AA513" s="23" t="s">
        <v>713</v>
      </c>
      <c r="AB513" s="23" t="s">
        <v>4771</v>
      </c>
      <c r="AC513" s="23" t="s">
        <v>953</v>
      </c>
      <c r="AD513" s="23" t="s">
        <v>253</v>
      </c>
      <c r="AE513" s="23" t="s">
        <v>5097</v>
      </c>
    </row>
    <row r="514" spans="1:31" hidden="1" x14ac:dyDescent="0.25">
      <c r="A514">
        <v>513</v>
      </c>
      <c r="B514" t="s">
        <v>197</v>
      </c>
      <c r="C514" t="s">
        <v>5098</v>
      </c>
      <c r="D514" t="s">
        <v>5050</v>
      </c>
      <c r="E514" t="s">
        <v>35</v>
      </c>
      <c r="F514" t="s">
        <v>36</v>
      </c>
      <c r="G514" t="s">
        <v>5099</v>
      </c>
      <c r="H514" t="s">
        <v>5100</v>
      </c>
      <c r="I514" t="s">
        <v>163</v>
      </c>
      <c r="J514" t="s">
        <v>5101</v>
      </c>
      <c r="K514" t="s">
        <v>5102</v>
      </c>
      <c r="L514" s="23" t="s">
        <v>1809</v>
      </c>
      <c r="M514" s="23" t="s">
        <v>151</v>
      </c>
      <c r="N514" s="23" t="s">
        <v>244</v>
      </c>
      <c r="O514" s="23" t="s">
        <v>486</v>
      </c>
      <c r="P514" s="23" t="s">
        <v>1776</v>
      </c>
      <c r="Q514" s="23" t="s">
        <v>115</v>
      </c>
      <c r="R514" s="23" t="s">
        <v>479</v>
      </c>
      <c r="S514" s="23" t="s">
        <v>136</v>
      </c>
      <c r="T514" s="23" t="s">
        <v>1255</v>
      </c>
      <c r="U514" s="23" t="s">
        <v>217</v>
      </c>
      <c r="V514" s="23" t="s">
        <v>104</v>
      </c>
      <c r="W514" s="23" t="s">
        <v>1267</v>
      </c>
      <c r="X514" s="23" t="s">
        <v>5103</v>
      </c>
      <c r="Y514" s="23" t="s">
        <v>208</v>
      </c>
      <c r="Z514" s="23" t="s">
        <v>213</v>
      </c>
      <c r="AA514" s="23" t="s">
        <v>5104</v>
      </c>
      <c r="AB514" s="23" t="s">
        <v>4248</v>
      </c>
      <c r="AC514" s="23" t="s">
        <v>1705</v>
      </c>
      <c r="AD514" s="23" t="s">
        <v>185</v>
      </c>
      <c r="AE514" s="23" t="s">
        <v>2546</v>
      </c>
    </row>
    <row r="515" spans="1:31" hidden="1" x14ac:dyDescent="0.25">
      <c r="A515">
        <v>514</v>
      </c>
      <c r="B515" t="s">
        <v>197</v>
      </c>
      <c r="C515" t="s">
        <v>5105</v>
      </c>
      <c r="D515" t="s">
        <v>5050</v>
      </c>
      <c r="E515" t="s">
        <v>35</v>
      </c>
      <c r="F515" t="s">
        <v>36</v>
      </c>
      <c r="G515" t="s">
        <v>5106</v>
      </c>
      <c r="H515" t="s">
        <v>5107</v>
      </c>
      <c r="I515" t="s">
        <v>163</v>
      </c>
      <c r="J515" t="s">
        <v>5108</v>
      </c>
      <c r="K515" t="s">
        <v>5109</v>
      </c>
      <c r="L515" s="23" t="s">
        <v>5110</v>
      </c>
      <c r="M515" s="23" t="s">
        <v>1125</v>
      </c>
      <c r="N515" s="23" t="s">
        <v>570</v>
      </c>
      <c r="O515" s="23" t="s">
        <v>5111</v>
      </c>
      <c r="P515" s="23" t="s">
        <v>5112</v>
      </c>
      <c r="Q515" s="23" t="s">
        <v>841</v>
      </c>
      <c r="R515" s="23" t="s">
        <v>525</v>
      </c>
      <c r="S515" s="23" t="s">
        <v>5113</v>
      </c>
      <c r="T515" s="23" t="s">
        <v>198</v>
      </c>
      <c r="U515" s="23" t="s">
        <v>216</v>
      </c>
      <c r="V515" s="23" t="s">
        <v>193</v>
      </c>
      <c r="W515" s="23" t="s">
        <v>1159</v>
      </c>
      <c r="X515" s="23" t="s">
        <v>5114</v>
      </c>
      <c r="Y515" s="23" t="s">
        <v>392</v>
      </c>
      <c r="Z515" s="23" t="s">
        <v>914</v>
      </c>
      <c r="AA515" s="23" t="s">
        <v>5115</v>
      </c>
      <c r="AB515" s="23" t="s">
        <v>5116</v>
      </c>
      <c r="AC515" s="23" t="s">
        <v>1832</v>
      </c>
      <c r="AD515" s="23" t="s">
        <v>801</v>
      </c>
      <c r="AE515" s="23" t="s">
        <v>5117</v>
      </c>
    </row>
    <row r="516" spans="1:31" hidden="1" x14ac:dyDescent="0.25">
      <c r="A516">
        <v>515</v>
      </c>
      <c r="B516" t="s">
        <v>197</v>
      </c>
      <c r="C516" t="s">
        <v>5049</v>
      </c>
      <c r="D516" t="s">
        <v>5050</v>
      </c>
      <c r="E516" t="s">
        <v>35</v>
      </c>
      <c r="F516" t="s">
        <v>162</v>
      </c>
      <c r="G516" t="s">
        <v>5051</v>
      </c>
      <c r="H516" t="s">
        <v>5052</v>
      </c>
      <c r="I516" t="s">
        <v>39</v>
      </c>
      <c r="J516" t="s">
        <v>5053</v>
      </c>
      <c r="K516" t="s">
        <v>5054</v>
      </c>
      <c r="L516" s="23" t="s">
        <v>3750</v>
      </c>
      <c r="M516" s="23" t="s">
        <v>1507</v>
      </c>
      <c r="N516" s="23" t="s">
        <v>150</v>
      </c>
      <c r="O516" s="23" t="s">
        <v>882</v>
      </c>
      <c r="P516" s="23" t="s">
        <v>3620</v>
      </c>
      <c r="Q516" s="23" t="s">
        <v>681</v>
      </c>
      <c r="R516" s="23" t="s">
        <v>479</v>
      </c>
      <c r="S516" s="23" t="s">
        <v>5118</v>
      </c>
      <c r="T516" s="23" t="s">
        <v>1332</v>
      </c>
      <c r="U516" s="23" t="s">
        <v>914</v>
      </c>
      <c r="V516" s="23" t="s">
        <v>158</v>
      </c>
      <c r="W516" s="23" t="s">
        <v>1674</v>
      </c>
      <c r="X516" s="23" t="s">
        <v>1702</v>
      </c>
      <c r="Y516" s="23" t="s">
        <v>588</v>
      </c>
      <c r="Z516" s="23" t="s">
        <v>244</v>
      </c>
      <c r="AA516" s="23" t="s">
        <v>3573</v>
      </c>
      <c r="AB516" s="23" t="s">
        <v>5119</v>
      </c>
      <c r="AC516" s="23" t="s">
        <v>1035</v>
      </c>
      <c r="AD516" s="23" t="s">
        <v>197</v>
      </c>
      <c r="AE516" s="23" t="s">
        <v>5120</v>
      </c>
    </row>
    <row r="517" spans="1:31" hidden="1" x14ac:dyDescent="0.25">
      <c r="A517">
        <v>516</v>
      </c>
      <c r="B517" t="s">
        <v>197</v>
      </c>
      <c r="C517" t="s">
        <v>5057</v>
      </c>
      <c r="D517" t="s">
        <v>5050</v>
      </c>
      <c r="E517" t="s">
        <v>35</v>
      </c>
      <c r="F517" t="s">
        <v>162</v>
      </c>
      <c r="G517" t="s">
        <v>4810</v>
      </c>
      <c r="H517" t="s">
        <v>5058</v>
      </c>
      <c r="I517" t="s">
        <v>39</v>
      </c>
      <c r="J517" t="s">
        <v>5059</v>
      </c>
      <c r="K517" t="s">
        <v>5060</v>
      </c>
      <c r="L517" s="23" t="s">
        <v>5121</v>
      </c>
      <c r="M517" s="23" t="s">
        <v>4870</v>
      </c>
      <c r="N517" s="23" t="s">
        <v>92</v>
      </c>
      <c r="O517" s="23" t="s">
        <v>5122</v>
      </c>
      <c r="P517" s="23" t="s">
        <v>5123</v>
      </c>
      <c r="Q517" s="23" t="s">
        <v>1309</v>
      </c>
      <c r="R517" s="23" t="s">
        <v>3491</v>
      </c>
      <c r="S517" s="23" t="s">
        <v>5124</v>
      </c>
      <c r="T517" s="23" t="s">
        <v>5125</v>
      </c>
      <c r="U517" s="23" t="s">
        <v>585</v>
      </c>
      <c r="V517" s="23" t="s">
        <v>917</v>
      </c>
      <c r="W517" s="23" t="s">
        <v>5126</v>
      </c>
      <c r="X517" s="23" t="s">
        <v>5127</v>
      </c>
      <c r="Y517" s="23" t="s">
        <v>2737</v>
      </c>
      <c r="Z517" s="23" t="s">
        <v>70</v>
      </c>
      <c r="AA517" s="23" t="s">
        <v>5128</v>
      </c>
      <c r="AB517" s="23" t="s">
        <v>5129</v>
      </c>
      <c r="AC517" s="23" t="s">
        <v>5130</v>
      </c>
      <c r="AD517" s="23" t="s">
        <v>3872</v>
      </c>
      <c r="AE517" s="23" t="s">
        <v>5131</v>
      </c>
    </row>
    <row r="518" spans="1:31" hidden="1" x14ac:dyDescent="0.25">
      <c r="A518">
        <v>517</v>
      </c>
      <c r="B518" t="s">
        <v>197</v>
      </c>
      <c r="C518" t="s">
        <v>5072</v>
      </c>
      <c r="D518" t="s">
        <v>5050</v>
      </c>
      <c r="E518" t="s">
        <v>35</v>
      </c>
      <c r="F518" t="s">
        <v>162</v>
      </c>
      <c r="G518" t="s">
        <v>5073</v>
      </c>
      <c r="H518" t="s">
        <v>5074</v>
      </c>
      <c r="I518" t="s">
        <v>39</v>
      </c>
      <c r="J518" t="s">
        <v>5075</v>
      </c>
      <c r="K518" t="s">
        <v>5076</v>
      </c>
      <c r="L518" s="23" t="s">
        <v>713</v>
      </c>
      <c r="M518" s="23" t="s">
        <v>149</v>
      </c>
      <c r="N518" s="23" t="s">
        <v>246</v>
      </c>
      <c r="O518" s="23" t="s">
        <v>1845</v>
      </c>
      <c r="P518" s="23" t="s">
        <v>2722</v>
      </c>
      <c r="Q518" s="23" t="s">
        <v>1507</v>
      </c>
      <c r="R518" s="23" t="s">
        <v>156</v>
      </c>
      <c r="S518" s="23" t="s">
        <v>1855</v>
      </c>
      <c r="T518" s="23" t="s">
        <v>1775</v>
      </c>
      <c r="U518" s="23" t="s">
        <v>103</v>
      </c>
      <c r="V518" s="23" t="s">
        <v>94</v>
      </c>
      <c r="W518" s="23" t="s">
        <v>2036</v>
      </c>
      <c r="X518" s="23" t="s">
        <v>5132</v>
      </c>
      <c r="Y518" s="23" t="s">
        <v>192</v>
      </c>
      <c r="Z518" s="23" t="s">
        <v>122</v>
      </c>
      <c r="AA518" s="23" t="s">
        <v>5133</v>
      </c>
      <c r="AB518" s="23" t="s">
        <v>1299</v>
      </c>
      <c r="AC518" s="23" t="s">
        <v>639</v>
      </c>
      <c r="AD518" s="23" t="s">
        <v>1507</v>
      </c>
      <c r="AE518" s="23" t="s">
        <v>5134</v>
      </c>
    </row>
    <row r="519" spans="1:31" hidden="1" x14ac:dyDescent="0.25">
      <c r="A519">
        <v>518</v>
      </c>
      <c r="B519" t="s">
        <v>197</v>
      </c>
      <c r="C519" t="s">
        <v>5081</v>
      </c>
      <c r="D519" t="s">
        <v>5050</v>
      </c>
      <c r="E519" t="s">
        <v>35</v>
      </c>
      <c r="F519" t="s">
        <v>162</v>
      </c>
      <c r="G519" t="s">
        <v>4992</v>
      </c>
      <c r="H519" t="s">
        <v>5082</v>
      </c>
      <c r="I519" t="s">
        <v>39</v>
      </c>
      <c r="J519" t="s">
        <v>5083</v>
      </c>
      <c r="K519" t="s">
        <v>5084</v>
      </c>
      <c r="L519" s="23" t="s">
        <v>165</v>
      </c>
      <c r="M519" s="23" t="s">
        <v>118</v>
      </c>
      <c r="N519" s="23" t="s">
        <v>1032</v>
      </c>
      <c r="O519" s="23" t="s">
        <v>310</v>
      </c>
      <c r="P519" s="23" t="s">
        <v>5032</v>
      </c>
      <c r="Q519" s="23" t="s">
        <v>174</v>
      </c>
      <c r="R519" s="23" t="s">
        <v>319</v>
      </c>
      <c r="S519" s="23" t="s">
        <v>1483</v>
      </c>
      <c r="T519" s="23" t="s">
        <v>449</v>
      </c>
      <c r="U519" s="23" t="s">
        <v>297</v>
      </c>
      <c r="V519" s="23" t="s">
        <v>213</v>
      </c>
      <c r="W519" s="23" t="s">
        <v>1227</v>
      </c>
      <c r="X519" s="23" t="s">
        <v>5035</v>
      </c>
      <c r="Y519" s="23" t="s">
        <v>253</v>
      </c>
      <c r="Z519" s="23" t="s">
        <v>93</v>
      </c>
      <c r="AA519" s="23" t="s">
        <v>2742</v>
      </c>
      <c r="AB519" s="23" t="s">
        <v>3706</v>
      </c>
      <c r="AC519" s="23" t="s">
        <v>329</v>
      </c>
      <c r="AD519" s="23" t="s">
        <v>259</v>
      </c>
      <c r="AE519" s="23" t="s">
        <v>5135</v>
      </c>
    </row>
    <row r="520" spans="1:31" hidden="1" x14ac:dyDescent="0.25">
      <c r="A520">
        <v>519</v>
      </c>
      <c r="B520" t="s">
        <v>197</v>
      </c>
      <c r="C520" t="s">
        <v>5088</v>
      </c>
      <c r="D520" t="s">
        <v>5050</v>
      </c>
      <c r="E520" t="s">
        <v>35</v>
      </c>
      <c r="F520" t="s">
        <v>162</v>
      </c>
      <c r="G520" t="s">
        <v>5089</v>
      </c>
      <c r="H520" t="s">
        <v>5090</v>
      </c>
      <c r="I520" t="s">
        <v>39</v>
      </c>
      <c r="J520" t="s">
        <v>5091</v>
      </c>
      <c r="K520" t="s">
        <v>5092</v>
      </c>
      <c r="L520" s="23" t="s">
        <v>247</v>
      </c>
      <c r="M520" s="23" t="s">
        <v>104</v>
      </c>
      <c r="N520" s="23" t="s">
        <v>114</v>
      </c>
      <c r="O520" s="23" t="s">
        <v>149</v>
      </c>
      <c r="P520" s="23" t="s">
        <v>113</v>
      </c>
      <c r="Q520" s="23" t="s">
        <v>77</v>
      </c>
      <c r="R520" s="23" t="s">
        <v>114</v>
      </c>
      <c r="S520" s="23" t="s">
        <v>159</v>
      </c>
      <c r="T520" s="23" t="s">
        <v>297</v>
      </c>
      <c r="U520" s="23" t="s">
        <v>114</v>
      </c>
      <c r="V520" s="23" t="s">
        <v>114</v>
      </c>
      <c r="W520" s="23" t="s">
        <v>297</v>
      </c>
      <c r="X520" s="23" t="s">
        <v>315</v>
      </c>
      <c r="Y520" s="23" t="s">
        <v>104</v>
      </c>
      <c r="Z520" s="23" t="s">
        <v>114</v>
      </c>
      <c r="AA520" s="23" t="s">
        <v>81</v>
      </c>
      <c r="AB520" s="23" t="s">
        <v>633</v>
      </c>
      <c r="AC520" s="23" t="s">
        <v>257</v>
      </c>
      <c r="AD520" s="23" t="s">
        <v>114</v>
      </c>
      <c r="AE520" s="23" t="s">
        <v>1418</v>
      </c>
    </row>
    <row r="521" spans="1:31" hidden="1" x14ac:dyDescent="0.25">
      <c r="A521">
        <v>520</v>
      </c>
      <c r="B521" t="s">
        <v>197</v>
      </c>
      <c r="C521" t="s">
        <v>5093</v>
      </c>
      <c r="D521" t="s">
        <v>5050</v>
      </c>
      <c r="E521" t="s">
        <v>35</v>
      </c>
      <c r="F521" t="s">
        <v>162</v>
      </c>
      <c r="G521" t="s">
        <v>4985</v>
      </c>
      <c r="H521" t="s">
        <v>5094</v>
      </c>
      <c r="I521" t="s">
        <v>39</v>
      </c>
      <c r="J521" t="s">
        <v>5095</v>
      </c>
      <c r="K521" t="s">
        <v>5096</v>
      </c>
      <c r="L521" s="23" t="s">
        <v>188</v>
      </c>
      <c r="M521" s="23" t="s">
        <v>282</v>
      </c>
      <c r="N521" s="23" t="s">
        <v>158</v>
      </c>
      <c r="O521" s="23" t="s">
        <v>639</v>
      </c>
      <c r="P521" s="23" t="s">
        <v>4979</v>
      </c>
      <c r="Q521" s="23" t="s">
        <v>208</v>
      </c>
      <c r="R521" s="23" t="s">
        <v>479</v>
      </c>
      <c r="S521" s="23" t="s">
        <v>1913</v>
      </c>
      <c r="T521" s="23" t="s">
        <v>642</v>
      </c>
      <c r="U521" s="23" t="s">
        <v>559</v>
      </c>
      <c r="V521" s="23" t="s">
        <v>98</v>
      </c>
      <c r="W521" s="23" t="s">
        <v>1852</v>
      </c>
      <c r="X521" s="23" t="s">
        <v>3330</v>
      </c>
      <c r="Y521" s="23" t="s">
        <v>211</v>
      </c>
      <c r="Z521" s="23" t="s">
        <v>77</v>
      </c>
      <c r="AA521" s="23" t="s">
        <v>830</v>
      </c>
      <c r="AB521" s="23" t="s">
        <v>4443</v>
      </c>
      <c r="AC521" s="23" t="s">
        <v>2717</v>
      </c>
      <c r="AD521" s="23" t="s">
        <v>1316</v>
      </c>
      <c r="AE521" s="23" t="s">
        <v>5136</v>
      </c>
    </row>
    <row r="522" spans="1:31" hidden="1" x14ac:dyDescent="0.25">
      <c r="A522">
        <v>521</v>
      </c>
      <c r="B522" t="s">
        <v>197</v>
      </c>
      <c r="C522" t="s">
        <v>5098</v>
      </c>
      <c r="D522" t="s">
        <v>5050</v>
      </c>
      <c r="E522" t="s">
        <v>35</v>
      </c>
      <c r="F522" t="s">
        <v>162</v>
      </c>
      <c r="G522" t="s">
        <v>5099</v>
      </c>
      <c r="H522" t="s">
        <v>5100</v>
      </c>
      <c r="I522" t="s">
        <v>39</v>
      </c>
      <c r="J522" t="s">
        <v>5101</v>
      </c>
      <c r="K522" t="s">
        <v>5102</v>
      </c>
      <c r="L522" s="23" t="s">
        <v>100</v>
      </c>
      <c r="M522" s="23" t="s">
        <v>197</v>
      </c>
      <c r="N522" s="23" t="s">
        <v>77</v>
      </c>
      <c r="O522" s="23" t="s">
        <v>1698</v>
      </c>
      <c r="P522" s="23" t="s">
        <v>99</v>
      </c>
      <c r="Q522" s="23" t="s">
        <v>302</v>
      </c>
      <c r="R522" s="23" t="s">
        <v>1032</v>
      </c>
      <c r="S522" s="23" t="s">
        <v>1360</v>
      </c>
      <c r="T522" s="23" t="s">
        <v>1104</v>
      </c>
      <c r="U522" s="23" t="s">
        <v>245</v>
      </c>
      <c r="V522" s="23" t="s">
        <v>77</v>
      </c>
      <c r="W522" s="23" t="s">
        <v>1177</v>
      </c>
      <c r="X522" s="23" t="s">
        <v>3845</v>
      </c>
      <c r="Y522" s="23" t="s">
        <v>301</v>
      </c>
      <c r="Z522" s="23" t="s">
        <v>153</v>
      </c>
      <c r="AA522" s="23" t="s">
        <v>1556</v>
      </c>
      <c r="AB522" s="23" t="s">
        <v>2451</v>
      </c>
      <c r="AC522" s="23" t="s">
        <v>695</v>
      </c>
      <c r="AD522" s="23" t="s">
        <v>73</v>
      </c>
      <c r="AE522" s="23" t="s">
        <v>4054</v>
      </c>
    </row>
    <row r="523" spans="1:31" hidden="1" x14ac:dyDescent="0.25">
      <c r="A523">
        <v>522</v>
      </c>
      <c r="B523" t="s">
        <v>197</v>
      </c>
      <c r="C523" t="s">
        <v>5105</v>
      </c>
      <c r="D523" t="s">
        <v>5050</v>
      </c>
      <c r="E523" t="s">
        <v>35</v>
      </c>
      <c r="F523" t="s">
        <v>162</v>
      </c>
      <c r="G523" t="s">
        <v>5106</v>
      </c>
      <c r="H523" t="s">
        <v>5107</v>
      </c>
      <c r="I523" t="s">
        <v>39</v>
      </c>
      <c r="J523" t="s">
        <v>5108</v>
      </c>
      <c r="K523" t="s">
        <v>5109</v>
      </c>
      <c r="L523" s="23" t="s">
        <v>2138</v>
      </c>
      <c r="M523" s="23" t="s">
        <v>1305</v>
      </c>
      <c r="N523" s="23" t="s">
        <v>97</v>
      </c>
      <c r="O523" s="23" t="s">
        <v>1416</v>
      </c>
      <c r="P523" s="23" t="s">
        <v>5137</v>
      </c>
      <c r="Q523" s="23" t="s">
        <v>454</v>
      </c>
      <c r="R523" s="23" t="s">
        <v>166</v>
      </c>
      <c r="S523" s="23" t="s">
        <v>2609</v>
      </c>
      <c r="T523" s="23" t="s">
        <v>3492</v>
      </c>
      <c r="U523" s="23" t="s">
        <v>1125</v>
      </c>
      <c r="V523" s="23" t="s">
        <v>336</v>
      </c>
      <c r="W523" s="23" t="s">
        <v>4673</v>
      </c>
      <c r="X523" s="23" t="s">
        <v>3791</v>
      </c>
      <c r="Y523" s="23" t="s">
        <v>152</v>
      </c>
      <c r="Z523" s="23" t="s">
        <v>768</v>
      </c>
      <c r="AA523" s="23" t="s">
        <v>1328</v>
      </c>
      <c r="AB523" s="23" t="s">
        <v>2377</v>
      </c>
      <c r="AC523" s="23" t="s">
        <v>1993</v>
      </c>
      <c r="AD523" s="23" t="s">
        <v>95</v>
      </c>
      <c r="AE523" s="23" t="s">
        <v>5138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5994-AE0C-4A93-9B87-AC5837CCA853}">
  <dimension ref="A1:AI109"/>
  <sheetViews>
    <sheetView showGridLines="0" tabSelected="1" topLeftCell="A11" zoomScale="85" zoomScaleNormal="85" workbookViewId="0">
      <selection activeCell="AB37" sqref="AB37"/>
    </sheetView>
  </sheetViews>
  <sheetFormatPr defaultRowHeight="15" x14ac:dyDescent="0.25"/>
  <cols>
    <col min="1" max="1" width="36.5703125" bestFit="1" customWidth="1"/>
    <col min="2" max="2" width="28.140625" bestFit="1" customWidth="1"/>
    <col min="13" max="13" width="10" bestFit="1" customWidth="1"/>
    <col min="26" max="26" width="9.85546875" bestFit="1" customWidth="1"/>
    <col min="27" max="27" width="3.140625" customWidth="1"/>
    <col min="28" max="28" width="42.85546875" bestFit="1" customWidth="1"/>
    <col min="32" max="32" width="10.42578125" customWidth="1"/>
    <col min="33" max="33" width="2.140625" customWidth="1"/>
    <col min="35" max="35" width="18.5703125" bestFit="1" customWidth="1"/>
  </cols>
  <sheetData>
    <row r="1" spans="1:35" ht="90" x14ac:dyDescent="0.25">
      <c r="A1" s="42" t="s">
        <v>5139</v>
      </c>
    </row>
    <row r="5" spans="1:35" x14ac:dyDescent="0.25">
      <c r="E5" s="2"/>
      <c r="F5" s="3"/>
      <c r="G5" s="3"/>
      <c r="H5" s="3"/>
      <c r="I5" s="3"/>
      <c r="J5" s="4" t="s">
        <v>5140</v>
      </c>
      <c r="N5" t="s">
        <v>5141</v>
      </c>
    </row>
    <row r="6" spans="1:35" x14ac:dyDescent="0.25">
      <c r="A6" t="s">
        <v>5142</v>
      </c>
      <c r="E6" s="5" t="s">
        <v>5143</v>
      </c>
      <c r="F6" s="6">
        <v>7</v>
      </c>
      <c r="G6" s="7" t="s">
        <v>5144</v>
      </c>
      <c r="H6" s="7">
        <v>9</v>
      </c>
      <c r="I6" s="8"/>
      <c r="J6" s="9">
        <f>H6-F6</f>
        <v>2</v>
      </c>
      <c r="N6" t="s">
        <v>5145</v>
      </c>
      <c r="O6" t="str" cm="1">
        <f t="array" aca="1" ref="O6" ca="1">INDIRECT("'Traffic Count'!"&amp;ADDRESS(D1_Row,Direction)) &amp; ": " &amp; INDIRECT("'Traffic Count'!"&amp;ADDRESS(D1_Row,Road_Name)) &amp; " at " &amp; INDIRECT("'Traffic Count'!"&amp;ADDRESS(D1_Row,Location)) &amp; ". " &amp; $A$45 &amp; ": " &amp; INDIRECT("'Traffic Count'!"&amp;ADDRESS(D1_Row,Latitude)) &amp; ", " &amp; $A$46 &amp; ": " &amp; INDIRECT("'Traffic Count'!"&amp;ADDRESS(D1_Row,Longitude))</f>
        <v>Southbound: Lutwyche Rd at south of Nicolas St. Latitude: -27.44146, Longitude: 153.03037</v>
      </c>
    </row>
    <row r="7" spans="1:35" x14ac:dyDescent="0.25">
      <c r="A7" s="26">
        <v>20</v>
      </c>
      <c r="E7" s="10" t="s">
        <v>5146</v>
      </c>
      <c r="F7" s="11">
        <v>9</v>
      </c>
      <c r="G7" t="s">
        <v>5144</v>
      </c>
      <c r="H7">
        <v>16</v>
      </c>
      <c r="I7" s="9"/>
      <c r="J7" s="9">
        <f t="shared" ref="J7:J8" si="0">H7-F7</f>
        <v>7</v>
      </c>
      <c r="N7" t="s">
        <v>5147</v>
      </c>
      <c r="O7" t="str" cm="1">
        <f t="array" aca="1" ref="O7" ca="1">INDIRECT("'Traffic Count'!"&amp;ADDRESS(D2_Row,Direction)) &amp; ": " &amp; INDIRECT("'Traffic Count'!"&amp;ADDRESS(D2_Row,Road_Name)) &amp; " at " &amp; INDIRECT("'Traffic Count'!"&amp;ADDRESS(D2_Row,Location)) &amp; ". " &amp; $A$45 &amp; ": " &amp; INDIRECT("'Traffic Count'!"&amp;ADDRESS(D2_Row,Latitude)) &amp; ", " &amp; $A$46 &amp; ": " &amp; INDIRECT("'Traffic Count'!"&amp;ADDRESS(D2_Row,Longitude))</f>
        <v>Northbound: Lutwyche Rd at south of Nicolas St. Latitude: -27.44146, Longitude: 153.03037</v>
      </c>
    </row>
    <row r="8" spans="1:35" x14ac:dyDescent="0.25">
      <c r="E8" s="10" t="s">
        <v>5148</v>
      </c>
      <c r="F8" s="11">
        <v>16</v>
      </c>
      <c r="G8" t="s">
        <v>5144</v>
      </c>
      <c r="H8">
        <v>18</v>
      </c>
      <c r="I8" s="9"/>
      <c r="J8" s="9">
        <f t="shared" si="0"/>
        <v>2</v>
      </c>
    </row>
    <row r="9" spans="1:35" x14ac:dyDescent="0.25">
      <c r="A9" t="s">
        <v>5149</v>
      </c>
      <c r="E9" s="12" t="s">
        <v>5150</v>
      </c>
      <c r="F9" s="13">
        <v>18</v>
      </c>
      <c r="G9" s="14" t="s">
        <v>5144</v>
      </c>
      <c r="H9" s="14">
        <v>7</v>
      </c>
      <c r="I9" s="15"/>
      <c r="J9" s="15">
        <f>24-F9+H9</f>
        <v>13</v>
      </c>
      <c r="N9" t="s">
        <v>5151</v>
      </c>
      <c r="S9" s="26" t="s">
        <v>5152</v>
      </c>
      <c r="T9" s="26"/>
      <c r="U9" s="26"/>
      <c r="AB9" t="str" cm="1">
        <f t="array" aca="1" ref="AB9" ca="1">IF($S$9="Yes", INDIRECT("'Traffic Count'!"&amp;ADDRESS(D2_Row,Direction)) &amp; ": " &amp; INDIRECT("'Traffic Count'!"&amp;ADDRESS(D2_Row,Road_Name)),(IF($S$11="Yes", INDIRECT("'Traffic Count'!"&amp;ADDRESS(D2_Row,Direction)) &amp; ": " &amp; $S$10, $B$101 &amp; ": " &amp; $S$10)))</f>
        <v>Eastbound: Norman Ave</v>
      </c>
    </row>
    <row r="10" spans="1:35" x14ac:dyDescent="0.25">
      <c r="N10" t="s">
        <v>5153</v>
      </c>
      <c r="S10" s="26" t="s">
        <v>5200</v>
      </c>
      <c r="T10" s="26"/>
      <c r="U10" s="26"/>
    </row>
    <row r="11" spans="1:35" x14ac:dyDescent="0.25">
      <c r="B11" t="s">
        <v>5154</v>
      </c>
      <c r="E11" s="2" t="s">
        <v>5155</v>
      </c>
      <c r="F11" s="3"/>
      <c r="G11" s="4"/>
      <c r="H11" s="3"/>
      <c r="I11" s="3" t="s">
        <v>5156</v>
      </c>
      <c r="J11" s="4"/>
      <c r="N11" t="s">
        <v>5157</v>
      </c>
      <c r="S11" s="26" t="s">
        <v>5152</v>
      </c>
      <c r="T11" s="26"/>
      <c r="U11" s="26"/>
    </row>
    <row r="12" spans="1:35" x14ac:dyDescent="0.25">
      <c r="A12" t="s">
        <v>5145</v>
      </c>
      <c r="B12" s="26">
        <v>169</v>
      </c>
      <c r="E12" s="28">
        <v>2012</v>
      </c>
      <c r="F12" s="29"/>
      <c r="G12" s="30"/>
      <c r="H12" s="14"/>
      <c r="I12" s="14">
        <f ca="1">YEAR(TODAY())</f>
        <v>2026</v>
      </c>
      <c r="J12" s="15"/>
      <c r="N12" t="s">
        <v>5159</v>
      </c>
      <c r="S12">
        <v>5</v>
      </c>
      <c r="T12" t="str" cm="1">
        <f t="array" aca="1" ref="T12" ca="1">"% of "&amp;INDIRECT("'Traffic Count'!"&amp;ADDRESS(D1_Row,Road_Name))&amp;" assumed for "&amp;S10</f>
        <v>% of Lutwyche Rd assumed for Norman Ave</v>
      </c>
    </row>
    <row r="13" spans="1:35" x14ac:dyDescent="0.25">
      <c r="A13" t="s">
        <v>5147</v>
      </c>
      <c r="B13" s="26">
        <v>187</v>
      </c>
      <c r="E13" s="6" t="s">
        <v>5160</v>
      </c>
      <c r="F13" s="7"/>
      <c r="G13" s="7">
        <f ca="1">I12-E12</f>
        <v>14</v>
      </c>
      <c r="H13" s="7"/>
      <c r="I13" s="7"/>
      <c r="J13" s="8"/>
    </row>
    <row r="14" spans="1:35" ht="18.75" x14ac:dyDescent="0.3">
      <c r="E14" s="13" t="s">
        <v>5161</v>
      </c>
      <c r="F14" s="14"/>
      <c r="G14" s="27">
        <v>2.5</v>
      </c>
      <c r="H14" s="14"/>
      <c r="I14" s="14"/>
      <c r="J14" s="15"/>
      <c r="L14" s="22"/>
    </row>
    <row r="15" spans="1:35" x14ac:dyDescent="0.25">
      <c r="N15" s="6" t="str" cm="1">
        <f t="array" aca="1" ref="N15" ca="1">IF($S$9="Yes", "Queue Length Estimation: " &amp; INDIRECT("'Traffic Count'!"&amp;ADDRESS(D1_Row,Direction)) &amp; ": " &amp; INDIRECT("'Traffic Count'!"&amp;ADDRESS(D1_Row,Road_Name)),(IF($S$11="Yes", "Queue Length Estimation: " &amp; INDIRECT("'Traffic Count'!"&amp;ADDRESS(D1_Row,Direction)) &amp; ": " &amp; $S$10, "Queue Length Estimation: " &amp; $B$101 &amp; ": " &amp; $S$10)))</f>
        <v>Queue Length Estimation: Eastbound: Norman Ave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35" x14ac:dyDescent="0.25">
      <c r="N16" s="6" t="s">
        <v>5143</v>
      </c>
      <c r="O16" s="7"/>
      <c r="P16" s="8"/>
      <c r="Q16" s="6" t="s">
        <v>5146</v>
      </c>
      <c r="R16" s="7"/>
      <c r="S16" s="8"/>
      <c r="T16" s="6" t="s">
        <v>5148</v>
      </c>
      <c r="U16" s="7"/>
      <c r="V16" s="8"/>
      <c r="W16" s="6" t="s">
        <v>5150</v>
      </c>
      <c r="X16" s="7"/>
      <c r="Y16" s="8"/>
      <c r="Z16" s="5" t="s">
        <v>5162</v>
      </c>
      <c r="AB16" s="2" t="str">
        <f>S10 &amp; " - Traffic Impact Analysis"</f>
        <v>Norman Ave - Traffic Impact Analysis</v>
      </c>
      <c r="AC16" s="3"/>
      <c r="AD16" s="3"/>
      <c r="AE16" s="3"/>
      <c r="AF16" s="4"/>
      <c r="AI16" s="37" t="s">
        <v>5163</v>
      </c>
    </row>
    <row r="17" spans="2:35" x14ac:dyDescent="0.25">
      <c r="N17" s="13" t="s">
        <v>5164</v>
      </c>
      <c r="O17" s="14" t="s">
        <v>5165</v>
      </c>
      <c r="P17" s="15" t="s">
        <v>5166</v>
      </c>
      <c r="Q17" s="13" t="s">
        <v>5164</v>
      </c>
      <c r="R17" s="14" t="s">
        <v>5165</v>
      </c>
      <c r="S17" s="15" t="s">
        <v>5166</v>
      </c>
      <c r="T17" s="13" t="s">
        <v>5164</v>
      </c>
      <c r="U17" s="14" t="s">
        <v>5165</v>
      </c>
      <c r="V17" s="15" t="s">
        <v>5166</v>
      </c>
      <c r="W17" s="13" t="s">
        <v>5164</v>
      </c>
      <c r="X17" s="14" t="s">
        <v>5165</v>
      </c>
      <c r="Y17" s="15" t="s">
        <v>5166</v>
      </c>
      <c r="Z17" s="12"/>
      <c r="AB17" s="5"/>
      <c r="AC17" s="16" t="str">
        <f ca="1">IF(AB20="Eastbound", "EB", "NB")</f>
        <v>EB</v>
      </c>
      <c r="AD17" s="16" t="str">
        <f ca="1">IF(AB21="Westbound", "WB", "SB")</f>
        <v>WB</v>
      </c>
      <c r="AE17" s="2" t="s">
        <v>5167</v>
      </c>
      <c r="AF17" s="4"/>
      <c r="AI17" s="36" t="s">
        <v>5168</v>
      </c>
    </row>
    <row r="18" spans="2:35" x14ac:dyDescent="0.25">
      <c r="L18" s="6"/>
      <c r="M18" s="7">
        <f>$E$12</f>
        <v>2012</v>
      </c>
      <c r="N18" s="31" cm="1">
        <f t="array" aca="1" ref="N18" ca="1">INDIRECT("'Traffic Count'!"&amp;ADDRESS(D1_Row,Car_AM))*$A$7%</f>
        <v>870.40000000000009</v>
      </c>
      <c r="O18" s="32" cm="1">
        <f t="array" aca="1" ref="O18" ca="1">INDIRECT("'Traffic Count'!"&amp;ADDRESS(D1_Row,MCV_AM))*$A$7%</f>
        <v>20.400000000000002</v>
      </c>
      <c r="P18" s="33" cm="1">
        <f t="array" aca="1" ref="P18" ca="1">INDIRECT("'Traffic Count'!"&amp;ADDRESS(D1_Row,HCV_AM))*$A$7%</f>
        <v>2</v>
      </c>
      <c r="Q18" s="31" cm="1">
        <f t="array" aca="1" ref="Q18" ca="1">INDIRECT("'Traffic Count'!"&amp;ADDRESS(D1_Row,Car_OP))*$A$7%</f>
        <v>1667.6000000000001</v>
      </c>
      <c r="R18" s="32" cm="1">
        <f t="array" aca="1" ref="R18" ca="1">INDIRECT("'Traffic Count'!"&amp;ADDRESS(D1_Row,MCV_OP))*$A$7%</f>
        <v>71.8</v>
      </c>
      <c r="S18" s="33" cm="1">
        <f t="array" aca="1" ref="S18" ca="1">INDIRECT("'Traffic Count'!"&amp;ADDRESS(D1_Row,HCV_OP))*$A$7%</f>
        <v>6.8000000000000007</v>
      </c>
      <c r="T18" s="31" cm="1">
        <f t="array" aca="1" ref="T18" ca="1">INDIRECT("'Traffic Count'!"&amp;ADDRESS(D1_Row,Car_PM))*$A$7%</f>
        <v>419.6</v>
      </c>
      <c r="U18" s="32" cm="1">
        <f t="array" aca="1" ref="U18" ca="1">INDIRECT("'Traffic Count'!"&amp;ADDRESS(D1_Row,MCV_PM))*$A$7%</f>
        <v>10.8</v>
      </c>
      <c r="V18" s="33" cm="1">
        <f t="array" aca="1" ref="V18" ca="1">INDIRECT("'Traffic Count'!"&amp;ADDRESS(D1_Row,HCV_PM))*$A$7%</f>
        <v>0.2</v>
      </c>
      <c r="W18" s="31" cm="1">
        <f t="array" aca="1" ref="W18" ca="1">INDIRECT("'Traffic Count'!"&amp;ADDRESS(D1_Row,Car_EV))*$A$7%</f>
        <v>1300</v>
      </c>
      <c r="X18" s="32" cm="1">
        <f t="array" aca="1" ref="X18" ca="1">INDIRECT("'Traffic Count'!"&amp;ADDRESS(D1_Row,MCV_EV))*$A$7%</f>
        <v>53.800000000000004</v>
      </c>
      <c r="Y18" s="33" cm="1">
        <f t="array" aca="1" ref="Y18" ca="1">INDIRECT("'Traffic Count'!"&amp;ADDRESS(D1_Row,HCV_EV))*$A$7%</f>
        <v>7.2</v>
      </c>
      <c r="Z18" s="25">
        <f ca="1">N18+O18+P18+Q18+R18+S18+T18+U18+V18+W18+X18+Y18</f>
        <v>4430.6000000000004</v>
      </c>
      <c r="AB18" s="10" t="s">
        <v>5169</v>
      </c>
      <c r="AC18" s="10">
        <f ca="1">IF(ROUNDUP(0.12*Z19,0)&lt;=500, 500,ROUNDUP(0.12*Z19,0))</f>
        <v>752</v>
      </c>
      <c r="AD18" s="10">
        <f ca="1">IF(ROUNDUP(0.12*Z34,0)&lt;=500, 500,ROUNDUP(0.12*Z34,0))</f>
        <v>1251</v>
      </c>
      <c r="AE18" s="11">
        <f ca="1">MAX(AC18:AD18)</f>
        <v>1251</v>
      </c>
      <c r="AF18" s="9"/>
      <c r="AI18" s="38" t="s">
        <v>5170</v>
      </c>
    </row>
    <row r="19" spans="2:35" x14ac:dyDescent="0.25">
      <c r="L19" s="13" t="s">
        <v>5171</v>
      </c>
      <c r="M19" s="14">
        <f ca="1">$I$12</f>
        <v>2026</v>
      </c>
      <c r="N19" s="11">
        <f t="shared" ref="N19:Z19" ca="1" si="1">ROUNDUP(N18*(1+$G$14/100)^$G$13,0)</f>
        <v>1230</v>
      </c>
      <c r="O19">
        <f t="shared" ca="1" si="1"/>
        <v>29</v>
      </c>
      <c r="P19" s="9">
        <f t="shared" ca="1" si="1"/>
        <v>3</v>
      </c>
      <c r="Q19" s="11">
        <f t="shared" ca="1" si="1"/>
        <v>2357</v>
      </c>
      <c r="R19">
        <f t="shared" ca="1" si="1"/>
        <v>102</v>
      </c>
      <c r="S19" s="9">
        <f t="shared" ca="1" si="1"/>
        <v>10</v>
      </c>
      <c r="T19" s="11">
        <f t="shared" ca="1" si="1"/>
        <v>593</v>
      </c>
      <c r="U19">
        <f t="shared" ca="1" si="1"/>
        <v>16</v>
      </c>
      <c r="V19" s="9">
        <f t="shared" ca="1" si="1"/>
        <v>1</v>
      </c>
      <c r="W19" s="11">
        <f t="shared" ca="1" si="1"/>
        <v>1837</v>
      </c>
      <c r="X19">
        <f t="shared" ca="1" si="1"/>
        <v>77</v>
      </c>
      <c r="Y19" s="9">
        <f t="shared" ca="1" si="1"/>
        <v>11</v>
      </c>
      <c r="Z19" s="10">
        <f ca="1">ROUNDUP(Z18*(1+$G$14/100)^$G$13,0)</f>
        <v>6261</v>
      </c>
      <c r="AB19" s="10" t="s">
        <v>5172</v>
      </c>
      <c r="AC19" s="16" t="s">
        <v>5143</v>
      </c>
      <c r="AD19" s="16" t="s">
        <v>5146</v>
      </c>
      <c r="AE19" s="16" t="s">
        <v>5148</v>
      </c>
      <c r="AF19" s="4" t="s">
        <v>5150</v>
      </c>
      <c r="AI19" s="39" t="s">
        <v>5173</v>
      </c>
    </row>
    <row r="20" spans="2:35" x14ac:dyDescent="0.25">
      <c r="B20" s="6" t="s">
        <v>5174</v>
      </c>
      <c r="C20" s="7"/>
      <c r="D20" s="8"/>
      <c r="L20" s="2"/>
      <c r="M20" s="4" t="s">
        <v>5175</v>
      </c>
      <c r="N20" s="13">
        <f ca="1">ROUNDUP(N19/$J$6,0)</f>
        <v>615</v>
      </c>
      <c r="O20" s="14">
        <f ca="1">ROUNDUP(O19/$J$6,0)</f>
        <v>15</v>
      </c>
      <c r="P20" s="15">
        <f ca="1">ROUNDUP(P19/$J$6,0)</f>
        <v>2</v>
      </c>
      <c r="Q20" s="13">
        <f ca="1">ROUNDUP(Q19/$J$7,0)</f>
        <v>337</v>
      </c>
      <c r="R20" s="14">
        <f ca="1">ROUNDUP(R19/$J$7,0)</f>
        <v>15</v>
      </c>
      <c r="S20" s="15">
        <f ca="1">ROUNDUP(S19/$J$7,0)</f>
        <v>2</v>
      </c>
      <c r="T20" s="13">
        <f ca="1">ROUNDUP(T19/$J$8,0)</f>
        <v>297</v>
      </c>
      <c r="U20" s="14">
        <f ca="1">ROUNDUP(U19/$J$8,0)</f>
        <v>8</v>
      </c>
      <c r="V20" s="15">
        <f ca="1">ROUNDUP(V19/$J$8,0)</f>
        <v>1</v>
      </c>
      <c r="W20" s="13">
        <f ca="1">ROUNDUP(W19/$J$9,0)</f>
        <v>142</v>
      </c>
      <c r="X20" s="14">
        <f ca="1">ROUNDUP(X19/$J$9,0)</f>
        <v>6</v>
      </c>
      <c r="Y20" s="15">
        <f ca="1">ROUNDUP(Y19/$J$9,0)</f>
        <v>1</v>
      </c>
      <c r="Z20" s="12"/>
      <c r="AB20" s="10" t="str" cm="1">
        <f t="array" aca="1" ref="AB20" ca="1">IF($S$11="Yes", INDIRECT("'Traffic Count'!"&amp;ADDRESS(D1_Row,Direction)), $B$101)</f>
        <v>Eastbound</v>
      </c>
      <c r="AC20" s="19">
        <f ca="1">SUM(N20:P20)/AC18</f>
        <v>0.84042553191489366</v>
      </c>
      <c r="AD20" s="17">
        <f ca="1">SUM(Q20:S20)/AC18</f>
        <v>0.47074468085106386</v>
      </c>
      <c r="AE20" s="17">
        <f ca="1">SUM(T20:V20)/AC18</f>
        <v>0.40691489361702127</v>
      </c>
      <c r="AF20" s="18">
        <f ca="1">SUM(W20:Y20)/AC18</f>
        <v>0.19813829787234041</v>
      </c>
      <c r="AI20" s="41" t="s">
        <v>5176</v>
      </c>
    </row>
    <row r="21" spans="2:35" x14ac:dyDescent="0.25">
      <c r="B21" s="5" t="s">
        <v>5177</v>
      </c>
      <c r="C21" s="2" t="s">
        <v>5178</v>
      </c>
      <c r="D21" s="4"/>
      <c r="L21" s="2" t="s">
        <v>5179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4"/>
      <c r="AB21" s="10" t="str" cm="1">
        <f t="array" aca="1" ref="AB21" ca="1">IF($S$11="Yes", INDIRECT("'Traffic Count'!"&amp;ADDRESS(D2_Row,Direction)), $B$102)</f>
        <v>Westbound</v>
      </c>
      <c r="AC21" s="19">
        <f ca="1">SUM(N20:P20)/AD18</f>
        <v>0.50519584332533973</v>
      </c>
      <c r="AD21" s="17">
        <f ca="1">SUM(Q35:S35)/AD18</f>
        <v>0.50279776179056757</v>
      </c>
      <c r="AE21" s="17">
        <f ca="1">SUM(T35:V35)/AD18</f>
        <v>0.74260591526778574</v>
      </c>
      <c r="AF21" s="19">
        <f ca="1">SUM(W35:Y35)/AD18</f>
        <v>0.19184652278177458</v>
      </c>
      <c r="AI21" s="40" t="s">
        <v>5180</v>
      </c>
    </row>
    <row r="22" spans="2:35" x14ac:dyDescent="0.25">
      <c r="B22" s="12"/>
      <c r="C22" s="16" t="s">
        <v>5181</v>
      </c>
      <c r="D22" s="16" t="s">
        <v>5182</v>
      </c>
      <c r="L22" s="6" t="s">
        <v>5183</v>
      </c>
      <c r="M22" s="16" t="s">
        <v>5184</v>
      </c>
      <c r="N22" s="2">
        <f t="shared" ref="N22:Y22" ca="1" si="2">ROUNDUP(N20*5/60,0)</f>
        <v>52</v>
      </c>
      <c r="O22" s="3">
        <f t="shared" ca="1" si="2"/>
        <v>2</v>
      </c>
      <c r="P22" s="4">
        <f t="shared" ca="1" si="2"/>
        <v>1</v>
      </c>
      <c r="Q22" s="2">
        <f t="shared" ca="1" si="2"/>
        <v>29</v>
      </c>
      <c r="R22" s="3">
        <f t="shared" ca="1" si="2"/>
        <v>2</v>
      </c>
      <c r="S22" s="4">
        <f t="shared" ca="1" si="2"/>
        <v>1</v>
      </c>
      <c r="T22" s="2">
        <f t="shared" ca="1" si="2"/>
        <v>25</v>
      </c>
      <c r="U22" s="3">
        <f t="shared" ca="1" si="2"/>
        <v>1</v>
      </c>
      <c r="V22" s="4">
        <f t="shared" ca="1" si="2"/>
        <v>1</v>
      </c>
      <c r="W22" s="2">
        <f t="shared" ca="1" si="2"/>
        <v>12</v>
      </c>
      <c r="X22" s="3">
        <f t="shared" ca="1" si="2"/>
        <v>1</v>
      </c>
      <c r="Y22" s="4">
        <f t="shared" ca="1" si="2"/>
        <v>1</v>
      </c>
      <c r="Z22" s="5" t="s">
        <v>5185</v>
      </c>
      <c r="AB22" s="12" t="s">
        <v>5186</v>
      </c>
      <c r="AC22" s="21">
        <f ca="1">SUM(N20:P20,N35:P35)/AE18</f>
        <v>0.9304556354916067</v>
      </c>
      <c r="AD22" s="20">
        <f ca="1">SUM(Q20:S20,Q35:S35)/AE18</f>
        <v>0.78577138289368509</v>
      </c>
      <c r="AE22" s="20">
        <f ca="1">SUM(T35:V35,T20:V20)/AE18</f>
        <v>0.98721023181454837</v>
      </c>
      <c r="AF22" s="21">
        <f ca="1">SUM(W20:Y20,W35:Y35)/AE18</f>
        <v>0.31095123900879296</v>
      </c>
    </row>
    <row r="23" spans="2:35" x14ac:dyDescent="0.25">
      <c r="B23" s="10">
        <v>2</v>
      </c>
      <c r="C23" s="10">
        <v>2.4</v>
      </c>
      <c r="D23" s="10">
        <v>8</v>
      </c>
      <c r="L23" s="28" t="s">
        <v>5187</v>
      </c>
      <c r="M23" s="34" t="s">
        <v>5188</v>
      </c>
      <c r="N23" s="28">
        <f ca="1">N22*$C$23+(SUM(O22:P22)*$D$23)</f>
        <v>148.80000000000001</v>
      </c>
      <c r="O23" s="29"/>
      <c r="P23" s="30"/>
      <c r="Q23" s="28">
        <f ca="1">Q22*$C$23+(SUM(R22:S22)*$D$23)</f>
        <v>93.6</v>
      </c>
      <c r="R23" s="29"/>
      <c r="S23" s="30"/>
      <c r="T23" s="28">
        <f ca="1">T22*$C$23+(SUM(U22:V22)*$D$23)</f>
        <v>76</v>
      </c>
      <c r="U23" s="29"/>
      <c r="V23" s="30"/>
      <c r="W23" s="28">
        <f ca="1">W22*$C$23+(SUM(X22:Y22)*$D$23)</f>
        <v>44.8</v>
      </c>
      <c r="X23" s="29"/>
      <c r="Y23" s="30"/>
      <c r="Z23" s="35">
        <f ca="1">MAX(N23:Y23)</f>
        <v>148.80000000000001</v>
      </c>
    </row>
    <row r="24" spans="2:35" x14ac:dyDescent="0.25">
      <c r="B24" s="10">
        <v>5</v>
      </c>
      <c r="C24" s="10">
        <v>6</v>
      </c>
      <c r="D24" s="10">
        <v>20</v>
      </c>
      <c r="L24" s="13" t="s">
        <v>5189</v>
      </c>
      <c r="M24" s="16" t="s">
        <v>5188</v>
      </c>
      <c r="N24" s="2">
        <f ca="1">N22*$C$24+(SUM(O22:P22)*$D$24)</f>
        <v>372</v>
      </c>
      <c r="O24" s="3"/>
      <c r="P24" s="4"/>
      <c r="Q24" s="2">
        <f ca="1">Q22*$C$24+(SUM(R22:S22)*$D$24)</f>
        <v>234</v>
      </c>
      <c r="R24" s="3"/>
      <c r="S24" s="4"/>
      <c r="T24" s="2">
        <f ca="1">T22*$C$24+(SUM(U22:V22)*$D$24)</f>
        <v>190</v>
      </c>
      <c r="U24" s="3"/>
      <c r="V24" s="4"/>
      <c r="W24" s="2">
        <f ca="1">W22*$C$24+(SUM(X22:Y22)*$D$24)</f>
        <v>112</v>
      </c>
      <c r="X24" s="3"/>
      <c r="Y24" s="4"/>
      <c r="Z24" s="12">
        <f ca="1">MAX(N24:Y24)</f>
        <v>372</v>
      </c>
      <c r="AB24" t="s">
        <v>5190</v>
      </c>
    </row>
    <row r="25" spans="2:35" x14ac:dyDescent="0.25">
      <c r="B25" s="10">
        <v>10</v>
      </c>
      <c r="C25" s="10">
        <v>12</v>
      </c>
      <c r="D25" s="10">
        <v>40</v>
      </c>
      <c r="L25" s="13" t="s">
        <v>5191</v>
      </c>
      <c r="M25" s="16" t="s">
        <v>5188</v>
      </c>
      <c r="N25" s="2">
        <f ca="1">N22*$C$25+(SUM(O22:P22)*$D$25)</f>
        <v>744</v>
      </c>
      <c r="O25" s="3"/>
      <c r="P25" s="4"/>
      <c r="Q25" s="2">
        <f ca="1">Q22*$C$25+(SUM(R22:S22)*$D$25)</f>
        <v>468</v>
      </c>
      <c r="R25" s="3"/>
      <c r="S25" s="4"/>
      <c r="T25" s="2">
        <f ca="1">T22*$C$25+(SUM(U22:V22)*$D$25)</f>
        <v>380</v>
      </c>
      <c r="U25" s="3"/>
      <c r="V25" s="4"/>
      <c r="W25" s="2">
        <f ca="1">W22*$C$25+(SUM(X22:Y22)*$D$25)</f>
        <v>224</v>
      </c>
      <c r="X25" s="3"/>
      <c r="Y25" s="4"/>
      <c r="Z25" s="12">
        <f ca="1">MAX(N25:Y25)</f>
        <v>744</v>
      </c>
    </row>
    <row r="26" spans="2:35" x14ac:dyDescent="0.25">
      <c r="B26" s="10">
        <v>15</v>
      </c>
      <c r="C26" s="10">
        <v>18</v>
      </c>
      <c r="D26" s="10">
        <v>60</v>
      </c>
    </row>
    <row r="27" spans="2:35" x14ac:dyDescent="0.25">
      <c r="B27" s="12">
        <v>30</v>
      </c>
      <c r="C27" s="12">
        <v>36</v>
      </c>
      <c r="D27" s="12">
        <v>120</v>
      </c>
    </row>
    <row r="30" spans="2:35" x14ac:dyDescent="0.25">
      <c r="N30" s="6" t="str" cm="1">
        <f t="array" aca="1" ref="N30" ca="1">IF($S$9="Yes", "Queue Length Estimation: " &amp; INDIRECT("'Traffic Count'!"&amp;ADDRESS(D2_Row,Direction)) &amp; ": " &amp; INDIRECT("'Traffic Count'!"&amp;ADDRESS(D2_Row,Road_Name)),(IF($S$11="Yes", "Queue Length Estimation: " &amp; INDIRECT("'Traffic Count'!"&amp;ADDRESS(D2_Row,Direction)) &amp; ": " &amp; $S$10, "Queue Length Estimation: " &amp; $B$102 &amp; ": " &amp; $S$10)))</f>
        <v>Queue Length Estimation: Westbound: Norman Ave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2:35" x14ac:dyDescent="0.25">
      <c r="N31" s="6" t="s">
        <v>5143</v>
      </c>
      <c r="O31" s="7"/>
      <c r="P31" s="8"/>
      <c r="Q31" s="6" t="s">
        <v>5146</v>
      </c>
      <c r="R31" s="7"/>
      <c r="S31" s="8"/>
      <c r="T31" s="6" t="s">
        <v>5148</v>
      </c>
      <c r="U31" s="7"/>
      <c r="V31" s="8"/>
      <c r="W31" s="6" t="s">
        <v>5150</v>
      </c>
      <c r="X31" s="7"/>
      <c r="Y31" s="8"/>
      <c r="Z31" s="5" t="s">
        <v>5162</v>
      </c>
    </row>
    <row r="32" spans="2:35" x14ac:dyDescent="0.25">
      <c r="N32" s="13" t="s">
        <v>5164</v>
      </c>
      <c r="O32" s="14" t="s">
        <v>5165</v>
      </c>
      <c r="P32" s="15" t="s">
        <v>5166</v>
      </c>
      <c r="Q32" s="13" t="s">
        <v>5164</v>
      </c>
      <c r="R32" s="14" t="s">
        <v>5165</v>
      </c>
      <c r="S32" s="15" t="s">
        <v>5166</v>
      </c>
      <c r="T32" s="13" t="s">
        <v>5164</v>
      </c>
      <c r="U32" s="14" t="s">
        <v>5165</v>
      </c>
      <c r="V32" s="15" t="s">
        <v>5166</v>
      </c>
      <c r="W32" s="13" t="s">
        <v>5164</v>
      </c>
      <c r="X32" s="14" t="s">
        <v>5165</v>
      </c>
      <c r="Y32" s="15" t="s">
        <v>5166</v>
      </c>
      <c r="Z32" s="12"/>
    </row>
    <row r="33" spans="1:35" x14ac:dyDescent="0.25">
      <c r="B33" t="s">
        <v>5145</v>
      </c>
      <c r="C33" t="s">
        <v>5147</v>
      </c>
      <c r="L33" s="6"/>
      <c r="M33" s="7">
        <f>$E$12</f>
        <v>2012</v>
      </c>
      <c r="N33" s="31" cm="1">
        <f t="array" aca="1" ref="N33" ca="1">INDIRECT("'Traffic Count'!"&amp;ADDRESS(D2_Row,Car_AM))*$A$7%</f>
        <v>706.6</v>
      </c>
      <c r="O33" s="32" cm="1">
        <f t="array" aca="1" ref="O33" ca="1">INDIRECT("'Traffic Count'!"&amp;ADDRESS(D2_Row,MCV_AM))*$A$7%</f>
        <v>40</v>
      </c>
      <c r="P33" s="33" cm="1">
        <f t="array" aca="1" ref="P33" ca="1">INDIRECT("'Traffic Count'!"&amp;ADDRESS(D2_Row,HCV_AM))*$A$7%</f>
        <v>4</v>
      </c>
      <c r="Q33" s="31" cm="1">
        <f t="array" aca="1" ref="Q33" ca="1">INDIRECT("'Traffic Count'!"&amp;ADDRESS(D2_Row,Car_OP))*$A$7%</f>
        <v>2927.2000000000003</v>
      </c>
      <c r="R33" s="32" cm="1">
        <f t="array" aca="1" ref="R33" ca="1">INDIRECT("'Traffic Count'!"&amp;ADDRESS(D2_Row,MCV_OP))*$A$7%</f>
        <v>163</v>
      </c>
      <c r="S33" s="33" cm="1">
        <f t="array" aca="1" ref="S33" ca="1">INDIRECT("'Traffic Count'!"&amp;ADDRESS(D2_Row,HCV_OP))*$A$7%</f>
        <v>21.8</v>
      </c>
      <c r="T33" s="31" cm="1">
        <f t="array" aca="1" ref="T33" ca="1">INDIRECT("'Traffic Count'!"&amp;ADDRESS(D2_Row,Car_PM))*$A$7%</f>
        <v>1286.2</v>
      </c>
      <c r="U33" s="32" cm="1">
        <f t="array" aca="1" ref="U33" ca="1">INDIRECT("'Traffic Count'!"&amp;ADDRESS(D2_Row,MCV_PM))*$A$7%</f>
        <v>25.200000000000003</v>
      </c>
      <c r="V33" s="33" cm="1">
        <f t="array" aca="1" ref="V33" ca="1">INDIRECT("'Traffic Count'!"&amp;ADDRESS(D2_Row,HCV_PM))*$A$7%</f>
        <v>2.6</v>
      </c>
      <c r="W33" s="31" cm="1">
        <f t="array" aca="1" ref="W33" ca="1">INDIRECT("'Traffic Count'!"&amp;ADDRESS(D2_Row,Car_EV))*$A$7%</f>
        <v>2114.6</v>
      </c>
      <c r="X33" s="32" cm="1">
        <f t="array" aca="1" ref="X33" ca="1">INDIRECT("'Traffic Count'!"&amp;ADDRESS(D2_Row,MCV_EV))*$A$7%</f>
        <v>68</v>
      </c>
      <c r="Y33" s="33" cm="1">
        <f t="array" aca="1" ref="Y33" ca="1">INDIRECT("'Traffic Count'!"&amp;ADDRESS(D2_Row,HCV_EV))*$A$7%</f>
        <v>14.8</v>
      </c>
      <c r="Z33" s="25">
        <f ca="1">N33+O33+P33+Q33+R33+S33+T33+U33+V33+W33+X33+Y33</f>
        <v>7374.0000000000009</v>
      </c>
    </row>
    <row r="34" spans="1:35" x14ac:dyDescent="0.25">
      <c r="A34" t="s">
        <v>5192</v>
      </c>
      <c r="B34">
        <f>MATCH(B12,'Traffic Count'!A2:A523,0)+1</f>
        <v>170</v>
      </c>
      <c r="C34">
        <f>MATCH(B13,'Traffic Count'!A2:A523,0)+1</f>
        <v>188</v>
      </c>
      <c r="L34" s="13" t="s">
        <v>5171</v>
      </c>
      <c r="M34" s="14">
        <f ca="1">$I$12</f>
        <v>2026</v>
      </c>
      <c r="N34" s="11">
        <f t="shared" ref="N34:Z34" ca="1" si="3">ROUNDUP(N33*(1+$G$14/100)^$G$13,0)</f>
        <v>999</v>
      </c>
      <c r="O34">
        <f t="shared" ca="1" si="3"/>
        <v>57</v>
      </c>
      <c r="P34" s="9">
        <f t="shared" ca="1" si="3"/>
        <v>6</v>
      </c>
      <c r="Q34" s="11">
        <f t="shared" ca="1" si="3"/>
        <v>4137</v>
      </c>
      <c r="R34">
        <f t="shared" ca="1" si="3"/>
        <v>231</v>
      </c>
      <c r="S34" s="9">
        <f t="shared" ca="1" si="3"/>
        <v>31</v>
      </c>
      <c r="T34" s="11">
        <f t="shared" ca="1" si="3"/>
        <v>1818</v>
      </c>
      <c r="U34">
        <f t="shared" ca="1" si="3"/>
        <v>36</v>
      </c>
      <c r="V34" s="9">
        <f t="shared" ca="1" si="3"/>
        <v>4</v>
      </c>
      <c r="W34" s="11">
        <f t="shared" ca="1" si="3"/>
        <v>2988</v>
      </c>
      <c r="X34">
        <f t="shared" ca="1" si="3"/>
        <v>97</v>
      </c>
      <c r="Y34" s="9">
        <f t="shared" ca="1" si="3"/>
        <v>21</v>
      </c>
      <c r="Z34" s="10">
        <f t="shared" ca="1" si="3"/>
        <v>10420</v>
      </c>
    </row>
    <row r="35" spans="1:35" x14ac:dyDescent="0.25">
      <c r="H35" t="str" cm="1">
        <f t="array" aca="1" ref="H35" ca="1">INDIRECT("'Traffic Count'!"&amp;ADDRESS(D1_Row,Car_AM))</f>
        <v>4352</v>
      </c>
      <c r="L35" s="2"/>
      <c r="M35" s="4" t="s">
        <v>5175</v>
      </c>
      <c r="N35" s="13">
        <f ca="1">ROUNDUP(N34/$J$6,0)</f>
        <v>500</v>
      </c>
      <c r="O35" s="14">
        <f ca="1">ROUNDUP(O34/$J$6,0)</f>
        <v>29</v>
      </c>
      <c r="P35" s="15">
        <f ca="1">ROUNDUP(P34/$J$6,0)</f>
        <v>3</v>
      </c>
      <c r="Q35" s="13">
        <f ca="1">ROUNDUP(Q34/$J$7,0)</f>
        <v>591</v>
      </c>
      <c r="R35" s="14">
        <f ca="1">ROUNDUP(R34/$J$7,0)</f>
        <v>33</v>
      </c>
      <c r="S35" s="15">
        <f ca="1">ROUNDUP(S34/$J$7,0)</f>
        <v>5</v>
      </c>
      <c r="T35" s="13">
        <f ca="1">ROUNDUP(T34/$J$8,0)</f>
        <v>909</v>
      </c>
      <c r="U35" s="14">
        <f ca="1">ROUNDUP(U34/$J$8,0)</f>
        <v>18</v>
      </c>
      <c r="V35" s="15">
        <f ca="1">ROUNDUP(V34/$J$8,0)</f>
        <v>2</v>
      </c>
      <c r="W35" s="13">
        <f ca="1">ROUNDUP(W34/$J$9,0)</f>
        <v>230</v>
      </c>
      <c r="X35" s="14">
        <f ca="1">ROUNDUP(X34/$J$9,0)</f>
        <v>8</v>
      </c>
      <c r="Y35" s="15">
        <f ca="1">ROUNDUP(Y34/$J$9,0)</f>
        <v>2</v>
      </c>
      <c r="Z35" s="12"/>
    </row>
    <row r="36" spans="1:35" x14ac:dyDescent="0.25">
      <c r="B36" t="s">
        <v>5143</v>
      </c>
      <c r="C36" t="s">
        <v>5146</v>
      </c>
      <c r="D36" t="s">
        <v>5148</v>
      </c>
      <c r="E36" t="s">
        <v>5150</v>
      </c>
      <c r="L36" s="2" t="s">
        <v>5179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4"/>
    </row>
    <row r="37" spans="1:35" x14ac:dyDescent="0.25">
      <c r="A37" t="s">
        <v>5164</v>
      </c>
      <c r="B37">
        <f>COLUMN('Traffic Count'!L83)</f>
        <v>12</v>
      </c>
      <c r="C37">
        <f>COLUMN('Traffic Count'!P83)</f>
        <v>16</v>
      </c>
      <c r="D37">
        <f>COLUMN('Traffic Count'!T83)</f>
        <v>20</v>
      </c>
      <c r="E37">
        <f>COLUMN('Traffic Count'!X83)</f>
        <v>24</v>
      </c>
      <c r="L37" s="6" t="s">
        <v>5183</v>
      </c>
      <c r="M37" s="16" t="s">
        <v>5184</v>
      </c>
      <c r="N37" s="2">
        <f t="shared" ref="N37:Y37" ca="1" si="4">ROUNDUP(N35*5/60,0)</f>
        <v>42</v>
      </c>
      <c r="O37" s="3">
        <f t="shared" ca="1" si="4"/>
        <v>3</v>
      </c>
      <c r="P37" s="4">
        <f t="shared" ca="1" si="4"/>
        <v>1</v>
      </c>
      <c r="Q37" s="2">
        <f t="shared" ca="1" si="4"/>
        <v>50</v>
      </c>
      <c r="R37" s="3">
        <f t="shared" ca="1" si="4"/>
        <v>3</v>
      </c>
      <c r="S37" s="4">
        <f t="shared" ca="1" si="4"/>
        <v>1</v>
      </c>
      <c r="T37" s="2">
        <f t="shared" ca="1" si="4"/>
        <v>76</v>
      </c>
      <c r="U37" s="3">
        <f t="shared" ca="1" si="4"/>
        <v>2</v>
      </c>
      <c r="V37" s="4">
        <f t="shared" ca="1" si="4"/>
        <v>1</v>
      </c>
      <c r="W37" s="2">
        <f t="shared" ca="1" si="4"/>
        <v>20</v>
      </c>
      <c r="X37" s="3">
        <f t="shared" ca="1" si="4"/>
        <v>1</v>
      </c>
      <c r="Y37" s="4">
        <f t="shared" ca="1" si="4"/>
        <v>1</v>
      </c>
      <c r="Z37" s="5" t="s">
        <v>5185</v>
      </c>
    </row>
    <row r="38" spans="1:35" x14ac:dyDescent="0.25">
      <c r="A38" t="s">
        <v>5165</v>
      </c>
      <c r="B38">
        <f>COLUMN('Traffic Count'!M84)</f>
        <v>13</v>
      </c>
      <c r="C38">
        <f>COLUMN('Traffic Count'!Q84)</f>
        <v>17</v>
      </c>
      <c r="D38">
        <f>COLUMN('Traffic Count'!U84)</f>
        <v>21</v>
      </c>
      <c r="E38">
        <f>COLUMN('Traffic Count'!Y84)</f>
        <v>25</v>
      </c>
      <c r="L38" s="28" t="s">
        <v>5187</v>
      </c>
      <c r="M38" s="34" t="s">
        <v>5188</v>
      </c>
      <c r="N38" s="28">
        <f ca="1">N37*$C$23+(SUM(O37:P37)*$D$23)</f>
        <v>132.80000000000001</v>
      </c>
      <c r="O38" s="29"/>
      <c r="P38" s="30"/>
      <c r="Q38" s="28">
        <f ca="1">Q37*$C$23+(SUM(R37:S37)*$D$23)</f>
        <v>152</v>
      </c>
      <c r="R38" s="29"/>
      <c r="S38" s="30"/>
      <c r="T38" s="28">
        <f ca="1">T37*$C$23+(SUM(U37:V37)*$D$23)</f>
        <v>206.4</v>
      </c>
      <c r="U38" s="29"/>
      <c r="V38" s="30"/>
      <c r="W38" s="28">
        <f ca="1">W37*$C$23+(SUM(X37:Y37)*$D$23)</f>
        <v>64</v>
      </c>
      <c r="X38" s="29"/>
      <c r="Y38" s="30"/>
      <c r="Z38" s="35">
        <f ca="1">MAX(N38:Y38)</f>
        <v>206.4</v>
      </c>
    </row>
    <row r="39" spans="1:35" x14ac:dyDescent="0.25">
      <c r="A39" t="s">
        <v>5166</v>
      </c>
      <c r="B39">
        <f>COLUMN('Traffic Count'!N85)</f>
        <v>14</v>
      </c>
      <c r="C39">
        <f>COLUMN('Traffic Count'!R85)</f>
        <v>18</v>
      </c>
      <c r="D39">
        <f>COLUMN('Traffic Count'!V85)</f>
        <v>22</v>
      </c>
      <c r="E39">
        <f>COLUMN('Traffic Count'!Z85)</f>
        <v>26</v>
      </c>
      <c r="L39" s="13" t="s">
        <v>5189</v>
      </c>
      <c r="M39" s="16" t="s">
        <v>5188</v>
      </c>
      <c r="N39" s="2">
        <f ca="1">N37*$C$24+(SUM(O37:P37)*$D$24)</f>
        <v>332</v>
      </c>
      <c r="O39" s="3"/>
      <c r="P39" s="4"/>
      <c r="Q39" s="2">
        <f ca="1">Q37*$C$24+(SUM(R37:S37)*$D$24)</f>
        <v>380</v>
      </c>
      <c r="R39" s="3"/>
      <c r="S39" s="4"/>
      <c r="T39" s="2">
        <f ca="1">T37*$C$24+(SUM(U37:V37)*$D$24)</f>
        <v>516</v>
      </c>
      <c r="U39" s="3"/>
      <c r="V39" s="4"/>
      <c r="W39" s="2">
        <f ca="1">W37*$C$24+(SUM(X37:Y37)*$D$24)</f>
        <v>160</v>
      </c>
      <c r="X39" s="3"/>
      <c r="Y39" s="4"/>
      <c r="Z39" s="12">
        <f ca="1">MAX(N39:Y39)</f>
        <v>516</v>
      </c>
    </row>
    <row r="40" spans="1:35" x14ac:dyDescent="0.25">
      <c r="L40" s="13" t="s">
        <v>5191</v>
      </c>
      <c r="M40" s="16" t="s">
        <v>5188</v>
      </c>
      <c r="N40" s="2">
        <f ca="1">N37*$C$25+(SUM(O37:P37)*$D$25)</f>
        <v>664</v>
      </c>
      <c r="O40" s="3"/>
      <c r="P40" s="4"/>
      <c r="Q40" s="2">
        <f ca="1">Q37*$C$25+(SUM(R37:S37)*$D$25)</f>
        <v>760</v>
      </c>
      <c r="R40" s="3"/>
      <c r="S40" s="4"/>
      <c r="T40" s="2">
        <f ca="1">T37*$C$25+(SUM(U37:V37)*$D$25)</f>
        <v>1032</v>
      </c>
      <c r="U40" s="3"/>
      <c r="V40" s="4"/>
      <c r="W40" s="2">
        <f ca="1">W37*$C$25+(SUM(X37:Y37)*$D$25)</f>
        <v>320</v>
      </c>
      <c r="X40" s="3"/>
      <c r="Y40" s="4"/>
      <c r="Z40" s="12">
        <f ca="1">MAX(N40:Y40)</f>
        <v>1032</v>
      </c>
    </row>
    <row r="42" spans="1:35" x14ac:dyDescent="0.25">
      <c r="A42" t="s">
        <v>5193</v>
      </c>
      <c r="B42">
        <f>COLUMN('Traffic Count'!G2)</f>
        <v>7</v>
      </c>
    </row>
    <row r="43" spans="1:35" x14ac:dyDescent="0.25">
      <c r="A43" t="s">
        <v>7</v>
      </c>
      <c r="B43">
        <f>COLUMN('Traffic Count'!H3)</f>
        <v>8</v>
      </c>
      <c r="L43" t="s">
        <v>5193</v>
      </c>
      <c r="N43" t="s">
        <v>5201</v>
      </c>
    </row>
    <row r="44" spans="1:35" x14ac:dyDescent="0.25">
      <c r="A44" t="s">
        <v>5194</v>
      </c>
      <c r="B44">
        <f>COLUMN('Traffic Count'!I4)</f>
        <v>9</v>
      </c>
      <c r="L44" t="s">
        <v>5194</v>
      </c>
      <c r="N44" t="s">
        <v>5202</v>
      </c>
    </row>
    <row r="45" spans="1:35" x14ac:dyDescent="0.25">
      <c r="A45" t="s">
        <v>5195</v>
      </c>
      <c r="B45">
        <f>COLUMN('Traffic Count'!J5)</f>
        <v>10</v>
      </c>
      <c r="L45" t="s">
        <v>5196</v>
      </c>
      <c r="N45">
        <v>5</v>
      </c>
      <c r="O45" t="str" cm="1">
        <f t="array" aca="1" ref="O45" ca="1">"% of " &amp;INDIRECT("'Traffic Count'!"&amp;ADDRESS(D2_Row,Road_Name)) &amp; " at " &amp; INDIRECT("'Traffic Count'!"&amp;ADDRESS(D2_Row,Location)) &amp; " assumed for " &amp; N43</f>
        <v>% of Lutwyche Rd at south of Nicolas St assumed for Norman Ave / Lamington Ave</v>
      </c>
    </row>
    <row r="46" spans="1:35" x14ac:dyDescent="0.25">
      <c r="A46" t="s">
        <v>5197</v>
      </c>
      <c r="B46">
        <f>COLUMN('Traffic Count'!K6)</f>
        <v>11</v>
      </c>
    </row>
    <row r="47" spans="1:35" x14ac:dyDescent="0.25">
      <c r="N47" s="6" t="str">
        <f>IF($N$44="East/West", "Queue Length Estimation: Eastbound"  &amp; ": " &amp; $N$43, "Queue Length Estimation: Northbound"  &amp; ": " &amp; $N$43)</f>
        <v>Queue Length Estimation: Eastbound: Norman Ave / Lamington Ave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  <c r="AB47" s="2" t="str">
        <f>N43 &amp; " - Traffic Impact Analysis"</f>
        <v>Norman Ave / Lamington Ave - Traffic Impact Analysis</v>
      </c>
      <c r="AC47" s="3"/>
      <c r="AD47" s="3"/>
      <c r="AE47" s="3"/>
      <c r="AF47" s="4"/>
      <c r="AI47" s="37" t="s">
        <v>5163</v>
      </c>
    </row>
    <row r="48" spans="1:35" x14ac:dyDescent="0.25">
      <c r="N48" s="6" t="s">
        <v>5143</v>
      </c>
      <c r="O48" s="7"/>
      <c r="P48" s="8"/>
      <c r="Q48" s="6" t="s">
        <v>5146</v>
      </c>
      <c r="R48" s="7"/>
      <c r="S48" s="8"/>
      <c r="T48" s="6" t="s">
        <v>5148</v>
      </c>
      <c r="U48" s="7"/>
      <c r="V48" s="8"/>
      <c r="W48" s="6" t="s">
        <v>5150</v>
      </c>
      <c r="X48" s="7"/>
      <c r="Y48" s="8"/>
      <c r="Z48" s="5" t="s">
        <v>5162</v>
      </c>
      <c r="AB48" s="5"/>
      <c r="AC48" s="16" t="str">
        <f>IF($N$44="East/West", "EB", "NB")</f>
        <v>EB</v>
      </c>
      <c r="AD48" s="16" t="str">
        <f>IF($N$44="East/West", "WB", "SB")</f>
        <v>WB</v>
      </c>
      <c r="AE48" s="2" t="s">
        <v>5167</v>
      </c>
      <c r="AF48" s="4"/>
      <c r="AI48" s="36" t="s">
        <v>5168</v>
      </c>
    </row>
    <row r="49" spans="9:35" x14ac:dyDescent="0.25">
      <c r="N49" s="13" t="s">
        <v>5164</v>
      </c>
      <c r="O49" s="14" t="s">
        <v>5165</v>
      </c>
      <c r="P49" s="15" t="s">
        <v>5166</v>
      </c>
      <c r="Q49" s="13" t="s">
        <v>5164</v>
      </c>
      <c r="R49" s="14" t="s">
        <v>5165</v>
      </c>
      <c r="S49" s="15" t="s">
        <v>5166</v>
      </c>
      <c r="T49" s="13" t="s">
        <v>5164</v>
      </c>
      <c r="U49" s="14" t="s">
        <v>5165</v>
      </c>
      <c r="V49" s="15" t="s">
        <v>5166</v>
      </c>
      <c r="W49" s="13" t="s">
        <v>5164</v>
      </c>
      <c r="X49" s="14" t="s">
        <v>5165</v>
      </c>
      <c r="Y49" s="15" t="s">
        <v>5166</v>
      </c>
      <c r="Z49" s="12"/>
      <c r="AB49" s="10" t="s">
        <v>5169</v>
      </c>
      <c r="AC49" s="10">
        <f ca="1">IF(ROUNDUP(0.12*Z51,0)&lt;=500, 500,ROUNDUP(0.12*Z51,0))</f>
        <v>500</v>
      </c>
      <c r="AD49" s="10">
        <f ca="1">IF(ROUNDUP(0.12*Z66,0)&lt;=500, 500,ROUNDUP(0.12*Z66,0))</f>
        <v>500</v>
      </c>
      <c r="AE49" s="11">
        <f ca="1">MAX(AC49:AD49)</f>
        <v>500</v>
      </c>
      <c r="AF49" s="9"/>
      <c r="AI49" s="38" t="s">
        <v>5170</v>
      </c>
    </row>
    <row r="50" spans="9:35" x14ac:dyDescent="0.25">
      <c r="L50" s="6"/>
      <c r="M50" s="7">
        <f>$E$12</f>
        <v>2012</v>
      </c>
      <c r="N50" s="31">
        <f t="shared" ref="N50:Y50" ca="1" si="5">ROUNDUP(N18*$N$45%,0)</f>
        <v>44</v>
      </c>
      <c r="O50" s="32">
        <f t="shared" ca="1" si="5"/>
        <v>2</v>
      </c>
      <c r="P50" s="33">
        <f t="shared" ca="1" si="5"/>
        <v>1</v>
      </c>
      <c r="Q50" s="31">
        <f t="shared" ca="1" si="5"/>
        <v>84</v>
      </c>
      <c r="R50" s="32">
        <f t="shared" ca="1" si="5"/>
        <v>4</v>
      </c>
      <c r="S50" s="33">
        <f t="shared" ca="1" si="5"/>
        <v>1</v>
      </c>
      <c r="T50" s="31">
        <f t="shared" ca="1" si="5"/>
        <v>21</v>
      </c>
      <c r="U50" s="32">
        <f t="shared" ca="1" si="5"/>
        <v>1</v>
      </c>
      <c r="V50" s="33">
        <f t="shared" ca="1" si="5"/>
        <v>1</v>
      </c>
      <c r="W50" s="31">
        <f t="shared" ca="1" si="5"/>
        <v>65</v>
      </c>
      <c r="X50" s="32">
        <f t="shared" ca="1" si="5"/>
        <v>3</v>
      </c>
      <c r="Y50" s="33">
        <f t="shared" ca="1" si="5"/>
        <v>1</v>
      </c>
      <c r="Z50" s="25">
        <f ca="1">N50+O50+P50+Q50+R50+S50+T50+U50+V50+W50+X50+Y50</f>
        <v>228</v>
      </c>
      <c r="AB50" s="10" t="s">
        <v>5172</v>
      </c>
      <c r="AC50" s="16" t="s">
        <v>5143</v>
      </c>
      <c r="AD50" s="16" t="s">
        <v>5146</v>
      </c>
      <c r="AE50" s="16" t="s">
        <v>5148</v>
      </c>
      <c r="AF50" s="4" t="s">
        <v>5150</v>
      </c>
      <c r="AI50" s="39" t="s">
        <v>5173</v>
      </c>
    </row>
    <row r="51" spans="9:35" x14ac:dyDescent="0.25">
      <c r="L51" s="13" t="s">
        <v>5171</v>
      </c>
      <c r="M51" s="14">
        <f ca="1">$I$12</f>
        <v>2026</v>
      </c>
      <c r="N51" s="11">
        <f t="shared" ref="N51:Z51" ca="1" si="6">ROUNDUP(N50*(1+$G$14/100)^$G$13,0)</f>
        <v>63</v>
      </c>
      <c r="O51">
        <f t="shared" ca="1" si="6"/>
        <v>3</v>
      </c>
      <c r="P51" s="9">
        <f t="shared" ca="1" si="6"/>
        <v>2</v>
      </c>
      <c r="Q51" s="11">
        <f t="shared" ca="1" si="6"/>
        <v>119</v>
      </c>
      <c r="R51">
        <f t="shared" ca="1" si="6"/>
        <v>6</v>
      </c>
      <c r="S51" s="9">
        <f t="shared" ca="1" si="6"/>
        <v>2</v>
      </c>
      <c r="T51" s="11">
        <f t="shared" ca="1" si="6"/>
        <v>30</v>
      </c>
      <c r="U51">
        <f t="shared" ca="1" si="6"/>
        <v>2</v>
      </c>
      <c r="V51" s="9">
        <f t="shared" ca="1" si="6"/>
        <v>2</v>
      </c>
      <c r="W51" s="11">
        <f t="shared" ca="1" si="6"/>
        <v>92</v>
      </c>
      <c r="X51">
        <f t="shared" ca="1" si="6"/>
        <v>5</v>
      </c>
      <c r="Y51" s="9">
        <f t="shared" ca="1" si="6"/>
        <v>2</v>
      </c>
      <c r="Z51" s="10">
        <f t="shared" ca="1" si="6"/>
        <v>323</v>
      </c>
      <c r="AB51" s="10" t="str">
        <f>IF($N$44="East/West", "Eastbound", "Northbound")</f>
        <v>Eastbound</v>
      </c>
      <c r="AC51" s="19">
        <f ca="1">SUM(N52:P52)/AC49</f>
        <v>7.0000000000000007E-2</v>
      </c>
      <c r="AD51" s="17">
        <f ca="1">SUM(Q52:S52)/AC49</f>
        <v>3.7999999999999999E-2</v>
      </c>
      <c r="AE51" s="17">
        <f ca="1">SUM(T52:V52)/AC49</f>
        <v>3.4000000000000002E-2</v>
      </c>
      <c r="AF51" s="18">
        <f ca="1">SUM(W52:Y52)/AC49</f>
        <v>0.02</v>
      </c>
      <c r="AI51" s="41" t="s">
        <v>5176</v>
      </c>
    </row>
    <row r="52" spans="9:35" x14ac:dyDescent="0.25">
      <c r="L52" s="2"/>
      <c r="M52" s="4" t="s">
        <v>5175</v>
      </c>
      <c r="N52" s="13">
        <f ca="1">ROUNDUP(N51/$J$6,0)</f>
        <v>32</v>
      </c>
      <c r="O52" s="14">
        <f ca="1">ROUNDUP(O51/$J$6,0)</f>
        <v>2</v>
      </c>
      <c r="P52" s="15">
        <f ca="1">ROUNDUP(P51/$J$6,0)</f>
        <v>1</v>
      </c>
      <c r="Q52" s="13">
        <f ca="1">ROUNDUP(Q51/$J$7,0)</f>
        <v>17</v>
      </c>
      <c r="R52" s="14">
        <f ca="1">ROUNDUP(R51/$J$7,0)</f>
        <v>1</v>
      </c>
      <c r="S52" s="15">
        <f ca="1">ROUNDUP(S51/$J$7,0)</f>
        <v>1</v>
      </c>
      <c r="T52" s="13">
        <f ca="1">ROUNDUP(T51/$J$8,0)</f>
        <v>15</v>
      </c>
      <c r="U52" s="14">
        <f ca="1">ROUNDUP(U51/$J$8,0)</f>
        <v>1</v>
      </c>
      <c r="V52" s="15">
        <f ca="1">ROUNDUP(V51/$J$8,0)</f>
        <v>1</v>
      </c>
      <c r="W52" s="13">
        <f ca="1">ROUNDUP(W51/$J$9,0)</f>
        <v>8</v>
      </c>
      <c r="X52" s="14">
        <f ca="1">ROUNDUP(X51/$J$9,0)</f>
        <v>1</v>
      </c>
      <c r="Y52" s="15">
        <f ca="1">ROUNDUP(Y51/$J$9,0)</f>
        <v>1</v>
      </c>
      <c r="Z52" s="12"/>
      <c r="AB52" s="10" t="str">
        <f>IF($N$44="East/West", "Westbound", "Southbound")</f>
        <v>Westbound</v>
      </c>
      <c r="AC52" s="19">
        <f ca="1">SUM(N52:P52)/AD49</f>
        <v>7.0000000000000007E-2</v>
      </c>
      <c r="AD52" s="17">
        <f ca="1">SUM(Q67:S67)/AD49</f>
        <v>6.6000000000000003E-2</v>
      </c>
      <c r="AE52" s="17">
        <f ca="1">SUM(T67:V67)/AD49</f>
        <v>9.8000000000000004E-2</v>
      </c>
      <c r="AF52" s="19">
        <f ca="1">SUM(W67:Y67)/AD49</f>
        <v>2.8000000000000001E-2</v>
      </c>
      <c r="AI52" s="40" t="s">
        <v>5180</v>
      </c>
    </row>
    <row r="53" spans="9:35" x14ac:dyDescent="0.25">
      <c r="L53" s="2" t="s">
        <v>5179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"/>
      <c r="AB53" s="12" t="s">
        <v>5186</v>
      </c>
      <c r="AC53" s="21">
        <f ca="1">SUM(N52:P52,N67:P67)/AE49</f>
        <v>0.128</v>
      </c>
      <c r="AD53" s="20">
        <f ca="1">SUM(Q52:S52,Q67:S67)/AE49</f>
        <v>0.104</v>
      </c>
      <c r="AE53" s="20">
        <f ca="1">SUM(T67:V67,T52:V52)/AE49</f>
        <v>0.13200000000000001</v>
      </c>
      <c r="AF53" s="21">
        <f ca="1">SUM(W52:Y52,W67:Y67)/AE49</f>
        <v>4.8000000000000001E-2</v>
      </c>
    </row>
    <row r="54" spans="9:35" x14ac:dyDescent="0.25">
      <c r="L54" s="6" t="s">
        <v>5183</v>
      </c>
      <c r="M54" s="16" t="s">
        <v>5184</v>
      </c>
      <c r="N54" s="2">
        <f t="shared" ref="N54:Y54" ca="1" si="7">ROUNDUP(N52*5/60,0)</f>
        <v>3</v>
      </c>
      <c r="O54" s="3">
        <f t="shared" ca="1" si="7"/>
        <v>1</v>
      </c>
      <c r="P54" s="4">
        <f t="shared" ca="1" si="7"/>
        <v>1</v>
      </c>
      <c r="Q54" s="2">
        <f t="shared" ca="1" si="7"/>
        <v>2</v>
      </c>
      <c r="R54" s="3">
        <f t="shared" ca="1" si="7"/>
        <v>1</v>
      </c>
      <c r="S54" s="4">
        <f t="shared" ca="1" si="7"/>
        <v>1</v>
      </c>
      <c r="T54" s="2">
        <f t="shared" ca="1" si="7"/>
        <v>2</v>
      </c>
      <c r="U54" s="3">
        <f t="shared" ca="1" si="7"/>
        <v>1</v>
      </c>
      <c r="V54" s="4">
        <f t="shared" ca="1" si="7"/>
        <v>1</v>
      </c>
      <c r="W54" s="2">
        <f t="shared" ca="1" si="7"/>
        <v>1</v>
      </c>
      <c r="X54" s="3">
        <f t="shared" ca="1" si="7"/>
        <v>1</v>
      </c>
      <c r="Y54" s="4">
        <f t="shared" ca="1" si="7"/>
        <v>1</v>
      </c>
      <c r="Z54" s="5" t="s">
        <v>5185</v>
      </c>
    </row>
    <row r="55" spans="9:35" x14ac:dyDescent="0.25">
      <c r="L55" s="28" t="s">
        <v>5187</v>
      </c>
      <c r="M55" s="34" t="s">
        <v>5188</v>
      </c>
      <c r="N55" s="28">
        <f ca="1">N54*$C$23+(SUM(O54:P54)*$D$23)</f>
        <v>23.2</v>
      </c>
      <c r="O55" s="29"/>
      <c r="P55" s="30"/>
      <c r="Q55" s="28">
        <f ca="1">Q54*$C$23+(SUM(R54:S54)*$D$23)</f>
        <v>20.8</v>
      </c>
      <c r="R55" s="29"/>
      <c r="S55" s="30"/>
      <c r="T55" s="28">
        <f ca="1">T54*$C$23+(SUM(U54:V54)*$D$23)</f>
        <v>20.8</v>
      </c>
      <c r="U55" s="29"/>
      <c r="V55" s="30"/>
      <c r="W55" s="28">
        <f ca="1">W54*$C$23+(SUM(X54:Y54)*$D$23)</f>
        <v>18.399999999999999</v>
      </c>
      <c r="X55" s="29"/>
      <c r="Y55" s="30"/>
      <c r="Z55" s="35">
        <f ca="1">MAX(N55:Y55)</f>
        <v>23.2</v>
      </c>
      <c r="AB55" t="s">
        <v>5190</v>
      </c>
    </row>
    <row r="56" spans="9:35" x14ac:dyDescent="0.25">
      <c r="I56" t="s">
        <v>5198</v>
      </c>
      <c r="L56" s="13" t="s">
        <v>5189</v>
      </c>
      <c r="M56" s="16" t="s">
        <v>5188</v>
      </c>
      <c r="N56" s="2">
        <f ca="1">N54*$C$24+(SUM(O54:P54)*$D$24)</f>
        <v>58</v>
      </c>
      <c r="O56" s="3"/>
      <c r="P56" s="4"/>
      <c r="Q56" s="2">
        <f ca="1">Q54*$C$24+(SUM(R54:S54)*$D$24)</f>
        <v>52</v>
      </c>
      <c r="R56" s="3"/>
      <c r="S56" s="4"/>
      <c r="T56" s="2">
        <f ca="1">T54*$C$24+(SUM(U54:V54)*$D$24)</f>
        <v>52</v>
      </c>
      <c r="U56" s="3"/>
      <c r="V56" s="4"/>
      <c r="W56" s="2">
        <f ca="1">W54*$C$24+(SUM(X54:Y54)*$D$24)</f>
        <v>46</v>
      </c>
      <c r="X56" s="3"/>
      <c r="Y56" s="4"/>
      <c r="Z56" s="12">
        <f ca="1">MAX(N56:Y56)</f>
        <v>58</v>
      </c>
    </row>
    <row r="57" spans="9:35" x14ac:dyDescent="0.25">
      <c r="L57" s="13" t="s">
        <v>5191</v>
      </c>
      <c r="M57" s="16" t="s">
        <v>5188</v>
      </c>
      <c r="N57" s="2">
        <f ca="1">N54*$C$25+(SUM(O54:P54)*$D$25)</f>
        <v>116</v>
      </c>
      <c r="O57" s="3"/>
      <c r="P57" s="4"/>
      <c r="Q57" s="2">
        <f ca="1">Q54*$C$25+(SUM(R54:S54)*$D$25)</f>
        <v>104</v>
      </c>
      <c r="R57" s="3"/>
      <c r="S57" s="4"/>
      <c r="T57" s="2">
        <f ca="1">T54*$C$25+(SUM(U54:V54)*$D$25)</f>
        <v>104</v>
      </c>
      <c r="U57" s="3"/>
      <c r="V57" s="4"/>
      <c r="W57" s="2">
        <f ca="1">W54*$C$25+(SUM(X54:Y54)*$D$25)</f>
        <v>92</v>
      </c>
      <c r="X57" s="3"/>
      <c r="Y57" s="4"/>
      <c r="Z57" s="12">
        <f ca="1">MAX(N57:Y57)</f>
        <v>116</v>
      </c>
    </row>
    <row r="62" spans="9:35" x14ac:dyDescent="0.25">
      <c r="N62" s="6" t="str">
        <f>IF($N$44="East/West", "Queue Length Estimation: Westbound"  &amp; ": " &amp; $N$43, "Queue Length Estimation: Southbound"  &amp; ": " &amp; $N$43)</f>
        <v>Queue Length Estimation: Westbound: Norman Ave / Lamington Ave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9:35" x14ac:dyDescent="0.25">
      <c r="N63" s="6" t="s">
        <v>5143</v>
      </c>
      <c r="O63" s="7"/>
      <c r="P63" s="8"/>
      <c r="Q63" s="6" t="s">
        <v>5146</v>
      </c>
      <c r="R63" s="7"/>
      <c r="S63" s="8"/>
      <c r="T63" s="6" t="s">
        <v>5148</v>
      </c>
      <c r="U63" s="7"/>
      <c r="V63" s="8"/>
      <c r="W63" s="6" t="s">
        <v>5150</v>
      </c>
      <c r="X63" s="7"/>
      <c r="Y63" s="8"/>
      <c r="Z63" s="5" t="s">
        <v>5162</v>
      </c>
    </row>
    <row r="64" spans="9:35" x14ac:dyDescent="0.25">
      <c r="N64" s="13" t="s">
        <v>5164</v>
      </c>
      <c r="O64" s="14" t="s">
        <v>5165</v>
      </c>
      <c r="P64" s="15" t="s">
        <v>5166</v>
      </c>
      <c r="Q64" s="13" t="s">
        <v>5164</v>
      </c>
      <c r="R64" s="14" t="s">
        <v>5165</v>
      </c>
      <c r="S64" s="15" t="s">
        <v>5166</v>
      </c>
      <c r="T64" s="13" t="s">
        <v>5164</v>
      </c>
      <c r="U64" s="14" t="s">
        <v>5165</v>
      </c>
      <c r="V64" s="15" t="s">
        <v>5166</v>
      </c>
      <c r="W64" s="13" t="s">
        <v>5164</v>
      </c>
      <c r="X64" s="14" t="s">
        <v>5165</v>
      </c>
      <c r="Y64" s="15" t="s">
        <v>5166</v>
      </c>
      <c r="Z64" s="12"/>
    </row>
    <row r="65" spans="12:26" x14ac:dyDescent="0.25">
      <c r="L65" s="6"/>
      <c r="M65" s="7">
        <f>$E$12</f>
        <v>2012</v>
      </c>
      <c r="N65" s="31">
        <f t="shared" ref="N65:Y65" ca="1" si="8">ROUNDUP(N33*$N$45%,0)</f>
        <v>36</v>
      </c>
      <c r="O65" s="32">
        <f t="shared" ca="1" si="8"/>
        <v>2</v>
      </c>
      <c r="P65" s="33">
        <f t="shared" ca="1" si="8"/>
        <v>1</v>
      </c>
      <c r="Q65" s="31">
        <f t="shared" ca="1" si="8"/>
        <v>147</v>
      </c>
      <c r="R65" s="32">
        <f t="shared" ca="1" si="8"/>
        <v>9</v>
      </c>
      <c r="S65" s="33">
        <f t="shared" ca="1" si="8"/>
        <v>2</v>
      </c>
      <c r="T65" s="31">
        <f t="shared" ca="1" si="8"/>
        <v>65</v>
      </c>
      <c r="U65" s="32">
        <f t="shared" ca="1" si="8"/>
        <v>2</v>
      </c>
      <c r="V65" s="33">
        <f t="shared" ca="1" si="8"/>
        <v>1</v>
      </c>
      <c r="W65" s="31">
        <f t="shared" ca="1" si="8"/>
        <v>106</v>
      </c>
      <c r="X65" s="32">
        <f t="shared" ca="1" si="8"/>
        <v>4</v>
      </c>
      <c r="Y65" s="33">
        <f t="shared" ca="1" si="8"/>
        <v>1</v>
      </c>
      <c r="Z65" s="25">
        <f ca="1">N65+O65+P65+Q65+R65+S65+T65+U65+V65+W65+X65+Y65</f>
        <v>376</v>
      </c>
    </row>
    <row r="66" spans="12:26" x14ac:dyDescent="0.25">
      <c r="L66" s="13" t="s">
        <v>5171</v>
      </c>
      <c r="M66" s="14">
        <f ca="1">$I$12</f>
        <v>2026</v>
      </c>
      <c r="N66" s="11">
        <f t="shared" ref="N66:Z66" ca="1" si="9">ROUNDUP(N65*(1+$G$14/100)^$G$13,0)</f>
        <v>51</v>
      </c>
      <c r="O66">
        <f t="shared" ca="1" si="9"/>
        <v>3</v>
      </c>
      <c r="P66" s="9">
        <f t="shared" ca="1" si="9"/>
        <v>2</v>
      </c>
      <c r="Q66" s="11">
        <f t="shared" ca="1" si="9"/>
        <v>208</v>
      </c>
      <c r="R66">
        <f t="shared" ca="1" si="9"/>
        <v>13</v>
      </c>
      <c r="S66" s="9">
        <f t="shared" ca="1" si="9"/>
        <v>3</v>
      </c>
      <c r="T66" s="11">
        <f t="shared" ca="1" si="9"/>
        <v>92</v>
      </c>
      <c r="U66">
        <f t="shared" ca="1" si="9"/>
        <v>3</v>
      </c>
      <c r="V66" s="9">
        <f t="shared" ca="1" si="9"/>
        <v>2</v>
      </c>
      <c r="W66" s="11">
        <f t="shared" ca="1" si="9"/>
        <v>150</v>
      </c>
      <c r="X66">
        <f t="shared" ca="1" si="9"/>
        <v>6</v>
      </c>
      <c r="Y66" s="9">
        <f t="shared" ca="1" si="9"/>
        <v>2</v>
      </c>
      <c r="Z66" s="10">
        <f t="shared" ca="1" si="9"/>
        <v>532</v>
      </c>
    </row>
    <row r="67" spans="12:26" x14ac:dyDescent="0.25">
      <c r="L67" s="2"/>
      <c r="M67" s="4" t="s">
        <v>5175</v>
      </c>
      <c r="N67" s="13">
        <f ca="1">ROUNDUP(N66/$J$6,0)</f>
        <v>26</v>
      </c>
      <c r="O67" s="14">
        <f ca="1">ROUNDUP(O66/$J$6,0)</f>
        <v>2</v>
      </c>
      <c r="P67" s="15">
        <f ca="1">ROUNDUP(P66/$J$6,0)</f>
        <v>1</v>
      </c>
      <c r="Q67" s="13">
        <f ca="1">ROUNDUP(Q66/$J$7,0)</f>
        <v>30</v>
      </c>
      <c r="R67" s="14">
        <f ca="1">ROUNDUP(R66/$J$7,0)</f>
        <v>2</v>
      </c>
      <c r="S67" s="15">
        <f ca="1">ROUNDUP(S66/$J$7,0)</f>
        <v>1</v>
      </c>
      <c r="T67" s="13">
        <f ca="1">ROUNDUP(T66/$J$8,0)</f>
        <v>46</v>
      </c>
      <c r="U67" s="14">
        <f ca="1">ROUNDUP(U66/$J$8,0)</f>
        <v>2</v>
      </c>
      <c r="V67" s="15">
        <f ca="1">ROUNDUP(V66/$J$8,0)</f>
        <v>1</v>
      </c>
      <c r="W67" s="13">
        <f ca="1">ROUNDUP(W66/$J$9,0)</f>
        <v>12</v>
      </c>
      <c r="X67" s="14">
        <f ca="1">ROUNDUP(X66/$J$9,0)</f>
        <v>1</v>
      </c>
      <c r="Y67" s="15">
        <f ca="1">ROUNDUP(Y66/$J$9,0)</f>
        <v>1</v>
      </c>
      <c r="Z67" s="12"/>
    </row>
    <row r="68" spans="12:26" x14ac:dyDescent="0.25">
      <c r="L68" s="2" t="s">
        <v>5179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"/>
    </row>
    <row r="69" spans="12:26" x14ac:dyDescent="0.25">
      <c r="L69" s="6" t="s">
        <v>5183</v>
      </c>
      <c r="M69" s="16" t="s">
        <v>5184</v>
      </c>
      <c r="N69" s="2">
        <f t="shared" ref="N69:Y69" ca="1" si="10">ROUNDUP(N67*5/60,0)</f>
        <v>3</v>
      </c>
      <c r="O69" s="3">
        <f t="shared" ca="1" si="10"/>
        <v>1</v>
      </c>
      <c r="P69" s="4">
        <f t="shared" ca="1" si="10"/>
        <v>1</v>
      </c>
      <c r="Q69" s="2">
        <f t="shared" ca="1" si="10"/>
        <v>3</v>
      </c>
      <c r="R69" s="3">
        <f t="shared" ca="1" si="10"/>
        <v>1</v>
      </c>
      <c r="S69" s="4">
        <f t="shared" ca="1" si="10"/>
        <v>1</v>
      </c>
      <c r="T69" s="2">
        <f t="shared" ca="1" si="10"/>
        <v>4</v>
      </c>
      <c r="U69" s="3">
        <f t="shared" ca="1" si="10"/>
        <v>1</v>
      </c>
      <c r="V69" s="4">
        <f t="shared" ca="1" si="10"/>
        <v>1</v>
      </c>
      <c r="W69" s="2">
        <f t="shared" ca="1" si="10"/>
        <v>1</v>
      </c>
      <c r="X69" s="3">
        <f t="shared" ca="1" si="10"/>
        <v>1</v>
      </c>
      <c r="Y69" s="4">
        <f t="shared" ca="1" si="10"/>
        <v>1</v>
      </c>
      <c r="Z69" s="5" t="s">
        <v>5185</v>
      </c>
    </row>
    <row r="70" spans="12:26" x14ac:dyDescent="0.25">
      <c r="L70" s="28" t="s">
        <v>5187</v>
      </c>
      <c r="M70" s="34" t="s">
        <v>5188</v>
      </c>
      <c r="N70" s="28">
        <f ca="1">N69*$C$23+(SUM(O69:P69)*$D$23)</f>
        <v>23.2</v>
      </c>
      <c r="O70" s="29"/>
      <c r="P70" s="30"/>
      <c r="Q70" s="28">
        <f ca="1">Q69*$C$23+(SUM(R69:S69)*$D$23)</f>
        <v>23.2</v>
      </c>
      <c r="R70" s="29"/>
      <c r="S70" s="30"/>
      <c r="T70" s="28">
        <f ca="1">T69*$C$23+(SUM(U69:V69)*$D$23)</f>
        <v>25.6</v>
      </c>
      <c r="U70" s="29"/>
      <c r="V70" s="30"/>
      <c r="W70" s="28">
        <f ca="1">W69*$C$23+(SUM(X69:Y69)*$D$23)</f>
        <v>18.399999999999999</v>
      </c>
      <c r="X70" s="29"/>
      <c r="Y70" s="30"/>
      <c r="Z70" s="35">
        <f ca="1">MAX(N70:Y70)</f>
        <v>25.6</v>
      </c>
    </row>
    <row r="71" spans="12:26" x14ac:dyDescent="0.25">
      <c r="L71" s="13" t="s">
        <v>5189</v>
      </c>
      <c r="M71" s="16" t="s">
        <v>5188</v>
      </c>
      <c r="N71" s="2">
        <f ca="1">N69*$C$24+(SUM(O69:P69)*$D$24)</f>
        <v>58</v>
      </c>
      <c r="O71" s="3"/>
      <c r="P71" s="4"/>
      <c r="Q71" s="2">
        <f ca="1">Q69*$C$24+(SUM(R69:S69)*$D$24)</f>
        <v>58</v>
      </c>
      <c r="R71" s="3"/>
      <c r="S71" s="4"/>
      <c r="T71" s="2">
        <f ca="1">T69*$C$24+(SUM(U69:V69)*$D$24)</f>
        <v>64</v>
      </c>
      <c r="U71" s="3"/>
      <c r="V71" s="4"/>
      <c r="W71" s="2">
        <f ca="1">W69*$C$24+(SUM(X69:Y69)*$D$24)</f>
        <v>46</v>
      </c>
      <c r="X71" s="3"/>
      <c r="Y71" s="4"/>
      <c r="Z71" s="12">
        <f ca="1">MAX(N71:Y71)</f>
        <v>64</v>
      </c>
    </row>
    <row r="72" spans="12:26" x14ac:dyDescent="0.25">
      <c r="L72" s="13" t="s">
        <v>5191</v>
      </c>
      <c r="M72" s="16" t="s">
        <v>5188</v>
      </c>
      <c r="N72" s="2">
        <f ca="1">N69*$C$25+(SUM(O69:P69)*$D$25)</f>
        <v>116</v>
      </c>
      <c r="O72" s="3"/>
      <c r="P72" s="4"/>
      <c r="Q72" s="2">
        <f ca="1">Q69*$C$25+(SUM(R69:S69)*$D$25)</f>
        <v>116</v>
      </c>
      <c r="R72" s="3"/>
      <c r="S72" s="4"/>
      <c r="T72" s="2">
        <f ca="1">T69*$C$25+(SUM(U69:V69)*$D$25)</f>
        <v>128</v>
      </c>
      <c r="U72" s="3"/>
      <c r="V72" s="4"/>
      <c r="W72" s="2">
        <f ca="1">W69*$C$25+(SUM(X69:Y69)*$D$25)</f>
        <v>92</v>
      </c>
      <c r="X72" s="3"/>
      <c r="Y72" s="4"/>
      <c r="Z72" s="12">
        <f ca="1">MAX(N72:Y72)</f>
        <v>128</v>
      </c>
    </row>
    <row r="101" spans="1:10" x14ac:dyDescent="0.25">
      <c r="A101" t="s">
        <v>5158</v>
      </c>
      <c r="B101" t="str" cm="1">
        <f t="array" aca="1" ref="B101" ca="1">IF(INDIRECT("'Traffic Count'!"&amp;ADDRESS(D1_Row,Direction)) = "Eastbound", "Southbound", "Eastbound")</f>
        <v>Eastbound</v>
      </c>
    </row>
    <row r="102" spans="1:10" x14ac:dyDescent="0.25">
      <c r="A102" t="s">
        <v>5152</v>
      </c>
      <c r="B102" t="str" cm="1">
        <f t="array" aca="1" ref="B102" ca="1">IF(INDIRECT("'Traffic Count'!"&amp;ADDRESS(D2_Row,Direction)) = "Westbound", "Northbound", "Westbound")</f>
        <v>Westbound</v>
      </c>
    </row>
    <row r="109" spans="1:10" x14ac:dyDescent="0.25">
      <c r="J109" t="s">
        <v>5199</v>
      </c>
    </row>
  </sheetData>
  <conditionalFormatting sqref="AC20:AF22">
    <cfRule type="cellIs" dxfId="11" priority="13" operator="greaterThan">
      <formula>1</formula>
    </cfRule>
    <cfRule type="cellIs" dxfId="10" priority="14" operator="between">
      <formula>0.9501</formula>
      <formula>1</formula>
    </cfRule>
    <cfRule type="cellIs" dxfId="9" priority="15" operator="between">
      <formula>0.901</formula>
      <formula>0.95</formula>
    </cfRule>
    <cfRule type="cellIs" dxfId="8" priority="16" operator="between">
      <formula>0.701</formula>
      <formula>0.9</formula>
    </cfRule>
    <cfRule type="cellIs" dxfId="7" priority="17" operator="between">
      <formula>0.601</formula>
      <formula>0.7</formula>
    </cfRule>
    <cfRule type="cellIs" dxfId="6" priority="18" operator="lessThanOrEqual">
      <formula>0.6</formula>
    </cfRule>
  </conditionalFormatting>
  <conditionalFormatting sqref="AC51:AF53">
    <cfRule type="cellIs" dxfId="5" priority="1" operator="greaterThan">
      <formula>1</formula>
    </cfRule>
    <cfRule type="cellIs" dxfId="4" priority="2" operator="between">
      <formula>0.9501</formula>
      <formula>1</formula>
    </cfRule>
    <cfRule type="cellIs" dxfId="3" priority="3" operator="between">
      <formula>0.901</formula>
      <formula>0.95</formula>
    </cfRule>
    <cfRule type="cellIs" dxfId="2" priority="4" operator="between">
      <formula>0.701</formula>
      <formula>0.9</formula>
    </cfRule>
    <cfRule type="cellIs" dxfId="1" priority="5" operator="between">
      <formula>0.601</formula>
      <formula>0.7</formula>
    </cfRule>
    <cfRule type="cellIs" dxfId="0" priority="6" operator="lessThanOrEqual">
      <formula>0.6</formula>
    </cfRule>
  </conditionalFormatting>
  <dataValidations disablePrompts="1" count="1">
    <dataValidation type="list" allowBlank="1" showInputMessage="1" showErrorMessage="1" sqref="S9 S11" xr:uid="{2F4E9463-A4E5-497A-82AC-2EF99028724E}">
      <formula1>$A$100:$A$102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AD33DB93F6643B5E4B915BBA7E8AF" ma:contentTypeVersion="17" ma:contentTypeDescription="Create a new document." ma:contentTypeScope="" ma:versionID="7ad55d5171f7e506aaed4f9651f71c2b">
  <xsd:schema xmlns:xsd="http://www.w3.org/2001/XMLSchema" xmlns:xs="http://www.w3.org/2001/XMLSchema" xmlns:p="http://schemas.microsoft.com/office/2006/metadata/properties" xmlns:ns2="8711479e-22cc-4292-8fef-f5f9981cbf5f" xmlns:ns3="f8379a8f-d036-43dd-b2ba-323d65615330" targetNamespace="http://schemas.microsoft.com/office/2006/metadata/properties" ma:root="true" ma:fieldsID="f4e76770e29bb19adc5ce8f87309d151" ns2:_="" ns3:_="">
    <xsd:import namespace="8711479e-22cc-4292-8fef-f5f9981cbf5f"/>
    <xsd:import namespace="f8379a8f-d036-43dd-b2ba-323d65615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1479e-22cc-4292-8fef-f5f9981c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ac8523-2513-4720-b220-18e836937b27}" ma:internalName="TaxCatchAll" ma:showField="CatchAllData" ma:web="8711479e-22cc-4292-8fef-f5f9981c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9a8f-d036-43dd-b2ba-323d65615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e70af-5b9d-49a8-8399-5553384e22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Only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1479e-22cc-4292-8fef-f5f9981cbf5f" xsi:nil="true"/>
    <lcf76f155ced4ddcb4097134ff3c332f xmlns="f8379a8f-d036-43dd-b2ba-323d65615330">
      <Terms xmlns="http://schemas.microsoft.com/office/infopath/2007/PartnerControls"/>
    </lcf76f155ced4ddcb4097134ff3c332f>
    <Time xmlns="f8379a8f-d036-43dd-b2ba-323d65615330" xsi:nil="true"/>
  </documentManagement>
</p:properties>
</file>

<file path=customXml/itemProps1.xml><?xml version="1.0" encoding="utf-8"?>
<ds:datastoreItem xmlns:ds="http://schemas.openxmlformats.org/officeDocument/2006/customXml" ds:itemID="{E0BF4B06-BF10-495D-ABBA-638E1841094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FDF70F9-A286-4A12-82E6-F59400782A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1479e-22cc-4292-8fef-f5f9981cbf5f"/>
    <ds:schemaRef ds:uri="f8379a8f-d036-43dd-b2ba-323d65615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254F00-28C4-442B-AF17-C895F210920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2946C6F-A255-425F-A690-08ED0C959A4E}">
  <ds:schemaRefs>
    <ds:schemaRef ds:uri="http://schemas.microsoft.com/office/2006/metadata/properties"/>
    <ds:schemaRef ds:uri="http://schemas.microsoft.com/office/infopath/2007/PartnerControls"/>
    <ds:schemaRef ds:uri="8711479e-22cc-4292-8fef-f5f9981cbf5f"/>
    <ds:schemaRef ds:uri="f8379a8f-d036-43dd-b2ba-323d656153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19</vt:i4>
      </vt:variant>
    </vt:vector>
  </HeadingPairs>
  <TitlesOfParts>
    <vt:vector size="21" baseType="lpstr">
      <vt:lpstr>Traffic Count</vt:lpstr>
      <vt:lpstr>Bowen Tce</vt:lpstr>
      <vt:lpstr>Car_AM</vt:lpstr>
      <vt:lpstr>Car_EV</vt:lpstr>
      <vt:lpstr>Car_OP</vt:lpstr>
      <vt:lpstr>Car_PM</vt:lpstr>
      <vt:lpstr>D1_Row</vt:lpstr>
      <vt:lpstr>D2_Row</vt:lpstr>
      <vt:lpstr>Direction</vt:lpstr>
      <vt:lpstr>HCV_AM</vt:lpstr>
      <vt:lpstr>HCV_EV</vt:lpstr>
      <vt:lpstr>HCV_OP</vt:lpstr>
      <vt:lpstr>HCV_PM</vt:lpstr>
      <vt:lpstr>Latitude</vt:lpstr>
      <vt:lpstr>Location</vt:lpstr>
      <vt:lpstr>Longitude</vt:lpstr>
      <vt:lpstr>MCV_AM</vt:lpstr>
      <vt:lpstr>MCV_EV</vt:lpstr>
      <vt:lpstr>MCV_OP</vt:lpstr>
      <vt:lpstr>MCV_PM</vt:lpstr>
      <vt:lpstr>Road_Name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Anthony</dc:creator>
  <cp:keywords/>
  <dc:description/>
  <cp:lastModifiedBy>Sanju</cp:lastModifiedBy>
  <cp:revision/>
  <dcterms:created xsi:type="dcterms:W3CDTF">2021-11-15T01:59:17Z</dcterms:created>
  <dcterms:modified xsi:type="dcterms:W3CDTF">2026-04-20T04:54:20Z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0x0101002DEAD33DB93F6643B5E4B915BBA7E8AF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