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327" documentId="13_ncr:1_{412284B1-D7DB-4473-8786-30651F020D01}" xr6:coauthVersionLast="47" xr6:coauthVersionMax="47" xr10:uidLastSave="{015518DE-18DF-4D4C-936E-413834C057B4}"/>
  <bookViews>
    <workbookView xWindow="57480" yWindow="-120" windowWidth="29040" windowHeight="15720" firstSheet="2" activeTab="2" xr2:uid="{9E17E789-F33A-4926-A2CE-4097E3D962E5}"/>
  </bookViews>
  <sheets>
    <sheet name="road network" sheetId="2" r:id="rId1"/>
    <sheet name="survey results" sheetId="4" r:id="rId2"/>
    <sheet name="Sheet1" sheetId="1" r:id="rId3"/>
    <sheet name="Sheet2" sheetId="5" r:id="rId4"/>
  </sheets>
  <definedNames>
    <definedName name="DIR1_">Sheet1!$N$15</definedName>
    <definedName name="DIR2_">Sheet1!$N$22</definedName>
    <definedName name="ExternalData_1" localSheetId="0" hidden="1">'road network'!$A$1:$E$9</definedName>
    <definedName name="ExternalData_1" localSheetId="1" hidden="1">'survey results'!$A$1:$G$7</definedName>
    <definedName name="Row_Number">Sheet1!$N$12</definedName>
    <definedName name="STREET_NAME">Sheet1!$N$14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F4" i="1" s="1"/>
  <c r="K15" i="1"/>
  <c r="O23" i="1"/>
  <c r="O22" i="1"/>
  <c r="E4" i="1"/>
  <c r="L4" i="5"/>
  <c r="K4" i="5"/>
  <c r="J4" i="5"/>
  <c r="M4" i="5" l="1"/>
  <c r="C13" i="1" l="1"/>
  <c r="C14" i="1" l="1"/>
  <c r="K44" i="1"/>
  <c r="K27" i="1"/>
  <c r="B19" i="1"/>
  <c r="E21" i="1" l="1"/>
  <c r="E22" i="1" s="1"/>
  <c r="D21" i="1"/>
  <c r="D22" i="1" s="1"/>
  <c r="L46" i="1"/>
  <c r="L29" i="1"/>
  <c r="F21" i="1" l="1"/>
  <c r="F22" i="1" s="1"/>
  <c r="D24" i="1"/>
  <c r="L32" i="1"/>
  <c r="E24" i="1"/>
  <c r="O15" i="1"/>
  <c r="D29" i="1" l="1"/>
  <c r="D26" i="1"/>
  <c r="D25" i="1"/>
  <c r="L31" i="1"/>
  <c r="D27" i="1"/>
  <c r="D28" i="1"/>
  <c r="L49" i="1"/>
  <c r="L48" i="1"/>
  <c r="G21" i="1"/>
  <c r="O18" i="1"/>
  <c r="P18" i="1"/>
  <c r="G22" i="1" l="1"/>
  <c r="G24" i="1" s="1"/>
  <c r="F24" i="1"/>
  <c r="F34" i="1"/>
  <c r="P20" i="1"/>
  <c r="M32" i="1"/>
  <c r="F29" i="1" l="1"/>
  <c r="M31" i="1"/>
  <c r="M48" i="1"/>
  <c r="M49" i="1"/>
  <c r="F25" i="1"/>
  <c r="F28" i="1"/>
  <c r="F27" i="1"/>
  <c r="F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B1FD5-E1F0-4A2F-AA65-0FEB9ED40FFF}" keepAlive="1" name="Query - road network" description="Connection to the 'road network' query in the workbook." type="5" refreshedVersion="8" background="1" saveData="1">
    <dbPr connection="Provider=Microsoft.Mashup.OleDb.1;Data Source=$Workbook$;Location=&quot;road network&quot;;Extended Properties=&quot;&quot;" command="SELECT * FROM [road network]"/>
  </connection>
  <connection id="2" xr16:uid="{0BBC6FE8-689A-4690-A03F-8CA381D9FBBF}" keepAlive="1" name="Query - survey results" description="Connection to the 'survey results' query in the workbook." type="5" refreshedVersion="8" background="1" saveData="1">
    <dbPr connection="Provider=Microsoft.Mashup.OleDb.1;Data Source=$Workbook$;Location=&quot;survey results&quot;;Extended Properties=&quot;&quot;" command="SELECT * FROM [survey results]"/>
  </connection>
</connections>
</file>

<file path=xl/sharedStrings.xml><?xml version="1.0" encoding="utf-8"?>
<sst xmlns="http://schemas.openxmlformats.org/spreadsheetml/2006/main" count="164" uniqueCount="112">
  <si>
    <t>Road</t>
  </si>
  <si>
    <t xml:space="preserve"> Authority</t>
  </si>
  <si>
    <t xml:space="preserve"> Classification</t>
  </si>
  <si>
    <t xml:space="preserve"> Posted Speed</t>
  </si>
  <si>
    <t xml:space="preserve"> Typical Form</t>
  </si>
  <si>
    <t>Gold Coast Highway</t>
  </si>
  <si>
    <t xml:space="preserve"> TMR</t>
  </si>
  <si>
    <t xml:space="preserve"> State Road</t>
  </si>
  <si>
    <t xml:space="preserve"> 60km/h</t>
  </si>
  <si>
    <t xml:space="preserve"> Four lane, two way road, median divided, with parking lanes</t>
  </si>
  <si>
    <t>Pacific Fair Drive</t>
  </si>
  <si>
    <t xml:space="preserve"> Council</t>
  </si>
  <si>
    <t xml:space="preserve"> Local Road</t>
  </si>
  <si>
    <t xml:space="preserve"> 50km/h</t>
  </si>
  <si>
    <t xml:space="preserve"> Two lane, two way, undivided</t>
  </si>
  <si>
    <t>Mermaid Avenue</t>
  </si>
  <si>
    <t>Surf Parade</t>
  </si>
  <si>
    <t>Alexandra Avenue</t>
  </si>
  <si>
    <t>Mary Avenue</t>
  </si>
  <si>
    <t>Hedges Avenue</t>
  </si>
  <si>
    <t xml:space="preserve"> 30km/h</t>
  </si>
  <si>
    <t>Peerless Avenue</t>
  </si>
  <si>
    <t>Intersection</t>
  </si>
  <si>
    <t xml:space="preserve"> Scenario</t>
  </si>
  <si>
    <t xml:space="preserve"> Degree of Saturation</t>
  </si>
  <si>
    <t xml:space="preserve"> Level of Service</t>
  </si>
  <si>
    <t xml:space="preserve"> Total Average Delay</t>
  </si>
  <si>
    <t xml:space="preserve"> Critical Queue Length</t>
  </si>
  <si>
    <t xml:space="preserve"> Cycle Time (sec)</t>
  </si>
  <si>
    <t>GC Hwy / Alexandra Av</t>
  </si>
  <si>
    <t xml:space="preserve"> Morning Peak Hour - Surveyed</t>
  </si>
  <si>
    <t xml:space="preserve"> A</t>
  </si>
  <si>
    <t xml:space="preserve"> N/A</t>
  </si>
  <si>
    <t/>
  </si>
  <si>
    <t xml:space="preserve"> Afternoon Peak Hour - Surveyed</t>
  </si>
  <si>
    <t>GC Hwy / Mermaid Av</t>
  </si>
  <si>
    <t xml:space="preserve"> D</t>
  </si>
  <si>
    <t xml:space="preserve"> 140</t>
  </si>
  <si>
    <t>Alexandra Av / Mermaid Av</t>
  </si>
  <si>
    <t xml:space="preserve">Source: </t>
  </si>
  <si>
    <t>https://www.brisbane.qld.gov.au/traffic-and-transport/traffic-management/greater-brisbane-key-corridors-performance-report/greater-brisbane-key-corridors-performance-january-june-2019</t>
  </si>
  <si>
    <t>Count Location</t>
  </si>
  <si>
    <t>Sandy Bay Road</t>
  </si>
  <si>
    <t>Count Year</t>
  </si>
  <si>
    <t>Number of years</t>
  </si>
  <si>
    <t>Queue Length factors</t>
  </si>
  <si>
    <t>Yes</t>
  </si>
  <si>
    <t>AADT</t>
  </si>
  <si>
    <t>Growth Rate</t>
  </si>
  <si>
    <t>Maximum stopping time (minutes)</t>
  </si>
  <si>
    <t>Multiplier</t>
  </si>
  <si>
    <t>No</t>
  </si>
  <si>
    <t>Ma</t>
  </si>
  <si>
    <t>Mo</t>
  </si>
  <si>
    <t>Is count location and road being assessed the same?</t>
  </si>
  <si>
    <t>If no, what road is the analysis for?</t>
  </si>
  <si>
    <t>Wayne Avenue</t>
  </si>
  <si>
    <t>What percentage of count location assumed for the analysis road?</t>
  </si>
  <si>
    <t>%</t>
  </si>
  <si>
    <t>Road Name</t>
  </si>
  <si>
    <t>HV%</t>
  </si>
  <si>
    <t># Lanes Direction 1</t>
  </si>
  <si>
    <t># Lanes Direction 2</t>
  </si>
  <si>
    <t>80th Highest Hour
(Peak traffic)</t>
  </si>
  <si>
    <t>HV</t>
  </si>
  <si>
    <t>Off-peak traffic</t>
  </si>
  <si>
    <t>(vph both direction)</t>
  </si>
  <si>
    <t>(vph in one direction - Assuming equal traffic each way)</t>
  </si>
  <si>
    <t>Queue length estimation</t>
  </si>
  <si>
    <t>Volume</t>
  </si>
  <si>
    <t>per 5 mins</t>
  </si>
  <si>
    <t>2 mins</t>
  </si>
  <si>
    <t>Length (m)</t>
  </si>
  <si>
    <t>5 mins</t>
  </si>
  <si>
    <t>Two-way Road</t>
  </si>
  <si>
    <t>10 mins</t>
  </si>
  <si>
    <t>LOS A (x&lt;=0.6)</t>
  </si>
  <si>
    <t>15 mins</t>
  </si>
  <si>
    <t>LOS B (0.6 &lt; x &lt;= 0.7)</t>
  </si>
  <si>
    <t>30 mins</t>
  </si>
  <si>
    <t>Design Volume (Capacity) *</t>
  </si>
  <si>
    <t>LOS C (0.7 &lt; x &lt;= 0.9)</t>
  </si>
  <si>
    <t>VCR (Volume to Capacity Ratio)</t>
  </si>
  <si>
    <t>Peak</t>
  </si>
  <si>
    <t>Off-Peak</t>
  </si>
  <si>
    <t>LOS D (0.9 &lt; x &lt;= 0.95)</t>
  </si>
  <si>
    <t>Two-way</t>
  </si>
  <si>
    <t>LOS E (0.95 &lt; x &lt;= 1)</t>
  </si>
  <si>
    <t>Single Lane Reversible Flow</t>
  </si>
  <si>
    <t>LOS F ( 1 &lt; x)</t>
  </si>
  <si>
    <t>* Greater of 30th Highest Hour or 500 capacity for local road design</t>
  </si>
  <si>
    <t>HV count</t>
  </si>
  <si>
    <t>Multli Lane - 2 lanes each direction</t>
  </si>
  <si>
    <t>Both Lane Open</t>
  </si>
  <si>
    <t>Single Lane Closure</t>
  </si>
  <si>
    <t>Estimated Maximum Pedestrian Delay</t>
  </si>
  <si>
    <t>Distance (m)</t>
  </si>
  <si>
    <t>No. of unsignalised Crossings</t>
  </si>
  <si>
    <t>No. of signalised Crossings</t>
  </si>
  <si>
    <t>Time (s)</t>
  </si>
  <si>
    <t>Added Delay (s)</t>
  </si>
  <si>
    <t>Added Delay (mins)</t>
  </si>
  <si>
    <t>Existing Route</t>
  </si>
  <si>
    <t>Detoured Route</t>
  </si>
  <si>
    <t>Guthrie St, Paddington</t>
  </si>
  <si>
    <t>Pedestrian Delay:</t>
  </si>
  <si>
    <t>Assumptions:</t>
  </si>
  <si>
    <t>Pedestrian travel speed:</t>
  </si>
  <si>
    <t>m/s</t>
  </si>
  <si>
    <t>Approximate expected delay time at signalised crossings:</t>
  </si>
  <si>
    <t>s</t>
  </si>
  <si>
    <t>Approximate expected delay time at unsignalised crossings: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</si>
</sst>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5" xfId="0" applyFont="1" applyFill="1" applyBorder="1"/>
    <xf numFmtId="0" fontId="2" fillId="9" borderId="10" xfId="0" applyFont="1" applyFill="1" applyBorder="1"/>
    <xf numFmtId="0" fontId="0" fillId="10" borderId="12" xfId="0" applyFill="1" applyBorder="1"/>
    <xf numFmtId="0" fontId="0" fillId="11" borderId="2" xfId="0" applyFill="1" applyBorder="1" applyAlignment="1">
      <alignment horizontal="center"/>
    </xf>
    <xf numFmtId="0" fontId="0" fillId="10" borderId="11" xfId="0" applyFill="1" applyBorder="1"/>
    <xf numFmtId="0" fontId="2" fillId="12" borderId="5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0" fillId="10" borderId="8" xfId="0" applyFill="1" applyBorder="1"/>
    <xf numFmtId="2" fontId="0" fillId="0" borderId="8" xfId="0" applyNumberFormat="1" applyBorder="1" applyAlignment="1">
      <alignment horizontal="center" vertical="center"/>
    </xf>
    <xf numFmtId="0" fontId="2" fillId="9" borderId="3" xfId="0" applyFont="1" applyFill="1" applyBorder="1"/>
    <xf numFmtId="0" fontId="0" fillId="11" borderId="3" xfId="0" applyFill="1" applyBorder="1"/>
    <xf numFmtId="0" fontId="2" fillId="12" borderId="1" xfId="0" applyFont="1" applyFill="1" applyBorder="1" applyAlignment="1">
      <alignment horizontal="center"/>
    </xf>
    <xf numFmtId="0" fontId="1" fillId="13" borderId="5" xfId="0" applyFont="1" applyFill="1" applyBorder="1"/>
    <xf numFmtId="0" fontId="0" fillId="13" borderId="6" xfId="0" applyFill="1" applyBorder="1"/>
    <xf numFmtId="0" fontId="0" fillId="13" borderId="7" xfId="0" applyFill="1" applyBorder="1"/>
    <xf numFmtId="0" fontId="0" fillId="11" borderId="5" xfId="0" applyFill="1" applyBorder="1" applyAlignment="1">
      <alignment wrapText="1"/>
    </xf>
    <xf numFmtId="0" fontId="0" fillId="11" borderId="7" xfId="0" applyFill="1" applyBorder="1" applyAlignment="1">
      <alignment wrapText="1"/>
    </xf>
    <xf numFmtId="0" fontId="0" fillId="11" borderId="10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4" borderId="5" xfId="0" applyFont="1" applyFill="1" applyBorder="1"/>
    <xf numFmtId="0" fontId="0" fillId="14" borderId="6" xfId="0" applyFill="1" applyBorder="1"/>
    <xf numFmtId="0" fontId="0" fillId="14" borderId="7" xfId="0" applyFill="1" applyBorder="1"/>
    <xf numFmtId="0" fontId="0" fillId="10" borderId="9" xfId="0" applyFill="1" applyBorder="1"/>
    <xf numFmtId="0" fontId="0" fillId="10" borderId="1" xfId="0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0" fillId="10" borderId="4" xfId="0" applyFill="1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15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5" borderId="11" xfId="0" applyFill="1" applyBorder="1"/>
    <xf numFmtId="0" fontId="0" fillId="11" borderId="1" xfId="0" applyFill="1" applyBorder="1"/>
    <xf numFmtId="0" fontId="0" fillId="11" borderId="11" xfId="0" applyFill="1" applyBorder="1"/>
    <xf numFmtId="0" fontId="0" fillId="11" borderId="8" xfId="0" applyFill="1" applyBorder="1"/>
    <xf numFmtId="0" fontId="0" fillId="15" borderId="11" xfId="0" applyFill="1" applyBorder="1" applyAlignment="1">
      <alignment horizontal="centerContinuous" vertical="center" wrapText="1"/>
    </xf>
    <xf numFmtId="0" fontId="0" fillId="15" borderId="8" xfId="0" applyFill="1" applyBorder="1" applyAlignment="1">
      <alignment horizontal="centerContinuous" vertical="center" wrapText="1"/>
    </xf>
    <xf numFmtId="0" fontId="3" fillId="0" borderId="0" xfId="1"/>
    <xf numFmtId="0" fontId="5" fillId="0" borderId="0" xfId="0" applyFont="1"/>
    <xf numFmtId="3" fontId="4" fillId="0" borderId="0" xfId="0" applyNumberFormat="1" applyFont="1"/>
    <xf numFmtId="0" fontId="0" fillId="16" borderId="9" xfId="0" applyFill="1" applyBorder="1"/>
    <xf numFmtId="0" fontId="0" fillId="11" borderId="9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6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6BC314-F78D-4E32-A4E5-420984C12793}" autoFormatId="16" applyNumberFormats="0" applyBorderFormats="0" applyFontFormats="0" applyPatternFormats="0" applyAlignmentFormats="0" applyWidthHeightFormats="0">
  <queryTableRefresh nextId="6">
    <queryTableFields count="5">
      <queryTableField id="1" name="Road" tableColumnId="1"/>
      <queryTableField id="2" name=" Authority" tableColumnId="2"/>
      <queryTableField id="3" name=" Classification" tableColumnId="3"/>
      <queryTableField id="4" name=" Posted Speed" tableColumnId="4"/>
      <queryTableField id="5" name=" Typical Form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73BD0E-154F-4B3B-9A25-7527AE0B5F82}" autoFormatId="16" applyNumberFormats="0" applyBorderFormats="0" applyFontFormats="0" applyPatternFormats="0" applyAlignmentFormats="0" applyWidthHeightFormats="0">
  <queryTableRefresh nextId="8">
    <queryTableFields count="7">
      <queryTableField id="1" name="Intersection" tableColumnId="1"/>
      <queryTableField id="2" name=" Scenario" tableColumnId="2"/>
      <queryTableField id="3" name=" Degree of Saturation" tableColumnId="3"/>
      <queryTableField id="4" name=" Level of Service" tableColumnId="4"/>
      <queryTableField id="5" name=" Total Average Delay" tableColumnId="5"/>
      <queryTableField id="6" name=" Critical Queue Length" tableColumnId="6"/>
      <queryTableField id="7" name=" Cycle Time (sec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7C1D4-D819-4D17-8373-4F76C3768D8E}" name="road_network" displayName="road_network" ref="A1:E9" tableType="queryTable" totalsRowShown="0">
  <autoFilter ref="A1:E9" xr:uid="{EC67C1D4-D819-4D17-8373-4F76C3768D8E}"/>
  <tableColumns count="5">
    <tableColumn id="1" xr3:uid="{1CB44CC4-D16D-427E-97B8-F95DB68BC87E}" uniqueName="1" name="Road" queryTableFieldId="1" dataDxfId="25"/>
    <tableColumn id="2" xr3:uid="{98A93C3E-923A-4800-ABD7-3A0A98757519}" uniqueName="2" name=" Authority" queryTableFieldId="2" dataDxfId="24"/>
    <tableColumn id="3" xr3:uid="{8F6C6480-9AD5-4382-84E3-B57B144C2036}" uniqueName="3" name=" Classification" queryTableFieldId="3" dataDxfId="23"/>
    <tableColumn id="4" xr3:uid="{1C64B304-FD10-459B-BDAF-0A77D2A3F81B}" uniqueName="4" name=" Posted Speed" queryTableFieldId="4" dataDxfId="22"/>
    <tableColumn id="5" xr3:uid="{AA2621EC-54A1-4D48-9993-6B4B6D2DBCCA}" uniqueName="5" name=" Typical Form" queryTableFieldId="5" dataDxfId="2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3984-20BD-4A43-A470-B6F0745A2FF4}" name="survey_results" displayName="survey_results" ref="A1:G7" tableType="queryTable" totalsRowShown="0" headerRowDxfId="20" dataDxfId="19">
  <autoFilter ref="A1:G7" xr:uid="{6A653984-20BD-4A43-A470-B6F0745A2FF4}"/>
  <tableColumns count="7">
    <tableColumn id="1" xr3:uid="{5DFD2F7B-920F-48AB-A3DE-F2CB02BC5ABB}" uniqueName="1" name="Intersection" queryTableFieldId="1" dataDxfId="18"/>
    <tableColumn id="2" xr3:uid="{C369502C-2B0D-477B-A3BE-4FC621B2D21A}" uniqueName="2" name=" Scenario" queryTableFieldId="2" dataDxfId="17"/>
    <tableColumn id="3" xr3:uid="{71FB6C68-C3C5-48BB-A36C-03F6C353B57D}" uniqueName="3" name=" Degree of Saturation" queryTableFieldId="3" dataDxfId="16"/>
    <tableColumn id="4" xr3:uid="{9514C2F4-C658-458B-BCC3-425F418869DC}" uniqueName="4" name=" Level of Service" queryTableFieldId="4" dataDxfId="15"/>
    <tableColumn id="5" xr3:uid="{F1608884-4E8D-4C19-8C21-93DE757B38E2}" uniqueName="5" name=" Total Average Delay" queryTableFieldId="5" dataDxfId="14"/>
    <tableColumn id="6" xr3:uid="{E8C0605C-3DF4-42B9-AF28-B6D2C88D9072}" uniqueName="6" name=" Critical Queue Length" queryTableFieldId="6" dataDxfId="13"/>
    <tableColumn id="7" xr3:uid="{D26190FC-AF45-4F31-B034-CB8895C318BE}" uniqueName="7" name=" Cycle Time (sec)" queryTableFieldId="7" dataDxfId="1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sbane.qld.gov.au/traffic-and-transport/traffic-management/greater-brisbane-key-corridors-performance-report/greater-brisbane-key-corridors-performance-january-june-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17F2-D532-4BA2-90E9-54CF556F64B1}">
  <dimension ref="A1:E9"/>
  <sheetViews>
    <sheetView workbookViewId="0">
      <selection activeCell="L19" sqref="L19"/>
    </sheetView>
  </sheetViews>
  <sheetFormatPr defaultRowHeight="14.25"/>
  <cols>
    <col min="1" max="1" width="16.5703125" bestFit="1" customWidth="1"/>
    <col min="2" max="2" width="11.140625" bestFit="1" customWidth="1"/>
    <col min="3" max="3" width="14" bestFit="1" customWidth="1"/>
    <col min="4" max="4" width="14.5703125" bestFit="1" customWidth="1"/>
    <col min="5" max="5" width="49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16</v>
      </c>
      <c r="B5" t="s">
        <v>11</v>
      </c>
      <c r="C5" t="s">
        <v>12</v>
      </c>
      <c r="D5" t="s">
        <v>13</v>
      </c>
      <c r="E5" t="s">
        <v>14</v>
      </c>
    </row>
    <row r="6" spans="1:5">
      <c r="A6" t="s">
        <v>17</v>
      </c>
      <c r="B6" t="s">
        <v>11</v>
      </c>
      <c r="C6" t="s">
        <v>12</v>
      </c>
      <c r="D6" t="s">
        <v>13</v>
      </c>
      <c r="E6" t="s">
        <v>14</v>
      </c>
    </row>
    <row r="7" spans="1:5">
      <c r="A7" t="s">
        <v>18</v>
      </c>
      <c r="B7" t="s">
        <v>11</v>
      </c>
      <c r="C7" t="s">
        <v>12</v>
      </c>
      <c r="D7" t="s">
        <v>13</v>
      </c>
      <c r="E7" t="s">
        <v>14</v>
      </c>
    </row>
    <row r="8" spans="1:5">
      <c r="A8" t="s">
        <v>19</v>
      </c>
      <c r="B8" t="s">
        <v>11</v>
      </c>
      <c r="C8" t="s">
        <v>12</v>
      </c>
      <c r="D8" t="s">
        <v>20</v>
      </c>
      <c r="E8" t="s">
        <v>14</v>
      </c>
    </row>
    <row r="9" spans="1:5">
      <c r="A9" t="s">
        <v>21</v>
      </c>
      <c r="B9" t="s">
        <v>11</v>
      </c>
      <c r="C9" t="s">
        <v>12</v>
      </c>
      <c r="D9" t="s">
        <v>13</v>
      </c>
      <c r="E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A392-44E8-4C39-90AF-033BCC70571C}">
  <dimension ref="A1:G7"/>
  <sheetViews>
    <sheetView workbookViewId="0">
      <selection activeCell="Q11" sqref="P11:Q11"/>
    </sheetView>
  </sheetViews>
  <sheetFormatPr defaultRowHeight="14.25"/>
  <cols>
    <col min="1" max="1" width="22.7109375" bestFit="1" customWidth="1"/>
    <col min="2" max="2" width="17.42578125" customWidth="1"/>
    <col min="3" max="3" width="9.7109375" customWidth="1"/>
    <col min="4" max="4" width="7.140625" customWidth="1"/>
    <col min="5" max="5" width="8" customWidth="1"/>
    <col min="6" max="6" width="8.28515625" customWidth="1"/>
    <col min="7" max="7" width="6.42578125" customWidth="1"/>
  </cols>
  <sheetData>
    <row r="1" spans="1:7" ht="42.7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</row>
    <row r="2" spans="1:7" ht="28.5">
      <c r="A2" s="12" t="s">
        <v>29</v>
      </c>
      <c r="B2" s="12" t="s">
        <v>30</v>
      </c>
      <c r="C2" s="12">
        <v>0.38800000000000001</v>
      </c>
      <c r="D2" s="12" t="s">
        <v>31</v>
      </c>
      <c r="E2" s="12">
        <v>0.9</v>
      </c>
      <c r="F2" s="12">
        <v>7</v>
      </c>
      <c r="G2" s="12" t="s">
        <v>32</v>
      </c>
    </row>
    <row r="3" spans="1:7" ht="28.5">
      <c r="A3" s="12" t="s">
        <v>33</v>
      </c>
      <c r="B3" s="12" t="s">
        <v>34</v>
      </c>
      <c r="C3" s="12">
        <v>0.36799999999999999</v>
      </c>
      <c r="D3" s="12" t="s">
        <v>31</v>
      </c>
      <c r="E3" s="12">
        <v>0.8</v>
      </c>
      <c r="F3" s="12">
        <v>7.4</v>
      </c>
      <c r="G3" s="12" t="s">
        <v>32</v>
      </c>
    </row>
    <row r="4" spans="1:7" ht="28.5">
      <c r="A4" s="12" t="s">
        <v>35</v>
      </c>
      <c r="B4" s="12" t="s">
        <v>30</v>
      </c>
      <c r="C4" s="12">
        <v>0.89300000000000002</v>
      </c>
      <c r="D4" s="12" t="s">
        <v>36</v>
      </c>
      <c r="E4" s="12">
        <v>53</v>
      </c>
      <c r="F4" s="12">
        <v>322.7</v>
      </c>
      <c r="G4" s="12" t="s">
        <v>37</v>
      </c>
    </row>
    <row r="5" spans="1:7" ht="28.5">
      <c r="A5" s="12" t="s">
        <v>33</v>
      </c>
      <c r="B5" s="12" t="s">
        <v>34</v>
      </c>
      <c r="C5" s="12">
        <v>0.89600000000000002</v>
      </c>
      <c r="D5" s="12" t="s">
        <v>36</v>
      </c>
      <c r="E5" s="12">
        <v>51.7</v>
      </c>
      <c r="F5" s="12">
        <v>303</v>
      </c>
      <c r="G5" s="12" t="s">
        <v>37</v>
      </c>
    </row>
    <row r="6" spans="1:7" ht="28.5">
      <c r="A6" s="12" t="s">
        <v>38</v>
      </c>
      <c r="B6" s="12" t="s">
        <v>30</v>
      </c>
      <c r="C6" s="12">
        <v>0.25900000000000001</v>
      </c>
      <c r="D6" s="12" t="s">
        <v>31</v>
      </c>
      <c r="E6" s="12">
        <v>4.2</v>
      </c>
      <c r="F6" s="12">
        <v>7.9</v>
      </c>
      <c r="G6" s="12" t="s">
        <v>32</v>
      </c>
    </row>
    <row r="7" spans="1:7" ht="28.5">
      <c r="A7" s="12" t="s">
        <v>33</v>
      </c>
      <c r="B7" s="12" t="s">
        <v>34</v>
      </c>
      <c r="C7" s="12">
        <v>0.221</v>
      </c>
      <c r="D7" s="12" t="s">
        <v>31</v>
      </c>
      <c r="E7" s="12">
        <v>4.0999999999999996</v>
      </c>
      <c r="F7" s="12">
        <v>4</v>
      </c>
      <c r="G7" s="1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2B34-EA9D-4C0D-8E17-E1E56CAD91BF}">
  <dimension ref="A1:T51"/>
  <sheetViews>
    <sheetView showGridLines="0" tabSelected="1" topLeftCell="A16" zoomScale="145" zoomScaleNormal="145" workbookViewId="0">
      <selection activeCell="D22" sqref="D22"/>
    </sheetView>
  </sheetViews>
  <sheetFormatPr defaultRowHeight="14.25"/>
  <cols>
    <col min="2" max="2" width="18.85546875" customWidth="1"/>
    <col min="3" max="3" width="28.42578125" customWidth="1"/>
    <col min="4" max="4" width="16" customWidth="1"/>
    <col min="5" max="5" width="9.85546875" customWidth="1"/>
    <col min="6" max="6" width="19.28515625" customWidth="1"/>
    <col min="9" max="9" width="13.85546875" bestFit="1" customWidth="1"/>
    <col min="11" max="11" width="26.7109375" customWidth="1"/>
    <col min="12" max="12" width="10.42578125" customWidth="1"/>
    <col min="13" max="13" width="12" customWidth="1"/>
    <col min="16" max="16" width="18.85546875" customWidth="1"/>
  </cols>
  <sheetData>
    <row r="1" spans="1:20">
      <c r="A1" t="s">
        <v>39</v>
      </c>
      <c r="B1" s="59" t="s">
        <v>40</v>
      </c>
    </row>
    <row r="3" spans="1:20">
      <c r="B3" t="s">
        <v>41</v>
      </c>
      <c r="C3" s="60" t="s">
        <v>42</v>
      </c>
      <c r="E3" t="s">
        <v>43</v>
      </c>
      <c r="F3" s="13">
        <v>2025</v>
      </c>
      <c r="I3" t="s">
        <v>44</v>
      </c>
      <c r="J3">
        <f ca="1">YEAR(TODAY())-F3</f>
        <v>1</v>
      </c>
      <c r="O3" s="1" t="s">
        <v>45</v>
      </c>
      <c r="P3" s="9"/>
      <c r="Q3" s="2"/>
      <c r="T3" t="s">
        <v>46</v>
      </c>
    </row>
    <row r="4" spans="1:20">
      <c r="B4" t="s">
        <v>47</v>
      </c>
      <c r="C4" s="61">
        <v>43771</v>
      </c>
      <c r="E4" t="str">
        <f ca="1">YEAR(TODAY()) &amp; " Est."</f>
        <v>2026 Est.</v>
      </c>
      <c r="F4">
        <f ca="1">ROUNDUP(C4*(1+J4/100)^J3,0)</f>
        <v>44866</v>
      </c>
      <c r="I4" t="s">
        <v>48</v>
      </c>
      <c r="J4" s="13">
        <v>2.5</v>
      </c>
      <c r="O4" s="3" t="s">
        <v>49</v>
      </c>
      <c r="P4" s="4" t="s">
        <v>50</v>
      </c>
      <c r="Q4" s="5"/>
      <c r="T4" t="s">
        <v>51</v>
      </c>
    </row>
    <row r="5" spans="1:20">
      <c r="O5" s="6"/>
      <c r="P5" s="8" t="s">
        <v>52</v>
      </c>
      <c r="Q5" s="8" t="s">
        <v>53</v>
      </c>
    </row>
    <row r="6" spans="1:20">
      <c r="O6" s="10">
        <v>2</v>
      </c>
      <c r="P6" s="10">
        <v>2.4</v>
      </c>
      <c r="Q6" s="10">
        <v>8</v>
      </c>
    </row>
    <row r="7" spans="1:20">
      <c r="B7" t="s">
        <v>54</v>
      </c>
      <c r="G7" s="13" t="s">
        <v>46</v>
      </c>
      <c r="H7" s="13"/>
      <c r="I7" s="13"/>
      <c r="J7" s="13"/>
      <c r="O7" s="10">
        <v>5</v>
      </c>
      <c r="P7" s="10">
        <v>6</v>
      </c>
      <c r="Q7" s="10">
        <v>20</v>
      </c>
    </row>
    <row r="8" spans="1:20">
      <c r="B8" t="s">
        <v>55</v>
      </c>
      <c r="G8" s="13" t="s">
        <v>56</v>
      </c>
      <c r="H8" s="13"/>
      <c r="I8" s="13"/>
      <c r="J8" s="13"/>
      <c r="O8" s="10">
        <v>10</v>
      </c>
      <c r="P8" s="10">
        <v>12</v>
      </c>
      <c r="Q8" s="10">
        <v>40</v>
      </c>
    </row>
    <row r="9" spans="1:20">
      <c r="B9" t="s">
        <v>57</v>
      </c>
      <c r="G9" s="13">
        <v>20</v>
      </c>
      <c r="H9" s="13" t="s">
        <v>58</v>
      </c>
      <c r="I9" s="13"/>
      <c r="J9" s="13"/>
      <c r="O9" s="10">
        <v>15</v>
      </c>
      <c r="P9" s="10">
        <v>18</v>
      </c>
      <c r="Q9" s="10">
        <v>60</v>
      </c>
    </row>
    <row r="10" spans="1:20">
      <c r="O10" s="6">
        <v>30</v>
      </c>
      <c r="P10" s="6">
        <v>36</v>
      </c>
      <c r="Q10" s="6">
        <v>120</v>
      </c>
    </row>
    <row r="13" spans="1:20">
      <c r="B13" t="s">
        <v>59</v>
      </c>
      <c r="C13" t="str">
        <f>IF($G$7="Yes",$C$3,$G$8)</f>
        <v>Sandy Bay Road</v>
      </c>
    </row>
    <row r="14" spans="1:20">
      <c r="B14" t="s">
        <v>47</v>
      </c>
      <c r="C14">
        <f ca="1">IF($G$7="Yes",$F$4,ROUNDUP($F$4*$G$9%,0))</f>
        <v>44866</v>
      </c>
    </row>
    <row r="15" spans="1:20">
      <c r="B15" t="s">
        <v>60</v>
      </c>
      <c r="C15" s="13">
        <v>2</v>
      </c>
      <c r="K15">
        <f>2100/17000</f>
        <v>0.12352941176470589</v>
      </c>
      <c r="O15">
        <f ca="1">C14-4*SUM(D21:E21)</f>
        <v>21522</v>
      </c>
    </row>
    <row r="16" spans="1:20">
      <c r="B16" t="s">
        <v>61</v>
      </c>
      <c r="C16" s="13">
        <v>1</v>
      </c>
    </row>
    <row r="17" spans="2:16">
      <c r="B17" t="s">
        <v>62</v>
      </c>
      <c r="C17" s="13">
        <v>1</v>
      </c>
    </row>
    <row r="18" spans="2:16">
      <c r="O18">
        <f ca="1">ROUNDUP(O15*12%,0)</f>
        <v>2583</v>
      </c>
      <c r="P18">
        <f ca="1">ROUNDUP(O15/20,0)</f>
        <v>1077</v>
      </c>
    </row>
    <row r="19" spans="2:16">
      <c r="B19" s="32" t="str">
        <f>"Queue Length Estimation: " &amp; C13</f>
        <v>Queue Length Estimation: Sandy Bay Road</v>
      </c>
      <c r="C19" s="33"/>
      <c r="D19" s="33"/>
      <c r="E19" s="33"/>
      <c r="F19" s="33"/>
      <c r="G19" s="34"/>
    </row>
    <row r="20" spans="2:16" ht="42" customHeight="1">
      <c r="B20" s="35"/>
      <c r="C20" s="36"/>
      <c r="D20" s="37" t="s">
        <v>63</v>
      </c>
      <c r="E20" s="38" t="s">
        <v>64</v>
      </c>
      <c r="F20" s="38" t="s">
        <v>65</v>
      </c>
      <c r="G20" s="39" t="s">
        <v>64</v>
      </c>
      <c r="P20">
        <f ca="1">P18*100/O18</f>
        <v>41.695702671312425</v>
      </c>
    </row>
    <row r="21" spans="2:16">
      <c r="B21" s="40" t="s">
        <v>66</v>
      </c>
      <c r="C21" s="41"/>
      <c r="D21" s="41">
        <f ca="1">ROUNDUP(C14*15%*85%,0)</f>
        <v>5721</v>
      </c>
      <c r="E21" s="41">
        <f ca="1">ROUNDUP(((C14*15%)*85%)*C15%,0)</f>
        <v>115</v>
      </c>
      <c r="F21" s="41">
        <f ca="1">ROUNDUP(((C14-SUM(D21:E21))*15%)*42%,0)</f>
        <v>2459</v>
      </c>
      <c r="G21" s="42">
        <f ca="1">ROUNDUP(F21*C15%,0)</f>
        <v>50</v>
      </c>
    </row>
    <row r="22" spans="2:16">
      <c r="B22" s="40" t="s">
        <v>67</v>
      </c>
      <c r="C22" s="41"/>
      <c r="D22" s="41">
        <f ca="1">ROUNDUP(D21/SUM(C16:C17),0)</f>
        <v>2861</v>
      </c>
      <c r="E22" s="41">
        <f ca="1">ROUNDUP(E21/SUM(C16:C17),0)</f>
        <v>58</v>
      </c>
      <c r="F22" s="41">
        <f ca="1">ROUNDUP(F21/SUM(C16:C17),0)</f>
        <v>1230</v>
      </c>
      <c r="G22" s="42">
        <f ca="1">ROUNDUP(G21/SUM(C16:C17),0)</f>
        <v>25</v>
      </c>
      <c r="O22">
        <f>189/200</f>
        <v>0.94499999999999995</v>
      </c>
    </row>
    <row r="23" spans="2:16">
      <c r="B23" s="43" t="s">
        <v>68</v>
      </c>
      <c r="C23" s="44"/>
      <c r="D23" s="7"/>
      <c r="E23" s="7"/>
      <c r="F23" s="7"/>
      <c r="G23" s="8"/>
      <c r="O23">
        <f>75/200</f>
        <v>0.375</v>
      </c>
    </row>
    <row r="24" spans="2:16">
      <c r="B24" s="43" t="s">
        <v>69</v>
      </c>
      <c r="C24" s="44" t="s">
        <v>70</v>
      </c>
      <c r="D24" s="7">
        <f ca="1">ROUNDUP(D22*5/60,0)</f>
        <v>239</v>
      </c>
      <c r="E24" s="7">
        <f ca="1">ROUNDUP(E22*5/60,0)</f>
        <v>5</v>
      </c>
      <c r="F24" s="62">
        <f ca="1">ROUNDUP(F22*5/60,0)</f>
        <v>103</v>
      </c>
      <c r="G24" s="6">
        <f ca="1">ROUNDUP(G22*5/60,0)</f>
        <v>3</v>
      </c>
    </row>
    <row r="25" spans="2:16">
      <c r="B25" s="43" t="s">
        <v>71</v>
      </c>
      <c r="C25" s="44" t="s">
        <v>72</v>
      </c>
      <c r="D25" s="7">
        <f ca="1">ROUNDUP(D24*$P$6+E24*$Q$6, 0)</f>
        <v>614</v>
      </c>
      <c r="E25" s="7"/>
      <c r="F25" s="7">
        <f ca="1">ROUNDUP(F24*$P$6+G24*$Q$6, 0)</f>
        <v>272</v>
      </c>
      <c r="G25" s="6"/>
    </row>
    <row r="26" spans="2:16">
      <c r="B26" s="43" t="s">
        <v>73</v>
      </c>
      <c r="C26" s="44" t="s">
        <v>72</v>
      </c>
      <c r="D26" s="7">
        <f ca="1">ROUNDUP(D24*$P$7+E24*$Q$7, 0)</f>
        <v>1534</v>
      </c>
      <c r="E26" s="7"/>
      <c r="F26" s="7">
        <f ca="1">ROUNDUP(F24*$P$7+G24*$Q$7, 0)</f>
        <v>678</v>
      </c>
      <c r="G26" s="6"/>
      <c r="K26" t="s">
        <v>74</v>
      </c>
    </row>
    <row r="27" spans="2:16">
      <c r="B27" s="43" t="s">
        <v>75</v>
      </c>
      <c r="C27" s="44" t="s">
        <v>72</v>
      </c>
      <c r="D27" s="7">
        <f ca="1">ROUNDUP(D24*$P$8+E24*$Q$8, 0)</f>
        <v>3068</v>
      </c>
      <c r="E27" s="7"/>
      <c r="F27" s="7">
        <f ca="1">ROUNDUP(F24*$P$8+G24*$Q$8, 0)</f>
        <v>1356</v>
      </c>
      <c r="G27" s="6"/>
      <c r="K27" s="20" t="str">
        <f>$C$13 &amp; " - Traffic Impact Analysis"</f>
        <v>Sandy Bay Road - Traffic Impact Analysis</v>
      </c>
      <c r="L27" s="21"/>
      <c r="M27" s="29"/>
      <c r="P27" s="14" t="s">
        <v>76</v>
      </c>
    </row>
    <row r="28" spans="2:16">
      <c r="B28" s="43" t="s">
        <v>77</v>
      </c>
      <c r="C28" s="44" t="s">
        <v>72</v>
      </c>
      <c r="D28" s="7">
        <f ca="1">ROUNDUP(D24*$P$9+E24*$Q$9, 0)</f>
        <v>4602</v>
      </c>
      <c r="E28" s="7"/>
      <c r="F28" s="7">
        <f ca="1">ROUNDUP(F24*$P$9+G24*$Q$9, 0)</f>
        <v>2034</v>
      </c>
      <c r="G28" s="6"/>
      <c r="K28" s="22"/>
      <c r="L28" s="23"/>
      <c r="M28" s="30"/>
      <c r="P28" s="15" t="s">
        <v>78</v>
      </c>
    </row>
    <row r="29" spans="2:16">
      <c r="B29" s="43" t="s">
        <v>79</v>
      </c>
      <c r="C29" s="44" t="s">
        <v>72</v>
      </c>
      <c r="D29" s="7">
        <f ca="1">ROUNDUP(D24*$P$10+E24*$Q$10, 0)</f>
        <v>9204</v>
      </c>
      <c r="E29" s="7"/>
      <c r="F29" s="7">
        <f ca="1">ROUNDUP(F24*$P$10+G24*$Q$10, 0)</f>
        <v>4068</v>
      </c>
      <c r="G29" s="6"/>
      <c r="K29" s="22" t="s">
        <v>80</v>
      </c>
      <c r="L29" s="63">
        <f ca="1">IF(ROUNDUP(0.15*C14/2,0)&lt;=500, 500,ROUNDUP(0.15*C14/2,0))</f>
        <v>3365</v>
      </c>
      <c r="M29" s="64"/>
      <c r="P29" s="16" t="s">
        <v>81</v>
      </c>
    </row>
    <row r="30" spans="2:16">
      <c r="K30" s="24" t="s">
        <v>82</v>
      </c>
      <c r="L30" s="25" t="s">
        <v>83</v>
      </c>
      <c r="M30" s="31" t="s">
        <v>84</v>
      </c>
      <c r="P30" s="17" t="s">
        <v>85</v>
      </c>
    </row>
    <row r="31" spans="2:16">
      <c r="K31" s="24" t="s">
        <v>86</v>
      </c>
      <c r="L31" s="26">
        <f ca="1">SUM(D22:E22)/L29</f>
        <v>0.86745913818722142</v>
      </c>
      <c r="M31" s="26">
        <f ca="1">SUM(F22:G22)/L29</f>
        <v>0.37295690936106984</v>
      </c>
      <c r="P31" s="18" t="s">
        <v>87</v>
      </c>
    </row>
    <row r="32" spans="2:16">
      <c r="K32" s="27" t="s">
        <v>88</v>
      </c>
      <c r="L32" s="28">
        <f ca="1">SUM(D21:E21)/L29</f>
        <v>1.7343239227340268</v>
      </c>
      <c r="M32" s="28">
        <f ca="1">SUM(F21:G21)/L29</f>
        <v>0.74561664190193166</v>
      </c>
      <c r="P32" s="19" t="s">
        <v>89</v>
      </c>
    </row>
    <row r="34" spans="2:13">
      <c r="D34" s="11"/>
      <c r="F34">
        <f ca="1">F22/2</f>
        <v>615</v>
      </c>
      <c r="K34" t="s">
        <v>90</v>
      </c>
    </row>
    <row r="35" spans="2:13">
      <c r="B35" t="s">
        <v>91</v>
      </c>
      <c r="C35" s="13">
        <v>20</v>
      </c>
    </row>
    <row r="38" spans="2:13">
      <c r="E38" s="11"/>
      <c r="F38" s="11"/>
      <c r="G38" s="11"/>
    </row>
    <row r="43" spans="2:13">
      <c r="K43" t="s">
        <v>92</v>
      </c>
    </row>
    <row r="44" spans="2:13">
      <c r="K44" s="20" t="str">
        <f>$C$13 &amp; " - Traffic Impact Analysis"</f>
        <v>Sandy Bay Road - Traffic Impact Analysis</v>
      </c>
      <c r="L44" s="21"/>
      <c r="M44" s="29"/>
    </row>
    <row r="45" spans="2:13">
      <c r="K45" s="22"/>
      <c r="L45" s="23"/>
      <c r="M45" s="30"/>
    </row>
    <row r="46" spans="2:13">
      <c r="K46" s="22" t="s">
        <v>80</v>
      </c>
      <c r="L46" s="63">
        <f ca="1">IF(ROUNDUP(0.12*C14/SUM(C16:C17),0)&lt;=500, 500,ROUNDUP(0.12*C14/SUM(C16:C17),0))</f>
        <v>2692</v>
      </c>
      <c r="M46" s="64"/>
    </row>
    <row r="47" spans="2:13">
      <c r="K47" s="24" t="s">
        <v>82</v>
      </c>
      <c r="L47" s="25" t="s">
        <v>83</v>
      </c>
      <c r="M47" s="31" t="s">
        <v>84</v>
      </c>
    </row>
    <row r="48" spans="2:13">
      <c r="K48" s="24" t="s">
        <v>93</v>
      </c>
      <c r="L48" s="26">
        <f ca="1">(SUM(D22:E22)/2)/L46</f>
        <v>0.54216196136701333</v>
      </c>
      <c r="M48" s="26">
        <f ca="1">(SUM(F22:G22)/2)/L46</f>
        <v>0.23309806835066865</v>
      </c>
    </row>
    <row r="49" spans="11:13">
      <c r="K49" s="27" t="s">
        <v>94</v>
      </c>
      <c r="L49" s="28">
        <f ca="1">(SUM(D22:E22))/L46</f>
        <v>1.0843239227340267</v>
      </c>
      <c r="M49" s="28">
        <f ca="1">(SUM(F22:G22))/L46</f>
        <v>0.4661961367013373</v>
      </c>
    </row>
    <row r="51" spans="11:13">
      <c r="K51" t="s">
        <v>90</v>
      </c>
    </row>
  </sheetData>
  <mergeCells count="2">
    <mergeCell ref="L29:M29"/>
    <mergeCell ref="L46:M46"/>
  </mergeCells>
  <phoneticPr fontId="6" type="noConversion"/>
  <conditionalFormatting sqref="L31:M32">
    <cfRule type="cellIs" dxfId="11" priority="7" operator="greaterThan">
      <formula>1</formula>
    </cfRule>
    <cfRule type="cellIs" dxfId="10" priority="8" operator="between">
      <formula>0.9501</formula>
      <formula>1</formula>
    </cfRule>
    <cfRule type="cellIs" dxfId="9" priority="9" operator="between">
      <formula>0.901</formula>
      <formula>0.95</formula>
    </cfRule>
    <cfRule type="cellIs" dxfId="8" priority="10" operator="between">
      <formula>0.701</formula>
      <formula>0.9</formula>
    </cfRule>
    <cfRule type="cellIs" dxfId="7" priority="11" operator="between">
      <formula>0.601</formula>
      <formula>0.7</formula>
    </cfRule>
    <cfRule type="cellIs" dxfId="6" priority="12" operator="lessThanOrEqual">
      <formula>0.6</formula>
    </cfRule>
  </conditionalFormatting>
  <conditionalFormatting sqref="L48:M49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dataValidations count="1">
    <dataValidation type="list" allowBlank="1" showInputMessage="1" showErrorMessage="1" sqref="G7" xr:uid="{1BB9218C-B791-460A-A3D6-BE6087CEAED0}">
      <formula1>$T$3:$T$4</formula1>
    </dataValidation>
  </dataValidations>
  <hyperlinks>
    <hyperlink ref="B1" r:id="rId1" xr:uid="{8B30840C-66C5-4039-8A67-F6E45C4B76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912F-F648-448C-9F92-B4E197F23C47}">
  <dimension ref="A1:M13"/>
  <sheetViews>
    <sheetView showGridLines="0" workbookViewId="0">
      <selection activeCell="G28" sqref="G28"/>
    </sheetView>
  </sheetViews>
  <sheetFormatPr defaultRowHeight="14.25"/>
  <cols>
    <col min="1" max="1" width="48.140625" bestFit="1" customWidth="1"/>
    <col min="5" max="5" width="10.5703125" customWidth="1"/>
    <col min="6" max="6" width="12" bestFit="1" customWidth="1"/>
    <col min="7" max="7" width="13.28515625" bestFit="1" customWidth="1"/>
    <col min="8" max="8" width="10.42578125" customWidth="1"/>
    <col min="9" max="9" width="12" bestFit="1" customWidth="1"/>
    <col min="10" max="11" width="13.28515625" bestFit="1" customWidth="1"/>
  </cols>
  <sheetData>
    <row r="1" spans="1:13">
      <c r="E1" s="69" t="s">
        <v>95</v>
      </c>
      <c r="F1" s="70"/>
      <c r="G1" s="70"/>
      <c r="H1" s="70"/>
      <c r="I1" s="70"/>
      <c r="J1" s="70"/>
      <c r="K1" s="70"/>
      <c r="L1" s="70"/>
      <c r="M1" s="71"/>
    </row>
    <row r="2" spans="1:13" ht="42.75">
      <c r="E2" s="51"/>
      <c r="F2" s="65" t="s">
        <v>96</v>
      </c>
      <c r="G2" s="66"/>
      <c r="H2" s="52" t="s">
        <v>97</v>
      </c>
      <c r="I2" s="52" t="s">
        <v>98</v>
      </c>
      <c r="J2" s="67" t="s">
        <v>99</v>
      </c>
      <c r="K2" s="68"/>
      <c r="L2" s="52" t="s">
        <v>100</v>
      </c>
      <c r="M2" s="52" t="s">
        <v>101</v>
      </c>
    </row>
    <row r="3" spans="1:13">
      <c r="E3" s="53"/>
      <c r="F3" s="54" t="s">
        <v>102</v>
      </c>
      <c r="G3" s="54" t="s">
        <v>103</v>
      </c>
      <c r="H3" s="55"/>
      <c r="I3" s="55"/>
      <c r="J3" s="54" t="s">
        <v>102</v>
      </c>
      <c r="K3" s="54" t="s">
        <v>103</v>
      </c>
      <c r="L3" s="56"/>
      <c r="M3" s="55"/>
    </row>
    <row r="4" spans="1:13" ht="57">
      <c r="E4" s="57" t="s">
        <v>104</v>
      </c>
      <c r="F4" s="10">
        <v>100</v>
      </c>
      <c r="G4" s="10">
        <v>160</v>
      </c>
      <c r="H4" s="3">
        <v>2</v>
      </c>
      <c r="I4" s="3">
        <v>1</v>
      </c>
      <c r="J4" s="10">
        <f>ROUNDUP(F4/$B$11,0)</f>
        <v>67</v>
      </c>
      <c r="K4" s="10">
        <f>ROUNDUP(G4/$B$11,0)</f>
        <v>107</v>
      </c>
      <c r="L4" s="3">
        <f>ROUNDUP((K4+(H4*$B$13)+I4*$B$12)-J4,0)</f>
        <v>125</v>
      </c>
      <c r="M4" s="3">
        <f>ROUNDUP(L4/60, 2)</f>
        <v>2.09</v>
      </c>
    </row>
    <row r="5" spans="1:13">
      <c r="E5" s="58"/>
      <c r="F5" s="6"/>
      <c r="G5" s="6"/>
      <c r="H5" s="6"/>
      <c r="I5" s="6"/>
      <c r="J5" s="6"/>
      <c r="K5" s="6"/>
      <c r="L5" s="6"/>
      <c r="M5" s="6"/>
    </row>
    <row r="9" spans="1:13">
      <c r="A9" s="20" t="s">
        <v>105</v>
      </c>
      <c r="B9" s="45"/>
      <c r="C9" s="46"/>
    </row>
    <row r="10" spans="1:13">
      <c r="A10" s="47" t="s">
        <v>106</v>
      </c>
      <c r="B10" s="1"/>
      <c r="C10" s="2"/>
    </row>
    <row r="11" spans="1:13">
      <c r="A11" s="24" t="s">
        <v>107</v>
      </c>
      <c r="B11" s="48">
        <v>1.5</v>
      </c>
      <c r="C11" s="49" t="s">
        <v>108</v>
      </c>
    </row>
    <row r="12" spans="1:13">
      <c r="A12" s="24" t="s">
        <v>109</v>
      </c>
      <c r="B12" s="48">
        <v>55</v>
      </c>
      <c r="C12" s="49" t="s">
        <v>110</v>
      </c>
    </row>
    <row r="13" spans="1:13">
      <c r="A13" s="27" t="s">
        <v>111</v>
      </c>
      <c r="B13" s="7">
        <v>15</v>
      </c>
      <c r="C13" s="50" t="s">
        <v>110</v>
      </c>
    </row>
  </sheetData>
  <mergeCells count="3">
    <mergeCell ref="F2:G2"/>
    <mergeCell ref="J2:K2"/>
    <mergeCell ref="E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D01C7D3-890D-4113-86F8-37C96B4198D0}"/>
</file>

<file path=customXml/itemProps2.xml><?xml version="1.0" encoding="utf-8"?>
<ds:datastoreItem xmlns:ds="http://schemas.openxmlformats.org/officeDocument/2006/customXml" ds:itemID="{149189DF-2B2D-41E5-9C1B-25D51ADF004C}"/>
</file>

<file path=customXml/itemProps3.xml><?xml version="1.0" encoding="utf-8"?>
<ds:datastoreItem xmlns:ds="http://schemas.openxmlformats.org/officeDocument/2006/customXml" ds:itemID="{2A895539-03DC-4E37-B086-0100B760C15F}"/>
</file>

<file path=customXml/itemProps4.xml><?xml version="1.0" encoding="utf-8"?>
<ds:datastoreItem xmlns:ds="http://schemas.openxmlformats.org/officeDocument/2006/customXml" ds:itemID="{78E58B7A-AD5D-4F63-BCDC-66129FEE3C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Alexandria Gabon Masangkay</cp:lastModifiedBy>
  <cp:revision/>
  <dcterms:created xsi:type="dcterms:W3CDTF">2021-11-26T10:13:03Z</dcterms:created>
  <dcterms:modified xsi:type="dcterms:W3CDTF">2026-07-07T10:49:27Z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