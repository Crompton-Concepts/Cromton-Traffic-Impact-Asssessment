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omptonconcepts.sharepoint.com/Shared Documents/Clients/Planning Templates/Traffic Counts/"/>
    </mc:Choice>
  </mc:AlternateContent>
  <xr:revisionPtr revIDLastSave="14" documentId="13_ncr:1_{4993E6E1-D2C1-4F37-8479-63252A72F150}" xr6:coauthVersionLast="47" xr6:coauthVersionMax="47" xr10:uidLastSave="{1CE12DCE-FD78-4529-9229-C8ADAA130FDB}"/>
  <bookViews>
    <workbookView xWindow="-98" yWindow="-98" windowWidth="28996" windowHeight="15675" firstSheet="1" activeTab="2" xr2:uid="{9E17E789-F33A-4926-A2CE-4097E3D962E5}"/>
  </bookViews>
  <sheets>
    <sheet name="road network" sheetId="2" r:id="rId1"/>
    <sheet name="survey results" sheetId="4" r:id="rId2"/>
    <sheet name="Sheet1" sheetId="1" r:id="rId3"/>
  </sheets>
  <definedNames>
    <definedName name="DIR1_">Sheet1!#REF!</definedName>
    <definedName name="DIR2_">Sheet1!$N$11</definedName>
    <definedName name="ExternalData_1" localSheetId="0" hidden="1">'road network'!$A$1:$E$9</definedName>
    <definedName name="ExternalData_1" localSheetId="1" hidden="1">'survey results'!$A$1:$G$7</definedName>
    <definedName name="Row_Number">Sheet1!$N$2</definedName>
    <definedName name="STREET_NAME">Sheet1!#REF!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C22" i="1" l="1"/>
  <c r="D14" i="1"/>
  <c r="D13" i="1"/>
  <c r="D12" i="1"/>
  <c r="D11" i="1"/>
  <c r="K16" i="1" l="1"/>
  <c r="C21" i="1"/>
  <c r="E10" i="1"/>
  <c r="B8" i="1" l="1"/>
  <c r="C24" i="1" l="1"/>
  <c r="L18" i="1"/>
  <c r="M21" i="1" l="1"/>
  <c r="M20" i="1"/>
  <c r="L20" i="1"/>
  <c r="L2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CB1FD5-E1F0-4A2F-AA65-0FEB9ED40FFF}" keepAlive="1" name="Query - road network" description="Connection to the 'road network' query in the workbook." type="5" refreshedVersion="8" background="1" saveData="1">
    <dbPr connection="Provider=Microsoft.Mashup.OleDb.1;Data Source=$Workbook$;Location=&quot;road network&quot;;Extended Properties=&quot;&quot;" command="SELECT * FROM [road network]"/>
  </connection>
  <connection id="2" xr16:uid="{0BBC6FE8-689A-4690-A03F-8CA381D9FBBF}" keepAlive="1" name="Query - survey results" description="Connection to the 'survey results' query in the workbook." type="5" refreshedVersion="8" background="1" saveData="1">
    <dbPr connection="Provider=Microsoft.Mashup.OleDb.1;Data Source=$Workbook$;Location=&quot;survey results&quot;;Extended Properties=&quot;&quot;" command="SELECT * FROM [survey results]"/>
  </connection>
</connections>
</file>

<file path=xl/sharedStrings.xml><?xml version="1.0" encoding="utf-8"?>
<sst xmlns="http://schemas.openxmlformats.org/spreadsheetml/2006/main" count="129" uniqueCount="87">
  <si>
    <t>Road</t>
  </si>
  <si>
    <t xml:space="preserve"> Authority</t>
  </si>
  <si>
    <t xml:space="preserve"> Classification</t>
  </si>
  <si>
    <t xml:space="preserve"> Posted Speed</t>
  </si>
  <si>
    <t xml:space="preserve"> Typical Form</t>
  </si>
  <si>
    <t>Gold Coast Highway</t>
  </si>
  <si>
    <t xml:space="preserve"> TMR</t>
  </si>
  <si>
    <t xml:space="preserve"> State Road</t>
  </si>
  <si>
    <t xml:space="preserve"> 60km/h</t>
  </si>
  <si>
    <t xml:space="preserve"> Four lane, two way road, median divided, with parking lanes</t>
  </si>
  <si>
    <t>Pacific Fair Drive</t>
  </si>
  <si>
    <t xml:space="preserve"> Council</t>
  </si>
  <si>
    <t xml:space="preserve"> Local Road</t>
  </si>
  <si>
    <t xml:space="preserve"> 50km/h</t>
  </si>
  <si>
    <t xml:space="preserve"> Two lane, two way, undivided</t>
  </si>
  <si>
    <t>Mermaid Avenue</t>
  </si>
  <si>
    <t>Surf Parade</t>
  </si>
  <si>
    <t>Alexandra Avenue</t>
  </si>
  <si>
    <t>Mary Avenue</t>
  </si>
  <si>
    <t>Hedges Avenue</t>
  </si>
  <si>
    <t xml:space="preserve"> 30km/h</t>
  </si>
  <si>
    <t>Peerless Avenue</t>
  </si>
  <si>
    <t>Intersection</t>
  </si>
  <si>
    <t xml:space="preserve"> Scenario</t>
  </si>
  <si>
    <t xml:space="preserve"> Degree of Saturation</t>
  </si>
  <si>
    <t xml:space="preserve"> Level of Service</t>
  </si>
  <si>
    <t xml:space="preserve"> Total Average Delay</t>
  </si>
  <si>
    <t xml:space="preserve"> Critical Queue Length</t>
  </si>
  <si>
    <t xml:space="preserve"> Cycle Time (sec)</t>
  </si>
  <si>
    <t>GC Hwy / Alexandra Av</t>
  </si>
  <si>
    <t xml:space="preserve"> Morning Peak Hour - Surveyed</t>
  </si>
  <si>
    <t xml:space="preserve"> A</t>
  </si>
  <si>
    <t xml:space="preserve"> N/A</t>
  </si>
  <si>
    <t/>
  </si>
  <si>
    <t xml:space="preserve"> Afternoon Peak Hour - Surveyed</t>
  </si>
  <si>
    <t>GC Hwy / Mermaid Av</t>
  </si>
  <si>
    <t xml:space="preserve"> D</t>
  </si>
  <si>
    <t xml:space="preserve"> 140</t>
  </si>
  <si>
    <t>Alexandra Av / Mermaid Av</t>
  </si>
  <si>
    <t>Road Name</t>
  </si>
  <si>
    <t>Mount Street, Burleigh Heads</t>
  </si>
  <si>
    <t>Date</t>
  </si>
  <si>
    <t>Time</t>
  </si>
  <si>
    <t>5 minute count</t>
  </si>
  <si>
    <t>LV</t>
  </si>
  <si>
    <t>HV</t>
  </si>
  <si>
    <t>Queue Length factors</t>
  </si>
  <si>
    <t>Maximum stopping time (minutes)</t>
  </si>
  <si>
    <t>Multiplier</t>
  </si>
  <si>
    <t>Ma</t>
  </si>
  <si>
    <t>Mo</t>
  </si>
  <si>
    <t>Queue length estimation</t>
  </si>
  <si>
    <t>Volume</t>
  </si>
  <si>
    <t>per 5 mins</t>
  </si>
  <si>
    <t>2 mins</t>
  </si>
  <si>
    <t>Length (m)</t>
  </si>
  <si>
    <t>5 mins</t>
  </si>
  <si>
    <t>10 mins</t>
  </si>
  <si>
    <t>15 mins</t>
  </si>
  <si>
    <t>Two-way Road</t>
  </si>
  <si>
    <t>Design Volume (Capacity) *</t>
  </si>
  <si>
    <t>Estimates (office use)</t>
  </si>
  <si>
    <t>VCR (Volume to Capacity Ratio)</t>
  </si>
  <si>
    <t>Peak</t>
  </si>
  <si>
    <t>Off-Peak</t>
  </si>
  <si>
    <t>Off-peak</t>
  </si>
  <si>
    <t>Two-way</t>
  </si>
  <si>
    <t>5 minutes</t>
  </si>
  <si>
    <t>Single Lane Reversible Flow</t>
  </si>
  <si>
    <t>Hourly Avg.</t>
  </si>
  <si>
    <t>Peak Avg.</t>
  </si>
  <si>
    <t>* Greater of 30th Highest Hour or 500</t>
  </si>
  <si>
    <t>AADT</t>
  </si>
  <si>
    <t>85% of 12% of AADT</t>
  </si>
  <si>
    <t>42% of peak</t>
  </si>
  <si>
    <t>LOS A (x&lt;=0.6)</t>
  </si>
  <si>
    <t>LOS B (0.6 &lt; x &lt;= 0.7)</t>
  </si>
  <si>
    <t>LOS C (0.7 &lt; x &lt;= 0.9)</t>
  </si>
  <si>
    <t>LOS D (0.9 &lt; x &lt;= 0.95)</t>
  </si>
  <si>
    <t>LOS E (0.95 &lt; x &lt;= 1)</t>
  </si>
  <si>
    <t>LOS F ( 1 &lt; x)</t>
  </si>
  <si>
    <t>of. Peak</t>
  </si>
  <si>
    <t>45%*Design Volume</t>
  </si>
  <si>
    <t>design volume</t>
  </si>
  <si>
    <t>0ff. Peak/45%</t>
  </si>
  <si>
    <t>peak. Volume</t>
  </si>
  <si>
    <t>design volume* 85%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</si>
</sst>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9" xfId="0" applyFill="1" applyBorder="1"/>
    <xf numFmtId="0" fontId="0" fillId="0" borderId="0" xfId="0" applyAlignment="1">
      <alignment wrapText="1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3" borderId="0" xfId="0" applyFill="1"/>
    <xf numFmtId="0" fontId="0" fillId="2" borderId="0" xfId="0" applyFill="1"/>
    <xf numFmtId="0" fontId="0" fillId="2" borderId="0" xfId="0" applyFill="1" applyAlignment="1">
      <alignment horizontal="center" vertical="center" wrapText="1"/>
    </xf>
    <xf numFmtId="20" fontId="0" fillId="3" borderId="0" xfId="0" applyNumberFormat="1" applyFill="1"/>
    <xf numFmtId="0" fontId="0" fillId="0" borderId="1" xfId="0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2" fontId="0" fillId="0" borderId="4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20"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rgb="FFC00000"/>
        </patternFill>
      </fill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15</xdr:row>
      <xdr:rowOff>0</xdr:rowOff>
    </xdr:from>
    <xdr:to>
      <xdr:col>16</xdr:col>
      <xdr:colOff>173355</xdr:colOff>
      <xdr:row>22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1170C5-8D7D-7AAD-7482-DBD1B2B8C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273338" y="2714625"/>
          <a:ext cx="1468755" cy="12954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C6BC314-F78D-4E32-A4E5-420984C12793}" autoFormatId="16" applyNumberFormats="0" applyBorderFormats="0" applyFontFormats="0" applyPatternFormats="0" applyAlignmentFormats="0" applyWidthHeightFormats="0">
  <queryTableRefresh nextId="6">
    <queryTableFields count="5">
      <queryTableField id="1" name="Road" tableColumnId="1"/>
      <queryTableField id="2" name=" Authority" tableColumnId="2"/>
      <queryTableField id="3" name=" Classification" tableColumnId="3"/>
      <queryTableField id="4" name=" Posted Speed" tableColumnId="4"/>
      <queryTableField id="5" name=" Typical Form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D73BD0E-154F-4B3B-9A25-7527AE0B5F82}" autoFormatId="16" applyNumberFormats="0" applyBorderFormats="0" applyFontFormats="0" applyPatternFormats="0" applyAlignmentFormats="0" applyWidthHeightFormats="0">
  <queryTableRefresh nextId="8">
    <queryTableFields count="7">
      <queryTableField id="1" name="Intersection" tableColumnId="1"/>
      <queryTableField id="2" name=" Scenario" tableColumnId="2"/>
      <queryTableField id="3" name=" Degree of Saturation" tableColumnId="3"/>
      <queryTableField id="4" name=" Level of Service" tableColumnId="4"/>
      <queryTableField id="5" name=" Total Average Delay" tableColumnId="5"/>
      <queryTableField id="6" name=" Critical Queue Length" tableColumnId="6"/>
      <queryTableField id="7" name=" Cycle Time (sec)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67C1D4-D819-4D17-8373-4F76C3768D8E}" name="road_network" displayName="road_network" ref="A1:E9" tableType="queryTable" totalsRowShown="0">
  <autoFilter ref="A1:E9" xr:uid="{EC67C1D4-D819-4D17-8373-4F76C3768D8E}"/>
  <tableColumns count="5">
    <tableColumn id="1" xr3:uid="{1CB44CC4-D16D-427E-97B8-F95DB68BC87E}" uniqueName="1" name="Road" queryTableFieldId="1" dataDxfId="19"/>
    <tableColumn id="2" xr3:uid="{98A93C3E-923A-4800-ABD7-3A0A98757519}" uniqueName="2" name=" Authority" queryTableFieldId="2" dataDxfId="18"/>
    <tableColumn id="3" xr3:uid="{8F6C6480-9AD5-4382-84E3-B57B144C2036}" uniqueName="3" name=" Classification" queryTableFieldId="3" dataDxfId="17"/>
    <tableColumn id="4" xr3:uid="{1C64B304-FD10-459B-BDAF-0A77D2A3F81B}" uniqueName="4" name=" Posted Speed" queryTableFieldId="4" dataDxfId="16"/>
    <tableColumn id="5" xr3:uid="{AA2621EC-54A1-4D48-9993-6B4B6D2DBCCA}" uniqueName="5" name=" Typical Form" queryTableFieldId="5" dataDxfId="15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653984-20BD-4A43-A470-B6F0745A2FF4}" name="survey_results" displayName="survey_results" ref="A1:G7" tableType="queryTable" totalsRowShown="0" headerRowDxfId="14" dataDxfId="13">
  <autoFilter ref="A1:G7" xr:uid="{6A653984-20BD-4A43-A470-B6F0745A2FF4}"/>
  <tableColumns count="7">
    <tableColumn id="1" xr3:uid="{5DFD2F7B-920F-48AB-A3DE-F2CB02BC5ABB}" uniqueName="1" name="Intersection" queryTableFieldId="1" dataDxfId="12"/>
    <tableColumn id="2" xr3:uid="{C369502C-2B0D-477B-A3BE-4FC621B2D21A}" uniqueName="2" name=" Scenario" queryTableFieldId="2" dataDxfId="11"/>
    <tableColumn id="3" xr3:uid="{71FB6C68-C3C5-48BB-A36C-03F6C353B57D}" uniqueName="3" name=" Degree of Saturation" queryTableFieldId="3" dataDxfId="10"/>
    <tableColumn id="4" xr3:uid="{9514C2F4-C658-458B-BCC3-425F418869DC}" uniqueName="4" name=" Level of Service" queryTableFieldId="4" dataDxfId="9"/>
    <tableColumn id="5" xr3:uid="{F1608884-4E8D-4C19-8C21-93DE757B38E2}" uniqueName="5" name=" Total Average Delay" queryTableFieldId="5" dataDxfId="8"/>
    <tableColumn id="6" xr3:uid="{E8C0605C-3DF4-42B9-AF28-B6D2C88D9072}" uniqueName="6" name=" Critical Queue Length" queryTableFieldId="6" dataDxfId="7"/>
    <tableColumn id="7" xr3:uid="{D26190FC-AF45-4F31-B034-CB8895C318BE}" uniqueName="7" name=" Cycle Time (sec)" queryTableFieldId="7" dataDxfId="6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817F2-D532-4BA2-90E9-54CF556F64B1}">
  <dimension ref="A1:E9"/>
  <sheetViews>
    <sheetView workbookViewId="0">
      <selection sqref="A1:E9"/>
    </sheetView>
  </sheetViews>
  <sheetFormatPr defaultRowHeight="14.25" x14ac:dyDescent="0.45"/>
  <cols>
    <col min="1" max="1" width="16.53125" bestFit="1" customWidth="1"/>
    <col min="2" max="2" width="11.19921875" bestFit="1" customWidth="1"/>
    <col min="3" max="3" width="14" bestFit="1" customWidth="1"/>
    <col min="4" max="4" width="14.53125" bestFit="1" customWidth="1"/>
    <col min="5" max="5" width="49.1992187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4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45">
      <c r="A4" t="s">
        <v>15</v>
      </c>
      <c r="B4" t="s">
        <v>11</v>
      </c>
      <c r="C4" t="s">
        <v>12</v>
      </c>
      <c r="D4" t="s">
        <v>13</v>
      </c>
      <c r="E4" t="s">
        <v>14</v>
      </c>
    </row>
    <row r="5" spans="1:5" x14ac:dyDescent="0.45">
      <c r="A5" t="s">
        <v>16</v>
      </c>
      <c r="B5" t="s">
        <v>11</v>
      </c>
      <c r="C5" t="s">
        <v>12</v>
      </c>
      <c r="D5" t="s">
        <v>13</v>
      </c>
      <c r="E5" t="s">
        <v>14</v>
      </c>
    </row>
    <row r="6" spans="1:5" x14ac:dyDescent="0.45">
      <c r="A6" t="s">
        <v>17</v>
      </c>
      <c r="B6" t="s">
        <v>11</v>
      </c>
      <c r="C6" t="s">
        <v>12</v>
      </c>
      <c r="D6" t="s">
        <v>13</v>
      </c>
      <c r="E6" t="s">
        <v>14</v>
      </c>
    </row>
    <row r="7" spans="1:5" x14ac:dyDescent="0.45">
      <c r="A7" t="s">
        <v>18</v>
      </c>
      <c r="B7" t="s">
        <v>11</v>
      </c>
      <c r="C7" t="s">
        <v>12</v>
      </c>
      <c r="D7" t="s">
        <v>13</v>
      </c>
      <c r="E7" t="s">
        <v>14</v>
      </c>
    </row>
    <row r="8" spans="1:5" x14ac:dyDescent="0.45">
      <c r="A8" t="s">
        <v>19</v>
      </c>
      <c r="B8" t="s">
        <v>11</v>
      </c>
      <c r="C8" t="s">
        <v>12</v>
      </c>
      <c r="D8" t="s">
        <v>20</v>
      </c>
      <c r="E8" t="s">
        <v>14</v>
      </c>
    </row>
    <row r="9" spans="1:5" x14ac:dyDescent="0.45">
      <c r="A9" t="s">
        <v>21</v>
      </c>
      <c r="B9" t="s">
        <v>11</v>
      </c>
      <c r="C9" t="s">
        <v>12</v>
      </c>
      <c r="D9" t="s">
        <v>13</v>
      </c>
      <c r="E9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CA392-44E8-4C39-90AF-033BCC70571C}">
  <dimension ref="A1:G7"/>
  <sheetViews>
    <sheetView workbookViewId="0">
      <selection activeCell="B30" sqref="B30"/>
    </sheetView>
  </sheetViews>
  <sheetFormatPr defaultRowHeight="14.25" x14ac:dyDescent="0.45"/>
  <cols>
    <col min="1" max="1" width="22.73046875" bestFit="1" customWidth="1"/>
    <col min="2" max="2" width="17.46484375" customWidth="1"/>
    <col min="3" max="3" width="9.73046875" customWidth="1"/>
    <col min="4" max="4" width="7.19921875" customWidth="1"/>
    <col min="5" max="5" width="8" customWidth="1"/>
    <col min="6" max="6" width="8.265625" customWidth="1"/>
    <col min="7" max="7" width="6.46484375" customWidth="1"/>
  </cols>
  <sheetData>
    <row r="1" spans="1:7" ht="42.75" x14ac:dyDescent="0.45">
      <c r="A1" s="14" t="s">
        <v>22</v>
      </c>
      <c r="B1" s="14" t="s">
        <v>23</v>
      </c>
      <c r="C1" s="14" t="s">
        <v>24</v>
      </c>
      <c r="D1" s="14" t="s">
        <v>25</v>
      </c>
      <c r="E1" s="14" t="s">
        <v>26</v>
      </c>
      <c r="F1" s="14" t="s">
        <v>27</v>
      </c>
      <c r="G1" s="14" t="s">
        <v>28</v>
      </c>
    </row>
    <row r="2" spans="1:7" ht="28.5" x14ac:dyDescent="0.45">
      <c r="A2" s="16" t="s">
        <v>29</v>
      </c>
      <c r="B2" s="16" t="s">
        <v>30</v>
      </c>
      <c r="C2" s="16">
        <v>0.38800000000000001</v>
      </c>
      <c r="D2" s="16" t="s">
        <v>31</v>
      </c>
      <c r="E2" s="16">
        <v>0.9</v>
      </c>
      <c r="F2" s="16">
        <v>7</v>
      </c>
      <c r="G2" s="16" t="s">
        <v>32</v>
      </c>
    </row>
    <row r="3" spans="1:7" ht="28.5" x14ac:dyDescent="0.45">
      <c r="A3" s="16" t="s">
        <v>33</v>
      </c>
      <c r="B3" s="16" t="s">
        <v>34</v>
      </c>
      <c r="C3" s="16">
        <v>0.36799999999999999</v>
      </c>
      <c r="D3" s="16" t="s">
        <v>31</v>
      </c>
      <c r="E3" s="16">
        <v>0.8</v>
      </c>
      <c r="F3" s="16">
        <v>7.4</v>
      </c>
      <c r="G3" s="16" t="s">
        <v>32</v>
      </c>
    </row>
    <row r="4" spans="1:7" ht="28.5" x14ac:dyDescent="0.45">
      <c r="A4" s="16" t="s">
        <v>35</v>
      </c>
      <c r="B4" s="16" t="s">
        <v>30</v>
      </c>
      <c r="C4" s="16">
        <v>0.89300000000000002</v>
      </c>
      <c r="D4" s="16" t="s">
        <v>36</v>
      </c>
      <c r="E4" s="16">
        <v>53</v>
      </c>
      <c r="F4" s="16">
        <v>322.7</v>
      </c>
      <c r="G4" s="16" t="s">
        <v>37</v>
      </c>
    </row>
    <row r="5" spans="1:7" ht="28.5" x14ac:dyDescent="0.45">
      <c r="A5" s="16" t="s">
        <v>33</v>
      </c>
      <c r="B5" s="16" t="s">
        <v>34</v>
      </c>
      <c r="C5" s="16">
        <v>0.89600000000000002</v>
      </c>
      <c r="D5" s="16" t="s">
        <v>36</v>
      </c>
      <c r="E5" s="16">
        <v>51.7</v>
      </c>
      <c r="F5" s="16">
        <v>303</v>
      </c>
      <c r="G5" s="16" t="s">
        <v>37</v>
      </c>
    </row>
    <row r="6" spans="1:7" ht="28.5" x14ac:dyDescent="0.45">
      <c r="A6" s="16" t="s">
        <v>38</v>
      </c>
      <c r="B6" s="16" t="s">
        <v>30</v>
      </c>
      <c r="C6" s="16">
        <v>0.25900000000000001</v>
      </c>
      <c r="D6" s="16" t="s">
        <v>31</v>
      </c>
      <c r="E6" s="16">
        <v>4.2</v>
      </c>
      <c r="F6" s="16">
        <v>7.9</v>
      </c>
      <c r="G6" s="16" t="s">
        <v>32</v>
      </c>
    </row>
    <row r="7" spans="1:7" ht="28.5" x14ac:dyDescent="0.45">
      <c r="A7" s="16" t="s">
        <v>33</v>
      </c>
      <c r="B7" s="16" t="s">
        <v>34</v>
      </c>
      <c r="C7" s="16">
        <v>0.221</v>
      </c>
      <c r="D7" s="16" t="s">
        <v>31</v>
      </c>
      <c r="E7" s="16">
        <v>4.0999999999999996</v>
      </c>
      <c r="F7" s="16">
        <v>4</v>
      </c>
      <c r="G7" s="16" t="s">
        <v>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A2B34-EA9D-4C0D-8E17-E1E56CAD91BF}">
  <dimension ref="B2:M33"/>
  <sheetViews>
    <sheetView showGridLines="0" tabSelected="1" topLeftCell="A4" zoomScaleNormal="100" workbookViewId="0">
      <selection activeCell="C24" sqref="C24"/>
    </sheetView>
  </sheetViews>
  <sheetFormatPr defaultRowHeight="14.25" x14ac:dyDescent="0.45"/>
  <cols>
    <col min="2" max="2" width="18.796875" customWidth="1"/>
    <col min="3" max="3" width="28.46484375" customWidth="1"/>
    <col min="4" max="4" width="16" customWidth="1"/>
    <col min="6" max="6" width="19.265625" customWidth="1"/>
    <col min="9" max="9" width="13.796875" bestFit="1" customWidth="1"/>
    <col min="11" max="11" width="26.73046875" customWidth="1"/>
    <col min="12" max="12" width="17.53125" customWidth="1"/>
    <col min="13" max="13" width="18" customWidth="1"/>
  </cols>
  <sheetData>
    <row r="2" spans="2:13" x14ac:dyDescent="0.45">
      <c r="B2" t="s">
        <v>39</v>
      </c>
      <c r="C2" s="19" t="s">
        <v>40</v>
      </c>
    </row>
    <row r="3" spans="2:13" x14ac:dyDescent="0.45">
      <c r="B3" t="s">
        <v>41</v>
      </c>
      <c r="C3" s="19"/>
      <c r="D3" t="s">
        <v>42</v>
      </c>
      <c r="E3" s="22">
        <v>0.375</v>
      </c>
    </row>
    <row r="4" spans="2:13" x14ac:dyDescent="0.45">
      <c r="B4" t="s">
        <v>43</v>
      </c>
    </row>
    <row r="5" spans="2:13" x14ac:dyDescent="0.45">
      <c r="B5" t="s">
        <v>44</v>
      </c>
      <c r="C5" s="19">
        <v>5</v>
      </c>
    </row>
    <row r="6" spans="2:13" x14ac:dyDescent="0.45">
      <c r="B6" t="s">
        <v>45</v>
      </c>
      <c r="C6" s="19">
        <v>0</v>
      </c>
      <c r="K6" s="1" t="s">
        <v>46</v>
      </c>
      <c r="L6" s="10"/>
      <c r="M6" s="2"/>
    </row>
    <row r="7" spans="2:13" x14ac:dyDescent="0.45">
      <c r="K7" s="3" t="s">
        <v>47</v>
      </c>
      <c r="L7" s="4" t="s">
        <v>48</v>
      </c>
      <c r="M7" s="6"/>
    </row>
    <row r="8" spans="2:13" x14ac:dyDescent="0.45">
      <c r="B8" t="str">
        <f>"Queue Length Estimation: " &amp; C2</f>
        <v>Queue Length Estimation: Mount Street, Burleigh Heads</v>
      </c>
      <c r="K8" s="7"/>
      <c r="L8" s="9" t="s">
        <v>49</v>
      </c>
      <c r="M8" s="9" t="s">
        <v>50</v>
      </c>
    </row>
    <row r="9" spans="2:13" x14ac:dyDescent="0.45">
      <c r="B9" s="4" t="s">
        <v>51</v>
      </c>
      <c r="C9" s="5"/>
      <c r="D9" s="5" t="s">
        <v>44</v>
      </c>
      <c r="E9" s="6" t="s">
        <v>45</v>
      </c>
      <c r="K9" s="11">
        <v>2</v>
      </c>
      <c r="L9" s="11">
        <v>2.4</v>
      </c>
      <c r="M9" s="11">
        <v>8</v>
      </c>
    </row>
    <row r="10" spans="2:13" x14ac:dyDescent="0.45">
      <c r="B10" s="1" t="s">
        <v>52</v>
      </c>
      <c r="C10" s="7" t="s">
        <v>53</v>
      </c>
      <c r="D10" s="8">
        <v>3</v>
      </c>
      <c r="E10" s="7">
        <f>C6</f>
        <v>0</v>
      </c>
      <c r="K10" s="11">
        <v>5</v>
      </c>
      <c r="L10" s="11">
        <v>6</v>
      </c>
      <c r="M10" s="11">
        <v>20</v>
      </c>
    </row>
    <row r="11" spans="2:13" x14ac:dyDescent="0.45">
      <c r="B11" s="8" t="s">
        <v>54</v>
      </c>
      <c r="C11" s="9" t="s">
        <v>55</v>
      </c>
      <c r="D11" s="15">
        <f>ROUNDUP(D10*$L$9+E10*M9, 0)</f>
        <v>8</v>
      </c>
      <c r="E11" s="7"/>
      <c r="K11" s="11">
        <v>10</v>
      </c>
      <c r="L11" s="11">
        <v>12</v>
      </c>
      <c r="M11" s="11">
        <v>40</v>
      </c>
    </row>
    <row r="12" spans="2:13" x14ac:dyDescent="0.45">
      <c r="B12" s="8" t="s">
        <v>56</v>
      </c>
      <c r="C12" s="9" t="s">
        <v>55</v>
      </c>
      <c r="D12" s="8">
        <f>ROUNDUP(D10*$L$10+E10*M10, 0)</f>
        <v>18</v>
      </c>
      <c r="E12" s="7"/>
      <c r="K12" s="11">
        <v>15</v>
      </c>
      <c r="L12" s="11">
        <v>18</v>
      </c>
      <c r="M12" s="11">
        <v>60</v>
      </c>
    </row>
    <row r="13" spans="2:13" x14ac:dyDescent="0.45">
      <c r="B13" s="8" t="s">
        <v>57</v>
      </c>
      <c r="C13" s="9" t="s">
        <v>55</v>
      </c>
      <c r="D13" s="8">
        <f>ROUNDUP(D10*$L$11+E10*M11, 0)</f>
        <v>36</v>
      </c>
      <c r="E13" s="7"/>
      <c r="K13" s="7">
        <v>30</v>
      </c>
      <c r="L13" s="7">
        <v>36</v>
      </c>
      <c r="M13" s="7">
        <v>120</v>
      </c>
    </row>
    <row r="14" spans="2:13" x14ac:dyDescent="0.45">
      <c r="B14" s="8" t="s">
        <v>58</v>
      </c>
      <c r="C14" s="9" t="s">
        <v>55</v>
      </c>
      <c r="D14" s="8">
        <f>ROUNDUP(D10*$L$12+E10*M12, 0)</f>
        <v>54</v>
      </c>
      <c r="E14" s="7"/>
    </row>
    <row r="15" spans="2:13" x14ac:dyDescent="0.45">
      <c r="K15" t="s">
        <v>59</v>
      </c>
    </row>
    <row r="16" spans="2:13" x14ac:dyDescent="0.45">
      <c r="K16" s="4" t="str">
        <f>"Traffic Impact Analysis - " &amp; C2</f>
        <v>Traffic Impact Analysis - Mount Street, Burleigh Heads</v>
      </c>
      <c r="L16" s="5"/>
      <c r="M16" s="6"/>
    </row>
    <row r="17" spans="2:13" x14ac:dyDescent="0.45">
      <c r="K17" s="3"/>
      <c r="L17" s="17"/>
      <c r="M17" s="9"/>
    </row>
    <row r="18" spans="2:13" x14ac:dyDescent="0.45">
      <c r="K18" s="12" t="s">
        <v>60</v>
      </c>
      <c r="L18" s="32">
        <f>IF(ROUNDUP(0.12*C5/2,0)&lt;=500, 500,ROUNDUP(0.12*C5/2,0))</f>
        <v>500</v>
      </c>
      <c r="M18" s="33"/>
    </row>
    <row r="19" spans="2:13" x14ac:dyDescent="0.45">
      <c r="B19" s="20" t="s">
        <v>61</v>
      </c>
      <c r="C19" s="20"/>
      <c r="D19" s="21"/>
      <c r="E19" s="20"/>
      <c r="F19" s="20"/>
      <c r="K19" s="13" t="s">
        <v>62</v>
      </c>
      <c r="L19" s="18" t="s">
        <v>63</v>
      </c>
      <c r="M19" s="23" t="s">
        <v>64</v>
      </c>
    </row>
    <row r="20" spans="2:13" x14ac:dyDescent="0.45">
      <c r="B20" s="20" t="s">
        <v>65</v>
      </c>
      <c r="C20" s="20"/>
      <c r="D20" s="20"/>
      <c r="E20" s="20"/>
      <c r="F20" s="20"/>
      <c r="K20" s="9" t="s">
        <v>66</v>
      </c>
      <c r="L20" s="30">
        <f>SUM(C23)/L18</f>
        <v>0.24399999999999999</v>
      </c>
      <c r="M20" s="30">
        <f>SUM(C22)/L18</f>
        <v>0.12</v>
      </c>
    </row>
    <row r="21" spans="2:13" x14ac:dyDescent="0.45">
      <c r="B21" s="20" t="s">
        <v>67</v>
      </c>
      <c r="C21" s="20">
        <f>SUM(C5:C6)</f>
        <v>5</v>
      </c>
      <c r="D21" s="20"/>
      <c r="E21" s="20"/>
      <c r="F21" s="20"/>
      <c r="K21" s="9" t="s">
        <v>68</v>
      </c>
      <c r="L21" s="31">
        <f>2*C23/L18</f>
        <v>0.48799999999999999</v>
      </c>
      <c r="M21" s="31">
        <f>2*C22/L18</f>
        <v>0.24</v>
      </c>
    </row>
    <row r="22" spans="2:13" x14ac:dyDescent="0.45">
      <c r="B22" s="20" t="s">
        <v>69</v>
      </c>
      <c r="C22" s="20">
        <f>60*C21/5</f>
        <v>60</v>
      </c>
      <c r="D22" s="20"/>
      <c r="E22" s="20"/>
      <c r="F22" s="20"/>
    </row>
    <row r="23" spans="2:13" x14ac:dyDescent="0.45">
      <c r="B23" s="20" t="s">
        <v>70</v>
      </c>
      <c r="C23" s="20">
        <f>ROUNDUP((100*C22/42)*85%,0)</f>
        <v>122</v>
      </c>
      <c r="D23" s="20"/>
      <c r="E23" s="20"/>
      <c r="F23" s="20"/>
      <c r="K23" t="s">
        <v>71</v>
      </c>
    </row>
    <row r="24" spans="2:13" ht="42.75" x14ac:dyDescent="0.45">
      <c r="B24" s="20" t="s">
        <v>72</v>
      </c>
      <c r="C24" s="20">
        <f>ROUNDUP(((100*C23/85)*100)/12,0)</f>
        <v>1197</v>
      </c>
      <c r="D24" s="20"/>
      <c r="E24" s="21" t="s">
        <v>73</v>
      </c>
      <c r="F24" s="21" t="s">
        <v>74</v>
      </c>
      <c r="G24" s="14"/>
    </row>
    <row r="26" spans="2:13" x14ac:dyDescent="0.45">
      <c r="K26" s="24" t="s">
        <v>75</v>
      </c>
    </row>
    <row r="27" spans="2:13" x14ac:dyDescent="0.45">
      <c r="K27" s="25" t="s">
        <v>76</v>
      </c>
    </row>
    <row r="28" spans="2:13" x14ac:dyDescent="0.45">
      <c r="K28" s="26" t="s">
        <v>77</v>
      </c>
    </row>
    <row r="29" spans="2:13" x14ac:dyDescent="0.45">
      <c r="K29" s="27" t="s">
        <v>78</v>
      </c>
    </row>
    <row r="30" spans="2:13" x14ac:dyDescent="0.45">
      <c r="K30" s="28" t="s">
        <v>79</v>
      </c>
    </row>
    <row r="31" spans="2:13" x14ac:dyDescent="0.45">
      <c r="D31" t="s">
        <v>81</v>
      </c>
      <c r="E31" t="s">
        <v>82</v>
      </c>
      <c r="K31" s="29" t="s">
        <v>80</v>
      </c>
    </row>
    <row r="32" spans="2:13" x14ac:dyDescent="0.45">
      <c r="D32" t="s">
        <v>83</v>
      </c>
      <c r="E32" t="s">
        <v>84</v>
      </c>
    </row>
    <row r="33" spans="4:5" x14ac:dyDescent="0.45">
      <c r="D33" t="s">
        <v>85</v>
      </c>
      <c r="E33" t="s">
        <v>86</v>
      </c>
    </row>
  </sheetData>
  <mergeCells count="1">
    <mergeCell ref="L18:M18"/>
  </mergeCells>
  <conditionalFormatting sqref="L20:M21">
    <cfRule type="cellIs" dxfId="5" priority="1" operator="greaterThan">
      <formula>1</formula>
    </cfRule>
    <cfRule type="cellIs" dxfId="4" priority="2" operator="between">
      <formula>0.9501</formula>
      <formula>1</formula>
    </cfRule>
    <cfRule type="cellIs" dxfId="3" priority="3" operator="between">
      <formula>0.901</formula>
      <formula>0.95</formula>
    </cfRule>
    <cfRule type="cellIs" dxfId="2" priority="4" operator="between">
      <formula>0.701</formula>
      <formula>0.9</formula>
    </cfRule>
    <cfRule type="cellIs" dxfId="1" priority="5" operator="between">
      <formula>0.601</formula>
      <formula>0.7</formula>
    </cfRule>
    <cfRule type="cellIs" dxfId="0" priority="6" operator="lessThanOrEqual">
      <formula>0.6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EAD33DB93F6643B5E4B915BBA7E8AF" ma:contentTypeVersion="17" ma:contentTypeDescription="Create a new document." ma:contentTypeScope="" ma:versionID="7ad55d5171f7e506aaed4f9651f71c2b">
  <xsd:schema xmlns:xsd="http://www.w3.org/2001/XMLSchema" xmlns:xs="http://www.w3.org/2001/XMLSchema" xmlns:p="http://schemas.microsoft.com/office/2006/metadata/properties" xmlns:ns2="8711479e-22cc-4292-8fef-f5f9981cbf5f" xmlns:ns3="f8379a8f-d036-43dd-b2ba-323d65615330" targetNamespace="http://schemas.microsoft.com/office/2006/metadata/properties" ma:root="true" ma:fieldsID="f4e76770e29bb19adc5ce8f87309d151" ns2:_="" ns3:_="">
    <xsd:import namespace="8711479e-22cc-4292-8fef-f5f9981cbf5f"/>
    <xsd:import namespace="f8379a8f-d036-43dd-b2ba-323d6561533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Tim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1479e-22cc-4292-8fef-f5f9981cbf5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4ac8523-2513-4720-b220-18e836937b27}" ma:internalName="TaxCatchAll" ma:showField="CatchAllData" ma:web="8711479e-22cc-4292-8fef-f5f9981cbf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9a8f-d036-43dd-b2ba-323d656153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7de70af-5b9d-49a8-8399-5553384e22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ime" ma:index="23" nillable="true" ma:displayName="Time" ma:format="DateOnly" ma:internalName="Time">
      <xsd:simpleType>
        <xsd:restriction base="dms:DateTim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11479e-22cc-4292-8fef-f5f9981cbf5f" xsi:nil="true"/>
    <lcf76f155ced4ddcb4097134ff3c332f xmlns="f8379a8f-d036-43dd-b2ba-323d65615330">
      <Terms xmlns="http://schemas.microsoft.com/office/infopath/2007/PartnerControls"/>
    </lcf76f155ced4ddcb4097134ff3c332f>
    <Time xmlns="f8379a8f-d036-43dd-b2ba-323d65615330" xsi:nil="true"/>
  </documentManagement>
</p:properties>
</file>

<file path=customXml/itemProps1.xml><?xml version="1.0" encoding="utf-8"?>
<ds:datastoreItem xmlns:ds="http://schemas.openxmlformats.org/officeDocument/2006/customXml" ds:itemID="{588269AB-A1D8-48E7-9C99-631E56E9AA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2793DA-4E02-4473-8296-D0378EA5A724}"/>
</file>

<file path=customXml/itemProps3.xml><?xml version="1.0" encoding="utf-8"?>
<ds:datastoreItem xmlns:ds="http://schemas.openxmlformats.org/officeDocument/2006/customXml" ds:itemID="{78E58B7A-AD5D-4F63-BCDC-66129FEE3C1D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5DAADD0D-2B11-43E9-8F00-8E61CBC51CA5}">
  <ds:schemaRefs>
    <ds:schemaRef ds:uri="http://schemas.microsoft.com/office/2006/metadata/properties"/>
    <ds:schemaRef ds:uri="http://schemas.microsoft.com/office/infopath/2007/PartnerControls"/>
    <ds:schemaRef ds:uri="8711479e-22cc-4292-8fef-f5f9981cbf5f"/>
    <ds:schemaRef ds:uri="f8379a8f-d036-43dd-b2ba-323d656153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road network</vt:lpstr>
      <vt:lpstr>survey results</vt:lpstr>
      <vt:lpstr>Sheet1</vt:lpstr>
      <vt:lpstr>DIR2_</vt:lpstr>
      <vt:lpstr>Row_Number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Anthony</dc:creator>
  <cp:keywords/>
  <dc:description/>
  <cp:lastModifiedBy>Aaron Anthony</cp:lastModifiedBy>
  <cp:revision/>
  <dcterms:created xsi:type="dcterms:W3CDTF">2021-11-26T10:13:03Z</dcterms:created>
  <dcterms:modified xsi:type="dcterms:W3CDTF">2026-02-11T23:31:40Z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0x0101002DEAD33DB93F6643B5E4B915BBA7E8AF</vt:lpwstr>
  </property>
  <property fmtid="{D5CDD505-2E9C-101B-9397-08002B2CF9AE}" pid="3" name="Order">
    <vt:r8>1211200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