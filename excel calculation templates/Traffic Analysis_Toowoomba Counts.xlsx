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romptonconcepts.sharepoint.com/Shared Documents/Clients/Planning Templates/Traffic Counts/"/>
    </mc:Choice>
  </mc:AlternateContent>
  <xr:revisionPtr revIDLastSave="22" documentId="13_ncr:1_{3F5E0FB0-AC94-4DAD-9B95-89DC81CE320D}" xr6:coauthVersionLast="47" xr6:coauthVersionMax="47" xr10:uidLastSave="{DE3A2E83-50BF-4A33-AA83-8FBC4CF9D08A}"/>
  <bookViews>
    <workbookView minimized="1" xWindow="72225" yWindow="5970" windowWidth="3870" windowHeight="3000" firstSheet="1" activeTab="1" xr2:uid="{9E17E789-F33A-4926-A2CE-4097E3D962E5}"/>
  </bookViews>
  <sheets>
    <sheet name="Meta Data" sheetId="33" r:id="rId1"/>
    <sheet name="TIA - Hospital" sheetId="22" r:id="rId2"/>
  </sheets>
  <definedNames>
    <definedName name="DIR1_" localSheetId="1">'TIA - Hospital'!#REF!</definedName>
    <definedName name="DIR1_">#REF!</definedName>
    <definedName name="DIR2_" localSheetId="1">'TIA - Hospital'!#REF!</definedName>
    <definedName name="DIR2_">#REF!</definedName>
    <definedName name="Road_Type">'TIA - Hospital'!$K$36</definedName>
    <definedName name="Row_Number" localSheetId="1">'TIA - Hospital'!#REF!</definedName>
    <definedName name="Row_Number">#REF!</definedName>
    <definedName name="STREET_NAME" localSheetId="1">'TIA - Hospital'!#REF!</definedName>
    <definedName name="STREET_NAME">#REF!</definedName>
    <definedName name="Type">'TIA - Hospital'!$K$36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2" l="1"/>
  <c r="K7" i="22"/>
  <c r="G7" i="22"/>
  <c r="Y56" i="22"/>
  <c r="L36" i="22"/>
  <c r="L40" i="22" s="1"/>
  <c r="M36" i="22" l="1"/>
  <c r="K43" i="22"/>
  <c r="K45" i="22" s="1"/>
  <c r="K42" i="22"/>
  <c r="K44" i="22" s="1"/>
  <c r="P93" i="22" l="1"/>
  <c r="P94" i="22" s="1"/>
  <c r="P95" i="22" s="1"/>
  <c r="P96" i="22" s="1"/>
  <c r="U56" i="22"/>
  <c r="B10" i="22"/>
  <c r="C12" i="22"/>
  <c r="B9" i="22"/>
  <c r="B17" i="22" l="1"/>
  <c r="K38" i="22"/>
  <c r="B28" i="22"/>
  <c r="G5" i="22"/>
  <c r="I5" i="22" s="1"/>
  <c r="F8" i="22"/>
  <c r="H8" i="22" s="1"/>
  <c r="P80" i="22"/>
  <c r="P81" i="22" s="1"/>
  <c r="P82" i="22" s="1"/>
  <c r="P83" i="22" s="1"/>
  <c r="P67" i="22"/>
  <c r="P68" i="22" s="1"/>
  <c r="P69" i="22" s="1"/>
  <c r="P70" i="22" s="1"/>
  <c r="Z56" i="22"/>
  <c r="AA56" i="22" s="1"/>
  <c r="AB56" i="22" s="1"/>
  <c r="C9" i="22" l="1"/>
  <c r="D10" i="22" s="1"/>
  <c r="K9" i="22"/>
  <c r="H10" i="22" s="1"/>
  <c r="H9" i="22"/>
  <c r="F10" i="22" s="1"/>
  <c r="D30" i="22" l="1"/>
  <c r="E30" i="22"/>
  <c r="E31" i="22" s="1"/>
  <c r="E33" i="22" s="1"/>
  <c r="D19" i="22"/>
  <c r="E19" i="22"/>
  <c r="E20" i="22" s="1"/>
  <c r="E22" i="22" s="1"/>
  <c r="L46" i="22" l="1"/>
  <c r="L45" i="22"/>
  <c r="L44" i="22"/>
  <c r="D31" i="22"/>
  <c r="L43" i="22" s="1"/>
  <c r="D20" i="22"/>
  <c r="L42" i="22" s="1"/>
  <c r="F30" i="22"/>
  <c r="F19" i="22"/>
  <c r="D33" i="22" l="1"/>
  <c r="D22" i="22"/>
  <c r="D26" i="22" s="1"/>
  <c r="F31" i="22"/>
  <c r="F33" i="22" s="1"/>
  <c r="F20" i="22"/>
  <c r="D23" i="22" l="1"/>
  <c r="D24" i="22"/>
  <c r="D25" i="22"/>
  <c r="F22" i="22"/>
  <c r="G19" i="22"/>
  <c r="M44" i="22" l="1"/>
  <c r="G20" i="22"/>
  <c r="G22" i="22" l="1"/>
  <c r="F25" i="22" s="1"/>
  <c r="M42" i="22"/>
  <c r="F26" i="22" l="1"/>
  <c r="F23" i="22"/>
  <c r="F24" i="22"/>
  <c r="D37" i="22"/>
  <c r="D35" i="22"/>
  <c r="D34" i="22"/>
  <c r="D36" i="22"/>
  <c r="G30" i="22" l="1"/>
  <c r="M46" i="22" s="1"/>
  <c r="M45" i="22" l="1"/>
  <c r="G31" i="22"/>
  <c r="G33" i="22" l="1"/>
  <c r="F34" i="22" s="1"/>
  <c r="M43" i="22"/>
  <c r="F36" i="22" l="1"/>
  <c r="F37" i="22"/>
  <c r="F35" i="22"/>
</calcChain>
</file>

<file path=xl/sharedStrings.xml><?xml version="1.0" encoding="utf-8"?>
<sst xmlns="http://schemas.openxmlformats.org/spreadsheetml/2006/main" count="208" uniqueCount="123">
  <si>
    <t>Direction</t>
  </si>
  <si>
    <t>Table A.5: Some conversions factors from short-term counts to AADT estimates</t>
  </si>
  <si>
    <t>North</t>
  </si>
  <si>
    <t>Road types</t>
  </si>
  <si>
    <t>Day factors</t>
  </si>
  <si>
    <t>South</t>
  </si>
  <si>
    <t>Mon</t>
  </si>
  <si>
    <t>Tue</t>
  </si>
  <si>
    <t>Wed</t>
  </si>
  <si>
    <t>Thu</t>
  </si>
  <si>
    <t>Fri</t>
  </si>
  <si>
    <t>Sat</t>
  </si>
  <si>
    <t>Sun</t>
  </si>
  <si>
    <t>East</t>
  </si>
  <si>
    <t>Urban arterial 1 (Capital City)</t>
  </si>
  <si>
    <t>West</t>
  </si>
  <si>
    <t>Urban arterial 1 (Other)</t>
  </si>
  <si>
    <t>Urban arterial 2 (Capital City)</t>
  </si>
  <si>
    <t>Urban arterial 2 (Others)</t>
  </si>
  <si>
    <t>Urban CBD (Capital City)</t>
  </si>
  <si>
    <t>Urban industrial (Others)</t>
  </si>
  <si>
    <t>Rural urban fringe</t>
  </si>
  <si>
    <t>Rural strategic 1</t>
  </si>
  <si>
    <t>Rural strategic 2</t>
  </si>
  <si>
    <t>Type</t>
  </si>
  <si>
    <t>Volume</t>
  </si>
  <si>
    <t>Rural recreation summer</t>
  </si>
  <si>
    <t>Two Lane Urban</t>
  </si>
  <si>
    <t>Rural recreation winter</t>
  </si>
  <si>
    <t>Collector Street</t>
  </si>
  <si>
    <t>Local Street</t>
  </si>
  <si>
    <t>Part-day factors for typical Monday–Thursday</t>
  </si>
  <si>
    <t>7–9am</t>
  </si>
  <si>
    <t>9am–12pm</t>
  </si>
  <si>
    <t>1–4pm</t>
  </si>
  <si>
    <t>4–6pm</t>
  </si>
  <si>
    <t>Urban arterial (Capital City)</t>
  </si>
  <si>
    <t>Urban arterial (Others)</t>
  </si>
  <si>
    <t>Data Source</t>
  </si>
  <si>
    <t>https://maps.tr.qld.gov.au/WAB/TTM_Road_Category/</t>
  </si>
  <si>
    <t>Street</t>
  </si>
  <si>
    <t>Perseverance Dam Rd</t>
  </si>
  <si>
    <t>Count Date (dd/mm/yyyy)</t>
  </si>
  <si>
    <t>Day of Week</t>
  </si>
  <si>
    <t>DOW factor</t>
  </si>
  <si>
    <t>Road Type</t>
  </si>
  <si>
    <t>ADT</t>
  </si>
  <si>
    <t>Direction 1</t>
  </si>
  <si>
    <t>Count</t>
  </si>
  <si>
    <t>Direction 2</t>
  </si>
  <si>
    <t>Count Location</t>
  </si>
  <si>
    <t>Count Year</t>
  </si>
  <si>
    <t>Number of years</t>
  </si>
  <si>
    <t>Growth Rate</t>
  </si>
  <si>
    <t>AADT</t>
  </si>
  <si>
    <t>Road Name</t>
  </si>
  <si>
    <t>CV%</t>
  </si>
  <si>
    <t>Number of Lanes Direction 1</t>
  </si>
  <si>
    <t>Number of Lanes Direction 2</t>
  </si>
  <si>
    <t>80th Highest Hour
(Peak traffic estimate)</t>
  </si>
  <si>
    <t>CV</t>
  </si>
  <si>
    <t>Off-peak traffic
(Estimated Highest Hour - 42% of remaining volume)</t>
  </si>
  <si>
    <t>Hourly Average</t>
  </si>
  <si>
    <t>Hourly Average per Lane</t>
  </si>
  <si>
    <t>Queue length estimation</t>
  </si>
  <si>
    <t>per 5 mins</t>
  </si>
  <si>
    <t>2 mins. Queue</t>
  </si>
  <si>
    <t>Length (m)</t>
  </si>
  <si>
    <t>5 mins. Queue</t>
  </si>
  <si>
    <t>10 mins. Queue</t>
  </si>
  <si>
    <t>15 mins. Queue</t>
  </si>
  <si>
    <t>GCCC Daily Limit</t>
  </si>
  <si>
    <t>VPD</t>
  </si>
  <si>
    <t>Design Capacity</t>
  </si>
  <si>
    <t>LOS A (x&lt;=0.6)</t>
  </si>
  <si>
    <t>LOS B (0.6 &lt; x &lt;= 0.7)</t>
  </si>
  <si>
    <t>Queue Length factors</t>
  </si>
  <si>
    <t>Design Volume (Capacity) *</t>
  </si>
  <si>
    <t>LOS C (0.7 &lt; x &lt;= 0.9)</t>
  </si>
  <si>
    <t>Maximum stopping time (minutes)</t>
  </si>
  <si>
    <t>Multiplier</t>
  </si>
  <si>
    <t>VCR (Degree of Saturation)</t>
  </si>
  <si>
    <t>Peak</t>
  </si>
  <si>
    <t>Off-Peak</t>
  </si>
  <si>
    <t>LOS D (0.9 &lt; x &lt;= 0.95)</t>
  </si>
  <si>
    <t>Ma</t>
  </si>
  <si>
    <t>Mo</t>
  </si>
  <si>
    <t>LOS E (0.95 &lt; x &lt;= 1)</t>
  </si>
  <si>
    <t>LOS F ( 1 &lt; x)</t>
  </si>
  <si>
    <t>Pedestrian Delay:</t>
  </si>
  <si>
    <t>Single Lane Reversible Flow</t>
  </si>
  <si>
    <t>Assumptions:</t>
  </si>
  <si>
    <t>Pedestrian travel speed:</t>
  </si>
  <si>
    <t>m/s</t>
  </si>
  <si>
    <t>* Greater of 30th Highest Hour of AADT or 500</t>
  </si>
  <si>
    <t>Approximate expected delay time at the crossings:</t>
  </si>
  <si>
    <t>s</t>
  </si>
  <si>
    <t>Estimated Maximum Pedestrian Delay</t>
  </si>
  <si>
    <t>Distance (m)</t>
  </si>
  <si>
    <t>No. of Crossings</t>
  </si>
  <si>
    <t>Time (s)</t>
  </si>
  <si>
    <t>Added Delay (s)</t>
  </si>
  <si>
    <t>Added Delay (mins)</t>
  </si>
  <si>
    <t>Existing Route</t>
  </si>
  <si>
    <t>Detoured Route</t>
  </si>
  <si>
    <t>Estimated Delay - Detour route (Albatross Ave Traffic)</t>
  </si>
  <si>
    <t>Detour Route</t>
  </si>
  <si>
    <t>km</t>
  </si>
  <si>
    <t>(approx.)</t>
  </si>
  <si>
    <t># controlled intersections</t>
  </si>
  <si>
    <t># uncontrolled intersections</t>
  </si>
  <si>
    <t>Delay @ uncontrolled intersections</t>
  </si>
  <si>
    <t>(assumed)</t>
  </si>
  <si>
    <t>Delay @ controlled intersections</t>
  </si>
  <si>
    <t>avg. speed</t>
  </si>
  <si>
    <t>km/hr</t>
  </si>
  <si>
    <t>travel time</t>
  </si>
  <si>
    <t>hrs</t>
  </si>
  <si>
    <t>total time</t>
  </si>
  <si>
    <t>minutes</t>
  </si>
  <si>
    <t>(Estimated)</t>
  </si>
  <si>
    <t>Estimated Delay - Detour route (Wave St Traffic)</t>
  </si>
  <si>
    <t>Estimated Delay - Detour route (Surf St Traffic)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</si>
</sst>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2" borderId="10" xfId="0" applyFill="1" applyBorder="1"/>
    <xf numFmtId="164" fontId="0" fillId="0" borderId="0" xfId="0" applyNumberFormat="1"/>
    <xf numFmtId="0" fontId="2" fillId="5" borderId="1" xfId="0" applyFont="1" applyFill="1" applyBorder="1"/>
    <xf numFmtId="0" fontId="3" fillId="6" borderId="6" xfId="0" applyFont="1" applyFill="1" applyBorder="1"/>
    <xf numFmtId="0" fontId="3" fillId="6" borderId="5" xfId="0" applyFont="1" applyFill="1" applyBorder="1"/>
    <xf numFmtId="0" fontId="3" fillId="6" borderId="7" xfId="0" applyFont="1" applyFill="1" applyBorder="1"/>
    <xf numFmtId="0" fontId="3" fillId="6" borderId="5" xfId="0" applyFont="1" applyFill="1" applyBorder="1" applyAlignment="1">
      <alignment horizontal="left"/>
    </xf>
    <xf numFmtId="0" fontId="0" fillId="7" borderId="10" xfId="0" applyFill="1" applyBorder="1"/>
    <xf numFmtId="0" fontId="0" fillId="7" borderId="1" xfId="0" applyFill="1" applyBorder="1"/>
    <xf numFmtId="0" fontId="1" fillId="5" borderId="5" xfId="0" applyFont="1" applyFill="1" applyBorder="1"/>
    <xf numFmtId="0" fontId="0" fillId="5" borderId="6" xfId="0" applyFill="1" applyBorder="1"/>
    <xf numFmtId="0" fontId="0" fillId="6" borderId="2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5" xfId="0" applyFill="1" applyBorder="1" applyAlignment="1">
      <alignment wrapText="1"/>
    </xf>
    <xf numFmtId="0" fontId="0" fillId="6" borderId="7" xfId="0" applyFill="1" applyBorder="1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1" fillId="4" borderId="5" xfId="0" applyFont="1" applyFill="1" applyBorder="1"/>
    <xf numFmtId="0" fontId="0" fillId="7" borderId="4" xfId="0" applyFill="1" applyBorder="1"/>
    <xf numFmtId="0" fontId="0" fillId="7" borderId="12" xfId="0" applyFill="1" applyBorder="1"/>
    <xf numFmtId="0" fontId="0" fillId="7" borderId="9" xfId="0" applyFill="1" applyBorder="1"/>
    <xf numFmtId="0" fontId="0" fillId="0" borderId="14" xfId="0" applyBorder="1"/>
    <xf numFmtId="0" fontId="1" fillId="4" borderId="6" xfId="0" applyFont="1" applyFill="1" applyBorder="1"/>
    <xf numFmtId="0" fontId="1" fillId="4" borderId="7" xfId="0" applyFont="1" applyFill="1" applyBorder="1"/>
    <xf numFmtId="0" fontId="0" fillId="7" borderId="8" xfId="0" applyFill="1" applyBorder="1"/>
    <xf numFmtId="0" fontId="1" fillId="4" borderId="11" xfId="0" applyFont="1" applyFill="1" applyBorder="1"/>
    <xf numFmtId="0" fontId="1" fillId="4" borderId="3" xfId="0" applyFont="1" applyFill="1" applyBorder="1"/>
    <xf numFmtId="0" fontId="0" fillId="0" borderId="13" xfId="0" applyBorder="1"/>
    <xf numFmtId="2" fontId="0" fillId="0" borderId="8" xfId="0" applyNumberFormat="1" applyBorder="1"/>
    <xf numFmtId="0" fontId="0" fillId="9" borderId="4" xfId="0" applyFill="1" applyBorder="1" applyAlignment="1">
      <alignment horizontal="center" vertical="center" wrapText="1"/>
    </xf>
    <xf numFmtId="0" fontId="0" fillId="9" borderId="12" xfId="0" applyFill="1" applyBorder="1"/>
    <xf numFmtId="0" fontId="0" fillId="6" borderId="4" xfId="0" applyFill="1" applyBorder="1" applyAlignment="1">
      <alignment horizontal="center" vertical="center" wrapText="1"/>
    </xf>
    <xf numFmtId="0" fontId="0" fillId="6" borderId="12" xfId="0" applyFill="1" applyBorder="1"/>
    <xf numFmtId="0" fontId="0" fillId="6" borderId="1" xfId="0" applyFill="1" applyBorder="1"/>
    <xf numFmtId="0" fontId="0" fillId="6" borderId="9" xfId="0" applyFill="1" applyBorder="1"/>
    <xf numFmtId="0" fontId="1" fillId="4" borderId="2" xfId="0" applyFont="1" applyFill="1" applyBorder="1"/>
    <xf numFmtId="165" fontId="0" fillId="0" borderId="10" xfId="0" applyNumberFormat="1" applyBorder="1"/>
    <xf numFmtId="14" fontId="0" fillId="0" borderId="0" xfId="0" applyNumberFormat="1"/>
    <xf numFmtId="0" fontId="0" fillId="0" borderId="6" xfId="0" applyBorder="1"/>
    <xf numFmtId="0" fontId="0" fillId="10" borderId="6" xfId="0" applyFill="1" applyBorder="1"/>
    <xf numFmtId="2" fontId="0" fillId="0" borderId="6" xfId="0" applyNumberFormat="1" applyBorder="1"/>
    <xf numFmtId="14" fontId="0" fillId="0" borderId="8" xfId="0" applyNumberFormat="1" applyBorder="1"/>
    <xf numFmtId="0" fontId="2" fillId="10" borderId="6" xfId="0" applyFont="1" applyFill="1" applyBorder="1"/>
    <xf numFmtId="0" fontId="3" fillId="10" borderId="6" xfId="0" applyFont="1" applyFill="1" applyBorder="1"/>
    <xf numFmtId="0" fontId="1" fillId="5" borderId="1" xfId="0" applyFont="1" applyFill="1" applyBorder="1"/>
    <xf numFmtId="0" fontId="3" fillId="5" borderId="1" xfId="0" applyFont="1" applyFill="1" applyBorder="1"/>
    <xf numFmtId="0" fontId="5" fillId="0" borderId="5" xfId="1" applyBorder="1"/>
    <xf numFmtId="0" fontId="4" fillId="11" borderId="1" xfId="0" applyFont="1" applyFill="1" applyBorder="1"/>
    <xf numFmtId="0" fontId="4" fillId="11" borderId="6" xfId="0" applyFont="1" applyFill="1" applyBorder="1"/>
    <xf numFmtId="0" fontId="4" fillId="11" borderId="5" xfId="0" applyFont="1" applyFill="1" applyBorder="1"/>
    <xf numFmtId="0" fontId="2" fillId="8" borderId="5" xfId="0" applyFont="1" applyFill="1" applyBorder="1"/>
    <xf numFmtId="0" fontId="0" fillId="8" borderId="6" xfId="0" applyFill="1" applyBorder="1"/>
    <xf numFmtId="0" fontId="0" fillId="8" borderId="7" xfId="0" applyFill="1" applyBorder="1"/>
    <xf numFmtId="0" fontId="0" fillId="5" borderId="7" xfId="0" applyFill="1" applyBorder="1"/>
    <xf numFmtId="0" fontId="0" fillId="9" borderId="12" xfId="0" applyFill="1" applyBorder="1" applyAlignment="1">
      <alignment horizontal="centerContinuous" vertical="center" wrapText="1"/>
    </xf>
    <xf numFmtId="0" fontId="0" fillId="9" borderId="9" xfId="0" applyFill="1" applyBorder="1" applyAlignment="1">
      <alignment horizontal="centerContinuous" vertical="center" wrapText="1"/>
    </xf>
    <xf numFmtId="1" fontId="0" fillId="0" borderId="8" xfId="0" applyNumberFormat="1" applyBorder="1"/>
    <xf numFmtId="0" fontId="0" fillId="6" borderId="2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2" fontId="0" fillId="0" borderId="4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17" borderId="6" xfId="0" applyFill="1" applyBorder="1"/>
    <xf numFmtId="14" fontId="0" fillId="17" borderId="6" xfId="0" applyNumberFormat="1" applyFill="1" applyBorder="1"/>
    <xf numFmtId="3" fontId="0" fillId="17" borderId="6" xfId="0" applyNumberFormat="1" applyFill="1" applyBorder="1"/>
    <xf numFmtId="0" fontId="0" fillId="17" borderId="5" xfId="0" applyFill="1" applyBorder="1"/>
    <xf numFmtId="0" fontId="0" fillId="6" borderId="3" xfId="0" applyFill="1" applyBorder="1"/>
    <xf numFmtId="0" fontId="4" fillId="0" borderId="6" xfId="0" applyFont="1" applyBorder="1"/>
    <xf numFmtId="0" fontId="0" fillId="6" borderId="10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6"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9390D-5667-48A8-B7E5-CDE5B1086BB6}" name="CoGC_Limit" displayName="CoGC_Limit" ref="P14:Q17" totalsRowShown="0">
  <autoFilter ref="P14:Q17" xr:uid="{D499390D-5667-48A8-B7E5-CDE5B1086BB6}"/>
  <tableColumns count="2">
    <tableColumn id="1" xr3:uid="{14013169-7FDD-4BD0-B7AD-203844D5A158}" name="Type"/>
    <tableColumn id="2" xr3:uid="{A020AFFF-AE5E-4233-A8CD-5C10D5575187}" name="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tr.qld.gov.au/WAB/TTM_Road_Catego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05EE-91EC-46A0-9DEA-BFE72E08E600}">
  <sheetPr codeName="Sheet1"/>
  <dimension ref="C2:R28"/>
  <sheetViews>
    <sheetView workbookViewId="0">
      <selection activeCell="D20" sqref="D20"/>
    </sheetView>
  </sheetViews>
  <sheetFormatPr defaultRowHeight="14.25"/>
  <cols>
    <col min="3" max="3" width="26.85546875" customWidth="1"/>
    <col min="16" max="16" width="13.5703125" bestFit="1" customWidth="1"/>
    <col min="18" max="18" width="9.140625" bestFit="1" customWidth="1"/>
  </cols>
  <sheetData>
    <row r="2" spans="3:17">
      <c r="M2" t="s">
        <v>0</v>
      </c>
    </row>
    <row r="3" spans="3:17">
      <c r="C3" t="s">
        <v>1</v>
      </c>
      <c r="M3" t="s">
        <v>2</v>
      </c>
    </row>
    <row r="4" spans="3:17">
      <c r="C4" t="s">
        <v>3</v>
      </c>
      <c r="D4" t="s">
        <v>4</v>
      </c>
      <c r="M4" t="s">
        <v>5</v>
      </c>
    </row>
    <row r="5" spans="3:17"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M5" t="s">
        <v>13</v>
      </c>
    </row>
    <row r="6" spans="3:17">
      <c r="C6" t="s">
        <v>14</v>
      </c>
      <c r="D6">
        <v>0.98</v>
      </c>
      <c r="E6">
        <v>0.95</v>
      </c>
      <c r="F6">
        <v>0.93</v>
      </c>
      <c r="G6">
        <v>0.92</v>
      </c>
      <c r="H6">
        <v>0.88</v>
      </c>
      <c r="I6">
        <v>1.17</v>
      </c>
      <c r="J6">
        <v>1.37</v>
      </c>
      <c r="M6" t="s">
        <v>15</v>
      </c>
    </row>
    <row r="7" spans="3:17">
      <c r="C7" t="s">
        <v>16</v>
      </c>
      <c r="D7">
        <v>1.01</v>
      </c>
      <c r="E7">
        <v>0.98</v>
      </c>
      <c r="F7">
        <v>0.95</v>
      </c>
      <c r="G7">
        <v>0.94</v>
      </c>
      <c r="H7">
        <v>0.89</v>
      </c>
      <c r="I7">
        <v>1.0900000000000001</v>
      </c>
      <c r="J7">
        <v>1.24</v>
      </c>
    </row>
    <row r="8" spans="3:17">
      <c r="C8" t="s">
        <v>17</v>
      </c>
      <c r="D8">
        <v>0.99</v>
      </c>
      <c r="E8">
        <v>0.96</v>
      </c>
      <c r="F8">
        <v>0.95</v>
      </c>
      <c r="G8">
        <v>0.93</v>
      </c>
      <c r="H8">
        <v>0.89</v>
      </c>
      <c r="I8">
        <v>1.1299999999999999</v>
      </c>
      <c r="J8">
        <v>1.31</v>
      </c>
    </row>
    <row r="9" spans="3:17">
      <c r="C9" t="s">
        <v>18</v>
      </c>
      <c r="D9">
        <v>1</v>
      </c>
      <c r="E9">
        <v>0.97</v>
      </c>
      <c r="F9">
        <v>0.94</v>
      </c>
      <c r="G9">
        <v>0.93</v>
      </c>
      <c r="H9">
        <v>0.88</v>
      </c>
      <c r="I9">
        <v>1.1100000000000001</v>
      </c>
      <c r="J9">
        <v>1.3</v>
      </c>
    </row>
    <row r="10" spans="3:17">
      <c r="C10" t="s">
        <v>19</v>
      </c>
      <c r="D10">
        <v>1.02</v>
      </c>
      <c r="E10">
        <v>1</v>
      </c>
      <c r="F10">
        <v>0.97</v>
      </c>
      <c r="G10">
        <v>0.94</v>
      </c>
      <c r="H10">
        <v>0.86</v>
      </c>
      <c r="I10">
        <v>1.07</v>
      </c>
      <c r="J10">
        <v>1.34</v>
      </c>
    </row>
    <row r="11" spans="3:17">
      <c r="C11" t="s">
        <v>20</v>
      </c>
      <c r="D11">
        <v>0.85</v>
      </c>
      <c r="E11">
        <v>0.85</v>
      </c>
      <c r="F11">
        <v>0.84</v>
      </c>
      <c r="G11">
        <v>0.84</v>
      </c>
      <c r="H11">
        <v>0.84</v>
      </c>
      <c r="I11">
        <v>1.84</v>
      </c>
      <c r="J11">
        <v>2.66</v>
      </c>
    </row>
    <row r="12" spans="3:17">
      <c r="C12" t="s">
        <v>21</v>
      </c>
      <c r="D12">
        <v>1.1399999999999999</v>
      </c>
      <c r="E12">
        <v>1.1399999999999999</v>
      </c>
      <c r="F12">
        <v>1.1000000000000001</v>
      </c>
      <c r="G12">
        <v>1.07</v>
      </c>
      <c r="H12">
        <v>1.07</v>
      </c>
      <c r="I12">
        <v>0.94</v>
      </c>
      <c r="J12">
        <v>0.86</v>
      </c>
    </row>
    <row r="13" spans="3:17">
      <c r="C13" t="s">
        <v>22</v>
      </c>
      <c r="D13">
        <v>1.05</v>
      </c>
      <c r="E13">
        <v>1.01</v>
      </c>
      <c r="F13">
        <v>0.99</v>
      </c>
      <c r="G13">
        <v>0.97</v>
      </c>
      <c r="H13">
        <v>0.97</v>
      </c>
      <c r="I13">
        <v>1.0900000000000001</v>
      </c>
      <c r="J13">
        <v>1.1000000000000001</v>
      </c>
    </row>
    <row r="14" spans="3:17">
      <c r="C14" t="s">
        <v>23</v>
      </c>
      <c r="D14">
        <v>1.1100000000000001</v>
      </c>
      <c r="E14">
        <v>1.1399999999999999</v>
      </c>
      <c r="F14">
        <v>1.1000000000000001</v>
      </c>
      <c r="G14">
        <v>1.05</v>
      </c>
      <c r="H14">
        <v>1.05</v>
      </c>
      <c r="I14">
        <v>1.03</v>
      </c>
      <c r="J14">
        <v>0.91</v>
      </c>
      <c r="P14" t="s">
        <v>24</v>
      </c>
      <c r="Q14" t="s">
        <v>25</v>
      </c>
    </row>
    <row r="15" spans="3:17">
      <c r="C15" t="s">
        <v>26</v>
      </c>
      <c r="D15">
        <v>1.07</v>
      </c>
      <c r="E15">
        <v>1.17</v>
      </c>
      <c r="F15">
        <v>1.1299999999999999</v>
      </c>
      <c r="G15">
        <v>1.05</v>
      </c>
      <c r="H15">
        <v>1.05</v>
      </c>
      <c r="I15">
        <v>1.1100000000000001</v>
      </c>
      <c r="J15">
        <v>0.88</v>
      </c>
      <c r="P15" t="s">
        <v>27</v>
      </c>
      <c r="Q15">
        <v>14000</v>
      </c>
    </row>
    <row r="16" spans="3:17">
      <c r="C16" t="s">
        <v>28</v>
      </c>
      <c r="D16">
        <v>1.1499999999999999</v>
      </c>
      <c r="E16">
        <v>1.25</v>
      </c>
      <c r="F16">
        <v>1.21</v>
      </c>
      <c r="G16">
        <v>1.1200000000000001</v>
      </c>
      <c r="H16">
        <v>1.1200000000000001</v>
      </c>
      <c r="I16">
        <v>1.03</v>
      </c>
      <c r="J16">
        <v>0.82</v>
      </c>
      <c r="P16" t="s">
        <v>29</v>
      </c>
      <c r="Q16">
        <v>3000</v>
      </c>
    </row>
    <row r="17" spans="3:18">
      <c r="P17" t="s">
        <v>30</v>
      </c>
      <c r="Q17">
        <v>750</v>
      </c>
    </row>
    <row r="18" spans="3:18">
      <c r="D18" t="s">
        <v>31</v>
      </c>
    </row>
    <row r="19" spans="3:18">
      <c r="D19" t="s">
        <v>32</v>
      </c>
      <c r="E19" t="s">
        <v>33</v>
      </c>
      <c r="F19" t="s">
        <v>34</v>
      </c>
      <c r="G19" t="s">
        <v>35</v>
      </c>
    </row>
    <row r="20" spans="3:18">
      <c r="C20" t="s">
        <v>36</v>
      </c>
      <c r="D20">
        <v>5.63</v>
      </c>
      <c r="E20">
        <v>5.66</v>
      </c>
      <c r="F20">
        <v>5.0999999999999996</v>
      </c>
      <c r="G20">
        <v>5.78</v>
      </c>
    </row>
    <row r="21" spans="3:18">
      <c r="C21" t="s">
        <v>37</v>
      </c>
      <c r="D21">
        <v>7.31</v>
      </c>
      <c r="E21">
        <v>5.17</v>
      </c>
      <c r="F21">
        <v>4.5999999999999996</v>
      </c>
      <c r="G21">
        <v>6</v>
      </c>
      <c r="R21" s="48"/>
    </row>
    <row r="22" spans="3:18">
      <c r="C22" t="s">
        <v>19</v>
      </c>
      <c r="D22">
        <v>7.86</v>
      </c>
      <c r="E22">
        <v>5.77</v>
      </c>
      <c r="F22">
        <v>5.22</v>
      </c>
      <c r="G22">
        <v>6.36</v>
      </c>
    </row>
    <row r="23" spans="3:18">
      <c r="C23" t="s">
        <v>20</v>
      </c>
      <c r="D23">
        <v>5.57</v>
      </c>
      <c r="E23">
        <v>4.13</v>
      </c>
      <c r="F23">
        <v>3.72</v>
      </c>
      <c r="G23">
        <v>5.97</v>
      </c>
    </row>
    <row r="24" spans="3:18">
      <c r="C24" t="s">
        <v>21</v>
      </c>
      <c r="D24">
        <v>8.61</v>
      </c>
      <c r="E24">
        <v>5.59</v>
      </c>
      <c r="F24">
        <v>5.49</v>
      </c>
      <c r="G24">
        <v>6.64</v>
      </c>
    </row>
    <row r="25" spans="3:18">
      <c r="C25" t="s">
        <v>22</v>
      </c>
      <c r="D25">
        <v>8.4</v>
      </c>
      <c r="E25">
        <v>4.74</v>
      </c>
      <c r="F25">
        <v>4.41</v>
      </c>
      <c r="G25">
        <v>5.99</v>
      </c>
    </row>
    <row r="26" spans="3:18">
      <c r="C26" t="s">
        <v>23</v>
      </c>
      <c r="D26">
        <v>10.199999999999999</v>
      </c>
      <c r="E26">
        <v>5.17</v>
      </c>
      <c r="F26">
        <v>4.8899999999999997</v>
      </c>
      <c r="G26">
        <v>6.88</v>
      </c>
    </row>
    <row r="27" spans="3:18">
      <c r="C27" t="s">
        <v>26</v>
      </c>
      <c r="D27">
        <v>16.899999999999999</v>
      </c>
      <c r="E27">
        <v>4.84</v>
      </c>
      <c r="F27">
        <v>4.08</v>
      </c>
      <c r="G27">
        <v>7.77</v>
      </c>
    </row>
    <row r="28" spans="3:18">
      <c r="C28" t="s">
        <v>28</v>
      </c>
      <c r="D28">
        <v>13.8</v>
      </c>
      <c r="E28">
        <v>5.24</v>
      </c>
      <c r="F28">
        <v>4.76</v>
      </c>
      <c r="G28">
        <v>7.91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D521-D305-474A-97F3-2FBDFD86308D}">
  <sheetPr codeName="Sheet2"/>
  <dimension ref="B2:AB96"/>
  <sheetViews>
    <sheetView showGridLines="0" tabSelected="1" topLeftCell="A4" zoomScaleNormal="100" workbookViewId="0">
      <selection activeCell="K18" sqref="K18"/>
    </sheetView>
  </sheetViews>
  <sheetFormatPr defaultRowHeight="14.25"/>
  <cols>
    <col min="2" max="2" width="30.85546875" customWidth="1"/>
    <col min="3" max="3" width="14.85546875" customWidth="1"/>
    <col min="4" max="4" width="19.7109375" customWidth="1"/>
    <col min="5" max="5" width="9.7109375" customWidth="1"/>
    <col min="6" max="6" width="24.28515625" customWidth="1"/>
    <col min="7" max="7" width="19" customWidth="1"/>
    <col min="8" max="8" width="10.28515625" bestFit="1" customWidth="1"/>
    <col min="9" max="9" width="13.85546875" bestFit="1" customWidth="1"/>
    <col min="10" max="10" width="11.7109375" customWidth="1"/>
    <col min="11" max="11" width="31" customWidth="1"/>
    <col min="12" max="12" width="23" customWidth="1"/>
    <col min="13" max="13" width="22.140625" customWidth="1"/>
    <col min="14" max="14" width="22.85546875" customWidth="1"/>
    <col min="15" max="15" width="31.7109375" customWidth="1"/>
    <col min="17" max="17" width="8.5703125" customWidth="1"/>
    <col min="18" max="18" width="10.7109375" customWidth="1"/>
    <col min="19" max="19" width="49.140625" bestFit="1" customWidth="1"/>
    <col min="21" max="21" width="17.28515625" customWidth="1"/>
    <col min="22" max="22" width="12.7109375" customWidth="1"/>
    <col min="23" max="23" width="13.5703125" customWidth="1"/>
    <col min="25" max="25" width="13.42578125" customWidth="1"/>
    <col min="26" max="26" width="14.28515625" customWidth="1"/>
    <col min="27" max="27" width="14.42578125" customWidth="1"/>
    <col min="30" max="30" width="13" customWidth="1"/>
    <col min="31" max="31" width="12.7109375" customWidth="1"/>
    <col min="32" max="32" width="14" customWidth="1"/>
    <col min="34" max="34" width="13.140625" customWidth="1"/>
    <col min="35" max="35" width="13.85546875" customWidth="1"/>
  </cols>
  <sheetData>
    <row r="2" spans="2:11">
      <c r="B2" s="56" t="s">
        <v>38</v>
      </c>
      <c r="C2" s="57" t="s">
        <v>39</v>
      </c>
      <c r="D2" s="49"/>
      <c r="E2" s="49"/>
      <c r="F2" s="49"/>
      <c r="G2" s="49"/>
      <c r="H2" s="49"/>
      <c r="I2" s="49"/>
      <c r="J2" s="49"/>
      <c r="K2" s="5"/>
    </row>
    <row r="4" spans="2:11">
      <c r="B4" s="58" t="s">
        <v>40</v>
      </c>
      <c r="C4" s="79" t="s">
        <v>41</v>
      </c>
      <c r="D4" s="49"/>
      <c r="E4" s="84"/>
      <c r="F4" s="49"/>
      <c r="G4" s="84"/>
      <c r="H4" s="49"/>
      <c r="I4" s="49"/>
      <c r="J4" s="1"/>
      <c r="K4" s="2"/>
    </row>
    <row r="5" spans="2:11">
      <c r="B5" s="58" t="s">
        <v>42</v>
      </c>
      <c r="C5" s="80">
        <v>44259</v>
      </c>
      <c r="D5" s="49"/>
      <c r="E5" s="54" t="s">
        <v>43</v>
      </c>
      <c r="F5" s="50"/>
      <c r="G5" s="49" t="str">
        <f>TEXT(C5,"ddd")</f>
        <v>Thu</v>
      </c>
      <c r="H5" s="50" t="s">
        <v>44</v>
      </c>
      <c r="I5" s="51">
        <f>VLOOKUP(C6,'Meta Data'!$C$6:$J$16,MATCH(G5,'Meta Data'!$C$5:$J$5,0),0)</f>
        <v>0.97</v>
      </c>
      <c r="J5" s="6"/>
      <c r="K5" s="38"/>
    </row>
    <row r="6" spans="2:11">
      <c r="B6" s="58" t="s">
        <v>45</v>
      </c>
      <c r="C6" s="79" t="s">
        <v>22</v>
      </c>
      <c r="D6" s="49"/>
      <c r="E6" s="49"/>
      <c r="F6" s="49"/>
      <c r="G6" s="49"/>
      <c r="H6" s="49"/>
      <c r="I6" s="49"/>
      <c r="J6" s="52"/>
      <c r="K6" s="38"/>
    </row>
    <row r="7" spans="2:11">
      <c r="B7" s="58" t="s">
        <v>46</v>
      </c>
      <c r="C7" s="81">
        <v>140</v>
      </c>
      <c r="D7" s="59" t="s">
        <v>47</v>
      </c>
      <c r="E7" s="79" t="s">
        <v>13</v>
      </c>
      <c r="F7" s="59" t="s">
        <v>48</v>
      </c>
      <c r="G7" s="49">
        <f>ROUNDUP(C7/2,0)</f>
        <v>70</v>
      </c>
      <c r="H7" s="59" t="s">
        <v>49</v>
      </c>
      <c r="I7" s="79" t="s">
        <v>15</v>
      </c>
      <c r="J7" s="60" t="s">
        <v>48</v>
      </c>
      <c r="K7" s="5">
        <f>ROUNDUP(C7/2,0)</f>
        <v>70</v>
      </c>
    </row>
    <row r="8" spans="2:11">
      <c r="B8" s="55" t="s">
        <v>50</v>
      </c>
      <c r="C8" s="49" t="str">
        <f>C4</f>
        <v>Perseverance Dam Rd</v>
      </c>
      <c r="D8" s="49"/>
      <c r="E8" s="50" t="s">
        <v>51</v>
      </c>
      <c r="F8" s="49">
        <f>YEAR(C5)</f>
        <v>2021</v>
      </c>
      <c r="G8" s="50" t="s">
        <v>52</v>
      </c>
      <c r="H8" s="49">
        <f ca="1">YEAR(TODAY())-F8</f>
        <v>4</v>
      </c>
      <c r="I8" s="49"/>
      <c r="J8" s="59" t="s">
        <v>53</v>
      </c>
      <c r="K8" s="9">
        <v>2.5</v>
      </c>
    </row>
    <row r="9" spans="2:11">
      <c r="B9" s="14" t="str">
        <f>"AADT ("&amp;E8&amp; " Estimate)"</f>
        <v>AADT (Count Year Estimate)</v>
      </c>
      <c r="C9" s="49">
        <f>ROUNDUP(C7*I5,0)</f>
        <v>136</v>
      </c>
      <c r="D9" s="49"/>
      <c r="E9" s="49"/>
      <c r="F9" s="49"/>
      <c r="G9" s="50" t="s">
        <v>47</v>
      </c>
      <c r="H9" s="49">
        <f>ROUNDUP(G7*I5,0)</f>
        <v>68</v>
      </c>
      <c r="I9" s="49"/>
      <c r="J9" s="50" t="s">
        <v>49</v>
      </c>
      <c r="K9" s="9">
        <f>ROUNDUP(K7*I5,0)</f>
        <v>68</v>
      </c>
    </row>
    <row r="10" spans="2:11">
      <c r="B10" s="53" t="str">
        <f ca="1">"AADT Current Year Estimate (" &amp; YEAR(TODAY())&amp;")"</f>
        <v>AADT Current Year Estimate (2025)</v>
      </c>
      <c r="C10" s="50" t="s">
        <v>54</v>
      </c>
      <c r="D10" s="49">
        <f ca="1">ROUNDUP(C9*(1+$K$8/100)^$H$8,0)</f>
        <v>151</v>
      </c>
      <c r="E10" s="50" t="s">
        <v>47</v>
      </c>
      <c r="F10" s="49">
        <f ca="1">ROUNDUP(H9*(1+$K$8/100)^$H$8,0)</f>
        <v>76</v>
      </c>
      <c r="G10" s="50" t="s">
        <v>49</v>
      </c>
      <c r="H10" s="49">
        <f ca="1">ROUNDUP(K9*(1+$K$8/100)^$H$8,0)</f>
        <v>76</v>
      </c>
      <c r="I10" s="49"/>
      <c r="J10" s="49"/>
      <c r="K10" s="5"/>
    </row>
    <row r="12" spans="2:11">
      <c r="B12" s="14" t="s">
        <v>55</v>
      </c>
      <c r="C12" s="16" t="str">
        <f>C4&amp; " - " &amp;E4&amp;": "&amp;F4</f>
        <v xml:space="preserve">Perseverance Dam Rd - : </v>
      </c>
      <c r="D12" s="15"/>
      <c r="E12" s="15"/>
      <c r="F12" s="15"/>
      <c r="G12" s="17"/>
    </row>
    <row r="13" spans="2:11">
      <c r="B13" s="14" t="s">
        <v>56</v>
      </c>
      <c r="C13" s="18">
        <v>13</v>
      </c>
      <c r="D13" s="15"/>
      <c r="E13" s="15"/>
      <c r="F13" s="15"/>
      <c r="G13" s="17"/>
    </row>
    <row r="14" spans="2:11">
      <c r="B14" s="58" t="s">
        <v>57</v>
      </c>
      <c r="C14" s="82">
        <v>1</v>
      </c>
      <c r="D14" s="15"/>
      <c r="E14" s="15"/>
      <c r="F14" s="15"/>
      <c r="G14" s="17"/>
    </row>
    <row r="15" spans="2:11">
      <c r="B15" s="58" t="s">
        <v>58</v>
      </c>
      <c r="C15" s="82">
        <v>1</v>
      </c>
      <c r="D15" s="15"/>
      <c r="E15" s="15"/>
      <c r="F15" s="15"/>
      <c r="G15" s="17"/>
    </row>
    <row r="17" spans="2:7">
      <c r="B17" s="61" t="str">
        <f>"Queue Length Estimation: " &amp; C12 &amp; " - " &amp; E7&amp;"bound"</f>
        <v>Queue Length Estimation: Perseverance Dam Rd - :  - Eastbound</v>
      </c>
      <c r="C17" s="62"/>
      <c r="D17" s="62"/>
      <c r="E17" s="62"/>
      <c r="F17" s="62"/>
      <c r="G17" s="63"/>
    </row>
    <row r="18" spans="2:7" ht="42.75">
      <c r="B18" s="25"/>
      <c r="C18" s="26"/>
      <c r="D18" s="24" t="s">
        <v>59</v>
      </c>
      <c r="E18" s="23" t="s">
        <v>60</v>
      </c>
      <c r="F18" s="23" t="s">
        <v>61</v>
      </c>
      <c r="G18" s="27" t="s">
        <v>60</v>
      </c>
    </row>
    <row r="19" spans="2:7">
      <c r="B19" s="21" t="s">
        <v>62</v>
      </c>
      <c r="C19" s="22"/>
      <c r="D19" s="22">
        <f ca="1">ROUNDUP((F10*15%)*85%,0)-ROUNDUP(((F10*15%)*85%)*$C$13%,0)</f>
        <v>8</v>
      </c>
      <c r="E19" s="22">
        <f ca="1">ROUNDUP(((F10*15%)*85%)*$C$13%,0)</f>
        <v>2</v>
      </c>
      <c r="F19" s="22">
        <f ca="1">ROUNDUP(((F10-SUM(D19:E19))*15%)*42%,0)</f>
        <v>5</v>
      </c>
      <c r="G19" s="64">
        <f ca="1">ROUNDUP(F19*$C$13%,0)</f>
        <v>1</v>
      </c>
    </row>
    <row r="20" spans="2:7">
      <c r="B20" s="21" t="s">
        <v>63</v>
      </c>
      <c r="C20" s="22"/>
      <c r="D20" s="22">
        <f ca="1">ROUNDUP(D19/$C$14,0)</f>
        <v>8</v>
      </c>
      <c r="E20" s="22">
        <f ca="1">ROUNDUP(E19/$C$14,0)</f>
        <v>2</v>
      </c>
      <c r="F20" s="22">
        <f ca="1">ROUNDUP(F19/$C$14,0)</f>
        <v>5</v>
      </c>
      <c r="G20" s="64">
        <f ca="1">ROUNDUP(G19/$C$14,0)</f>
        <v>1</v>
      </c>
    </row>
    <row r="21" spans="2:7">
      <c r="B21" s="21" t="s">
        <v>64</v>
      </c>
      <c r="C21" s="22"/>
      <c r="D21" s="22"/>
      <c r="E21" s="22"/>
      <c r="F21" s="22"/>
      <c r="G21" s="64"/>
    </row>
    <row r="22" spans="2:7">
      <c r="B22" s="19" t="s">
        <v>25</v>
      </c>
      <c r="C22" s="20" t="s">
        <v>65</v>
      </c>
      <c r="D22" s="8">
        <f ca="1">ROUNDUP(D20*5/60,0)</f>
        <v>1</v>
      </c>
      <c r="E22" s="8">
        <f ca="1">ROUNDUP(E20*5/60,0)</f>
        <v>1</v>
      </c>
      <c r="F22" s="8">
        <f ca="1">ROUNDUP(F20*5/60,0)</f>
        <v>1</v>
      </c>
      <c r="G22" s="9">
        <f ca="1">ROUNDUP(G20*5/60,0)</f>
        <v>1</v>
      </c>
    </row>
    <row r="23" spans="2:7">
      <c r="B23" s="19" t="s">
        <v>66</v>
      </c>
      <c r="C23" s="20" t="s">
        <v>67</v>
      </c>
      <c r="D23" s="8">
        <f ca="1">ROUNDUP(D22*$C$43+E22*$D$43, 0)</f>
        <v>11</v>
      </c>
      <c r="E23" s="8"/>
      <c r="F23" s="12">
        <f ca="1">ROUNDUP(F22*$C$43+G22*$D$43, 0)</f>
        <v>11</v>
      </c>
      <c r="G23" s="7"/>
    </row>
    <row r="24" spans="2:7">
      <c r="B24" s="19" t="s">
        <v>68</v>
      </c>
      <c r="C24" s="20" t="s">
        <v>67</v>
      </c>
      <c r="D24" s="8">
        <f ca="1">ROUNDUP(D22*$C$44+E22*$D$44, 0)</f>
        <v>26</v>
      </c>
      <c r="E24" s="8"/>
      <c r="F24" s="8">
        <f ca="1">ROUNDUP(F22*$C$44+G22*$D$44, 0)</f>
        <v>26</v>
      </c>
      <c r="G24" s="7"/>
    </row>
    <row r="25" spans="2:7">
      <c r="B25" s="19" t="s">
        <v>69</v>
      </c>
      <c r="C25" s="20" t="s">
        <v>67</v>
      </c>
      <c r="D25" s="8">
        <f ca="1">ROUNDUP(D22*$C$45+E22*$D$45, 0)</f>
        <v>52</v>
      </c>
      <c r="E25" s="8"/>
      <c r="F25" s="8">
        <f ca="1">ROUNDUP(F22*$C$45+G22*$D$45, 0)</f>
        <v>52</v>
      </c>
      <c r="G25" s="7"/>
    </row>
    <row r="26" spans="2:7">
      <c r="B26" s="19" t="s">
        <v>70</v>
      </c>
      <c r="C26" s="20" t="s">
        <v>67</v>
      </c>
      <c r="D26" s="8">
        <f ca="1">ROUNDUP(D22*$C$46+E22*$D$46, 0)</f>
        <v>78</v>
      </c>
      <c r="E26" s="8"/>
      <c r="F26" s="8">
        <f ca="1">ROUNDUP(F22*$C$46+G22*$D$46, 0)</f>
        <v>78</v>
      </c>
      <c r="G26" s="7"/>
    </row>
    <row r="28" spans="2:7">
      <c r="B28" s="61" t="str">
        <f>"Queue Length Estimation: " &amp; C12 &amp; " - " &amp; I7&amp;"bound"</f>
        <v>Queue Length Estimation: Perseverance Dam Rd - :  - Westbound</v>
      </c>
      <c r="C28" s="62"/>
      <c r="D28" s="62"/>
      <c r="E28" s="62"/>
      <c r="F28" s="62"/>
      <c r="G28" s="63"/>
    </row>
    <row r="29" spans="2:7" ht="42.75">
      <c r="B29" s="25"/>
      <c r="C29" s="26"/>
      <c r="D29" s="24" t="s">
        <v>59</v>
      </c>
      <c r="E29" s="23" t="s">
        <v>60</v>
      </c>
      <c r="F29" s="23" t="s">
        <v>61</v>
      </c>
      <c r="G29" s="27" t="s">
        <v>60</v>
      </c>
    </row>
    <row r="30" spans="2:7">
      <c r="B30" s="21" t="s">
        <v>62</v>
      </c>
      <c r="C30" s="22"/>
      <c r="D30" s="22">
        <f ca="1">ROUNDUP((H10*15%)*85%,0)-ROUNDUP(((H10*15%)*85%)*$C$13%,0)</f>
        <v>8</v>
      </c>
      <c r="E30" s="22">
        <f ca="1">ROUNDUP(((H10*15%)*85%)*$C$13%,0)</f>
        <v>2</v>
      </c>
      <c r="F30" s="22">
        <f ca="1">ROUNDUP(((H10-SUM(D30:E30))*15%)*42%,0)</f>
        <v>5</v>
      </c>
      <c r="G30" s="64">
        <f ca="1">ROUNDUP(F30*$C$13%,0)</f>
        <v>1</v>
      </c>
    </row>
    <row r="31" spans="2:7">
      <c r="B31" s="21" t="s">
        <v>63</v>
      </c>
      <c r="C31" s="22"/>
      <c r="D31" s="22">
        <f ca="1">ROUNDUP(D30/$C$15,0)</f>
        <v>8</v>
      </c>
      <c r="E31" s="22">
        <f ca="1">ROUNDUP(E30/$C$15,0)</f>
        <v>2</v>
      </c>
      <c r="F31" s="22">
        <f ca="1">ROUNDUP(F30/$C$15,0)</f>
        <v>5</v>
      </c>
      <c r="G31" s="64">
        <f ca="1">ROUNDUP(G30/$C$15,0)</f>
        <v>1</v>
      </c>
    </row>
    <row r="32" spans="2:7">
      <c r="B32" s="21" t="s">
        <v>64</v>
      </c>
      <c r="C32" s="22"/>
      <c r="D32" s="22"/>
      <c r="E32" s="22"/>
      <c r="F32" s="22"/>
      <c r="G32" s="64"/>
    </row>
    <row r="33" spans="2:21">
      <c r="B33" s="19" t="s">
        <v>25</v>
      </c>
      <c r="C33" s="20" t="s">
        <v>65</v>
      </c>
      <c r="D33" s="8">
        <f ca="1">ROUNDUP(D31*5/60,0)</f>
        <v>1</v>
      </c>
      <c r="E33" s="8">
        <f ca="1">ROUNDUP(E31*5/60,0)</f>
        <v>1</v>
      </c>
      <c r="F33" s="8">
        <f ca="1">ROUNDUP(F31*5/60,0)</f>
        <v>1</v>
      </c>
      <c r="G33" s="9">
        <f ca="1">ROUNDUP(G31*5/60,0)</f>
        <v>1</v>
      </c>
    </row>
    <row r="34" spans="2:21">
      <c r="B34" s="19" t="s">
        <v>66</v>
      </c>
      <c r="C34" s="20" t="s">
        <v>67</v>
      </c>
      <c r="D34" s="8">
        <f ca="1">ROUNDUP(D33*$C$43+E33*$D$43, 0)</f>
        <v>11</v>
      </c>
      <c r="E34" s="8"/>
      <c r="F34" s="12">
        <f ca="1">ROUNDUP(F33*$C$43+G33*$D$43, 0)</f>
        <v>11</v>
      </c>
      <c r="G34" s="7"/>
    </row>
    <row r="35" spans="2:21">
      <c r="B35" s="19" t="s">
        <v>68</v>
      </c>
      <c r="C35" s="20" t="s">
        <v>67</v>
      </c>
      <c r="D35" s="8">
        <f ca="1">ROUNDUP(D33*$C$44+E33*$D$44, 0)</f>
        <v>26</v>
      </c>
      <c r="E35" s="8"/>
      <c r="F35" s="8">
        <f ca="1">ROUNDUP(F33*$C$44+G33*$D$44, 0)</f>
        <v>26</v>
      </c>
      <c r="G35" s="7"/>
      <c r="K35" t="s">
        <v>71</v>
      </c>
      <c r="L35" t="s">
        <v>72</v>
      </c>
      <c r="M35" t="s">
        <v>73</v>
      </c>
    </row>
    <row r="36" spans="2:21">
      <c r="B36" s="19" t="s">
        <v>69</v>
      </c>
      <c r="C36" s="20" t="s">
        <v>67</v>
      </c>
      <c r="D36" s="8">
        <f ca="1">ROUNDUP(D33*$C$45+E33*$D$45, 0)</f>
        <v>52</v>
      </c>
      <c r="E36" s="8"/>
      <c r="F36" s="8">
        <f ca="1">ROUNDUP(F33*$C$45+G33*$D$45, 0)</f>
        <v>52</v>
      </c>
      <c r="G36" s="7"/>
      <c r="K36" t="s">
        <v>30</v>
      </c>
      <c r="L36">
        <f>VLOOKUP(Road_Type,CoGC_Limit[#All],2,FALSE)</f>
        <v>750</v>
      </c>
      <c r="M36">
        <f>L36*15%</f>
        <v>112.5</v>
      </c>
    </row>
    <row r="37" spans="2:21">
      <c r="B37" s="19" t="s">
        <v>70</v>
      </c>
      <c r="C37" s="20" t="s">
        <v>67</v>
      </c>
      <c r="D37" s="8">
        <f ca="1">ROUNDUP(D33*$C$46+E33*$D$46, 0)</f>
        <v>78</v>
      </c>
      <c r="E37" s="8"/>
      <c r="F37" s="8">
        <f ca="1">ROUNDUP(F33*$C$46+G33*$D$46, 0)</f>
        <v>78</v>
      </c>
      <c r="G37" s="7"/>
    </row>
    <row r="38" spans="2:21">
      <c r="K38" s="28" t="str">
        <f>C12 &amp; " - Traffic Impact Analysis"</f>
        <v>Perseverance Dam Rd - :  - Traffic Impact Analysis</v>
      </c>
      <c r="L38" s="36"/>
      <c r="M38" s="37"/>
      <c r="O38" s="70" t="s">
        <v>74</v>
      </c>
    </row>
    <row r="39" spans="2:21" ht="17.649999999999999" customHeight="1">
      <c r="K39" s="35"/>
      <c r="L39" s="68"/>
      <c r="M39" s="83"/>
      <c r="O39" s="71" t="s">
        <v>75</v>
      </c>
    </row>
    <row r="40" spans="2:21">
      <c r="B40" s="1" t="s">
        <v>76</v>
      </c>
      <c r="C40" s="10"/>
      <c r="D40" s="2"/>
      <c r="K40" s="35" t="s">
        <v>77</v>
      </c>
      <c r="L40" s="85">
        <f>IF(ROUNDUP(0.15*L36/2,0)&lt;=500, 500,ROUNDUP(0.15*L36/2,0))</f>
        <v>500</v>
      </c>
      <c r="M40" s="86"/>
      <c r="O40" s="72" t="s">
        <v>78</v>
      </c>
    </row>
    <row r="41" spans="2:21">
      <c r="B41" s="3" t="s">
        <v>79</v>
      </c>
      <c r="C41" s="4" t="s">
        <v>80</v>
      </c>
      <c r="D41" s="5"/>
      <c r="K41" s="30" t="s">
        <v>81</v>
      </c>
      <c r="L41" s="69" t="s">
        <v>82</v>
      </c>
      <c r="M41" s="69" t="s">
        <v>83</v>
      </c>
      <c r="O41" s="73" t="s">
        <v>84</v>
      </c>
    </row>
    <row r="42" spans="2:21">
      <c r="B42" s="7"/>
      <c r="C42" s="9" t="s">
        <v>85</v>
      </c>
      <c r="D42" s="9" t="s">
        <v>86</v>
      </c>
      <c r="K42" s="30" t="str">
        <f>E7&amp;"bound"</f>
        <v>Eastbound</v>
      </c>
      <c r="L42" s="76">
        <f ca="1">SUM(D20:E20)/L40</f>
        <v>0.02</v>
      </c>
      <c r="M42" s="76">
        <f ca="1">SUM(F20:G20)/L40</f>
        <v>1.2E-2</v>
      </c>
      <c r="O42" s="74" t="s">
        <v>87</v>
      </c>
    </row>
    <row r="43" spans="2:21">
      <c r="B43" s="11">
        <v>2</v>
      </c>
      <c r="C43" s="11">
        <v>2.4</v>
      </c>
      <c r="D43" s="11">
        <v>8</v>
      </c>
      <c r="K43" s="31" t="str">
        <f>I7&amp;"bound"</f>
        <v>Westbound</v>
      </c>
      <c r="L43" s="77">
        <f ca="1">SUM(D31:E31)/L40</f>
        <v>0.02</v>
      </c>
      <c r="M43" s="77">
        <f ca="1">SUM(F31:G31)/L40</f>
        <v>1.2E-2</v>
      </c>
      <c r="O43" s="75" t="s">
        <v>88</v>
      </c>
    </row>
    <row r="44" spans="2:21">
      <c r="B44" s="11">
        <v>5</v>
      </c>
      <c r="C44" s="11">
        <v>6</v>
      </c>
      <c r="D44" s="11">
        <v>20</v>
      </c>
      <c r="K44" s="31" t="str">
        <f>"1 Lane Closure " &amp; K42</f>
        <v>1 Lane Closure Eastbound</v>
      </c>
      <c r="L44" s="78" t="str">
        <f>IF($C$14&gt;1,SUM(D19:E19)/L40,"N/A")</f>
        <v>N/A</v>
      </c>
      <c r="M44" s="77" t="str">
        <f>IF($C$14&gt;1,SUM(F19:G19)/L40,"N/A")</f>
        <v>N/A</v>
      </c>
    </row>
    <row r="45" spans="2:21" ht="18" customHeight="1">
      <c r="B45" s="11">
        <v>10</v>
      </c>
      <c r="C45" s="11">
        <v>12</v>
      </c>
      <c r="D45" s="11">
        <v>40</v>
      </c>
      <c r="K45" s="31" t="str">
        <f>"1 Lane Closure " &amp; K43</f>
        <v>1 Lane Closure Westbound</v>
      </c>
      <c r="L45" s="78" t="str">
        <f>IF($C$15&gt;1,SUM(D30:E30)/L40,"N/A")</f>
        <v>N/A</v>
      </c>
      <c r="M45" s="77" t="str">
        <f>IF($C$15&gt;1,SUM(F30:G30)/L40,"N/A")</f>
        <v>N/A</v>
      </c>
      <c r="S45" s="28" t="s">
        <v>89</v>
      </c>
      <c r="T45" s="33"/>
      <c r="U45" s="34"/>
    </row>
    <row r="46" spans="2:21">
      <c r="B46" s="11">
        <v>15</v>
      </c>
      <c r="C46" s="11">
        <v>18</v>
      </c>
      <c r="D46" s="11">
        <v>60</v>
      </c>
      <c r="K46" s="31" t="s">
        <v>90</v>
      </c>
      <c r="L46" s="78">
        <f ca="1">IF(AND($C$14&gt;1,$C$15&gt;1),"N/A",SUM(D19:E19,D30:E30)/L40)</f>
        <v>0.04</v>
      </c>
      <c r="M46" s="77">
        <f ca="1">IF(AND($C$14&gt;1,$C$15&gt;1),"N/A",SUM(F19:G19,F30:G30)/L40)</f>
        <v>2.4E-2</v>
      </c>
      <c r="S46" s="29" t="s">
        <v>91</v>
      </c>
      <c r="T46" s="1"/>
      <c r="U46" s="2"/>
    </row>
    <row r="47" spans="2:21">
      <c r="B47" s="7">
        <v>30</v>
      </c>
      <c r="C47" s="7">
        <v>36</v>
      </c>
      <c r="D47" s="7">
        <v>120</v>
      </c>
      <c r="S47" s="30" t="s">
        <v>92</v>
      </c>
      <c r="T47" s="6">
        <v>1.5</v>
      </c>
      <c r="U47" s="38" t="s">
        <v>93</v>
      </c>
    </row>
    <row r="48" spans="2:21">
      <c r="K48" t="s">
        <v>94</v>
      </c>
      <c r="S48" s="30"/>
      <c r="T48" s="6"/>
      <c r="U48" s="38"/>
    </row>
    <row r="49" spans="15:28">
      <c r="S49" s="31" t="s">
        <v>95</v>
      </c>
      <c r="T49" s="8">
        <v>10</v>
      </c>
      <c r="U49" s="32" t="s">
        <v>96</v>
      </c>
    </row>
    <row r="53" spans="15:28">
      <c r="U53" s="87" t="s">
        <v>97</v>
      </c>
      <c r="V53" s="88"/>
      <c r="W53" s="88"/>
      <c r="X53" s="88"/>
      <c r="Y53" s="88"/>
      <c r="Z53" s="88"/>
      <c r="AA53" s="88"/>
      <c r="AB53" s="89"/>
    </row>
    <row r="54" spans="15:28" ht="42.75">
      <c r="U54" s="40"/>
      <c r="V54" s="90" t="s">
        <v>98</v>
      </c>
      <c r="W54" s="91"/>
      <c r="X54" s="42" t="s">
        <v>99</v>
      </c>
      <c r="Y54" s="92" t="s">
        <v>100</v>
      </c>
      <c r="Z54" s="93"/>
      <c r="AA54" s="42" t="s">
        <v>101</v>
      </c>
      <c r="AB54" s="42" t="s">
        <v>102</v>
      </c>
    </row>
    <row r="55" spans="15:28">
      <c r="U55" s="41"/>
      <c r="V55" s="44" t="s">
        <v>103</v>
      </c>
      <c r="W55" s="44" t="s">
        <v>104</v>
      </c>
      <c r="X55" s="43"/>
      <c r="Y55" s="44" t="s">
        <v>103</v>
      </c>
      <c r="Z55" s="44" t="s">
        <v>104</v>
      </c>
      <c r="AA55" s="45"/>
      <c r="AB55" s="43"/>
    </row>
    <row r="56" spans="15:28" ht="42.75">
      <c r="U56" s="65" t="str">
        <f>C4</f>
        <v>Perseverance Dam Rd</v>
      </c>
      <c r="V56" s="11">
        <v>250</v>
      </c>
      <c r="W56" s="11">
        <v>450</v>
      </c>
      <c r="X56" s="3">
        <v>1</v>
      </c>
      <c r="Y56" s="11">
        <f>ROUNDUP(V56/$T$47,0)</f>
        <v>167</v>
      </c>
      <c r="Z56" s="11">
        <f>ROUNDUP(W56/$T$47,0)</f>
        <v>300</v>
      </c>
      <c r="AA56" s="3">
        <f>ROUNDUP((Z56+(X56*$T$49))-Y56,0)</f>
        <v>143</v>
      </c>
      <c r="AB56" s="3">
        <f>ROUNDUP(AA56/60, 2)</f>
        <v>2.3899999999999997</v>
      </c>
    </row>
    <row r="57" spans="15:28">
      <c r="U57" s="66"/>
      <c r="V57" s="7"/>
      <c r="W57" s="7"/>
      <c r="X57" s="7"/>
      <c r="Y57" s="7"/>
      <c r="Z57" s="7"/>
      <c r="AA57" s="7"/>
      <c r="AB57" s="7"/>
    </row>
    <row r="60" spans="15:28">
      <c r="O60" s="46" t="s">
        <v>105</v>
      </c>
      <c r="P60" s="36"/>
      <c r="Q60" s="36"/>
      <c r="R60" s="37"/>
    </row>
    <row r="61" spans="15:28">
      <c r="O61" s="29" t="s">
        <v>106</v>
      </c>
      <c r="P61" s="1">
        <v>0.4</v>
      </c>
      <c r="Q61" s="2" t="s">
        <v>107</v>
      </c>
      <c r="R61" s="3" t="s">
        <v>108</v>
      </c>
    </row>
    <row r="62" spans="15:28">
      <c r="O62" s="30" t="s">
        <v>109</v>
      </c>
      <c r="P62" s="6">
        <v>0</v>
      </c>
      <c r="Q62" s="38"/>
      <c r="R62" s="11"/>
    </row>
    <row r="63" spans="15:28">
      <c r="O63" s="30" t="s">
        <v>110</v>
      </c>
      <c r="P63" s="6">
        <v>4</v>
      </c>
      <c r="Q63" s="38"/>
      <c r="R63" s="11"/>
    </row>
    <row r="64" spans="15:28">
      <c r="O64" s="30" t="s">
        <v>111</v>
      </c>
      <c r="P64" s="6">
        <v>10</v>
      </c>
      <c r="Q64" s="38" t="s">
        <v>96</v>
      </c>
      <c r="R64" s="11" t="s">
        <v>112</v>
      </c>
    </row>
    <row r="65" spans="15:18">
      <c r="O65" s="30" t="s">
        <v>113</v>
      </c>
      <c r="P65" s="6">
        <v>60</v>
      </c>
      <c r="Q65" s="38" t="s">
        <v>96</v>
      </c>
      <c r="R65" s="11"/>
    </row>
    <row r="66" spans="15:18">
      <c r="O66" s="30" t="s">
        <v>114</v>
      </c>
      <c r="P66" s="39">
        <v>55</v>
      </c>
      <c r="Q66" s="38" t="s">
        <v>115</v>
      </c>
      <c r="R66" s="11" t="s">
        <v>112</v>
      </c>
    </row>
    <row r="67" spans="15:18">
      <c r="O67" s="30" t="s">
        <v>116</v>
      </c>
      <c r="P67" s="39">
        <f>P61/P66</f>
        <v>7.2727272727272727E-3</v>
      </c>
      <c r="Q67" s="38" t="s">
        <v>117</v>
      </c>
      <c r="R67" s="11"/>
    </row>
    <row r="68" spans="15:18">
      <c r="O68" s="30"/>
      <c r="P68" s="67">
        <f>P67*60*60</f>
        <v>26.18181818181818</v>
      </c>
      <c r="Q68" s="38" t="s">
        <v>96</v>
      </c>
      <c r="R68" s="11"/>
    </row>
    <row r="69" spans="15:18">
      <c r="O69" s="30" t="s">
        <v>118</v>
      </c>
      <c r="P69" s="67">
        <f>P68+(P62*P65)+(P63*P64)</f>
        <v>66.181818181818187</v>
      </c>
      <c r="Q69" s="38" t="s">
        <v>96</v>
      </c>
      <c r="R69" s="11"/>
    </row>
    <row r="70" spans="15:18">
      <c r="O70" s="31"/>
      <c r="P70" s="47">
        <f>IF(ROUNDUP(P69/60,0)&lt;(P69/60),ROUNDUP(P69/60,1),ROUNDUP(P69/60,0))</f>
        <v>2</v>
      </c>
      <c r="Q70" s="32" t="s">
        <v>119</v>
      </c>
      <c r="R70" s="7" t="s">
        <v>120</v>
      </c>
    </row>
    <row r="71" spans="15:18">
      <c r="P71" s="13"/>
    </row>
    <row r="73" spans="15:18">
      <c r="O73" s="46" t="s">
        <v>121</v>
      </c>
      <c r="P73" s="36"/>
      <c r="Q73" s="36"/>
      <c r="R73" s="37"/>
    </row>
    <row r="74" spans="15:18">
      <c r="O74" s="29" t="s">
        <v>106</v>
      </c>
      <c r="P74" s="1">
        <v>0.85</v>
      </c>
      <c r="Q74" s="2" t="s">
        <v>107</v>
      </c>
      <c r="R74" s="3" t="s">
        <v>108</v>
      </c>
    </row>
    <row r="75" spans="15:18">
      <c r="O75" s="30" t="s">
        <v>109</v>
      </c>
      <c r="P75" s="6">
        <v>0</v>
      </c>
      <c r="Q75" s="38"/>
      <c r="R75" s="11"/>
    </row>
    <row r="76" spans="15:18">
      <c r="O76" s="30" t="s">
        <v>110</v>
      </c>
      <c r="P76" s="6">
        <v>5</v>
      </c>
      <c r="Q76" s="38"/>
      <c r="R76" s="11"/>
    </row>
    <row r="77" spans="15:18">
      <c r="O77" s="30" t="s">
        <v>111</v>
      </c>
      <c r="P77" s="6">
        <v>10</v>
      </c>
      <c r="Q77" s="38" t="s">
        <v>96</v>
      </c>
      <c r="R77" s="11" t="s">
        <v>112</v>
      </c>
    </row>
    <row r="78" spans="15:18">
      <c r="O78" s="30" t="s">
        <v>113</v>
      </c>
      <c r="P78" s="6">
        <v>60</v>
      </c>
      <c r="Q78" s="38" t="s">
        <v>96</v>
      </c>
      <c r="R78" s="11"/>
    </row>
    <row r="79" spans="15:18">
      <c r="O79" s="30" t="s">
        <v>114</v>
      </c>
      <c r="P79" s="39">
        <v>55</v>
      </c>
      <c r="Q79" s="38" t="s">
        <v>115</v>
      </c>
      <c r="R79" s="11" t="s">
        <v>112</v>
      </c>
    </row>
    <row r="80" spans="15:18">
      <c r="O80" s="30" t="s">
        <v>116</v>
      </c>
      <c r="P80" s="39">
        <f>P74/P79</f>
        <v>1.5454545454545453E-2</v>
      </c>
      <c r="Q80" s="38" t="s">
        <v>117</v>
      </c>
      <c r="R80" s="11"/>
    </row>
    <row r="81" spans="15:18">
      <c r="O81" s="30"/>
      <c r="P81" s="6">
        <f>P80*60*60</f>
        <v>55.636363636363633</v>
      </c>
      <c r="Q81" s="38" t="s">
        <v>96</v>
      </c>
      <c r="R81" s="11"/>
    </row>
    <row r="82" spans="15:18">
      <c r="O82" s="30" t="s">
        <v>118</v>
      </c>
      <c r="P82" s="6">
        <f>P81+(P75*P78)+(P76*P77)</f>
        <v>105.63636363636363</v>
      </c>
      <c r="Q82" s="38" t="s">
        <v>96</v>
      </c>
      <c r="R82" s="11"/>
    </row>
    <row r="83" spans="15:18">
      <c r="O83" s="31"/>
      <c r="P83" s="47">
        <f>IF(ROUNDUP(P82/60,0)&lt;(P82/60),ROUNDUP(P82/60,1),ROUNDUP(P82/60,0))</f>
        <v>2</v>
      </c>
      <c r="Q83" s="32" t="s">
        <v>119</v>
      </c>
      <c r="R83" s="7" t="s">
        <v>120</v>
      </c>
    </row>
    <row r="86" spans="15:18">
      <c r="O86" s="46" t="s">
        <v>122</v>
      </c>
      <c r="P86" s="36"/>
      <c r="Q86" s="36"/>
      <c r="R86" s="37"/>
    </row>
    <row r="87" spans="15:18">
      <c r="O87" s="29" t="s">
        <v>106</v>
      </c>
      <c r="P87" s="1">
        <v>0.9</v>
      </c>
      <c r="Q87" s="2" t="s">
        <v>107</v>
      </c>
      <c r="R87" s="3" t="s">
        <v>108</v>
      </c>
    </row>
    <row r="88" spans="15:18">
      <c r="O88" s="30" t="s">
        <v>109</v>
      </c>
      <c r="P88" s="6">
        <v>0</v>
      </c>
      <c r="Q88" s="38"/>
      <c r="R88" s="11"/>
    </row>
    <row r="89" spans="15:18">
      <c r="O89" s="30" t="s">
        <v>110</v>
      </c>
      <c r="P89" s="6">
        <v>5</v>
      </c>
      <c r="Q89" s="38"/>
      <c r="R89" s="11"/>
    </row>
    <row r="90" spans="15:18">
      <c r="O90" s="30" t="s">
        <v>111</v>
      </c>
      <c r="P90" s="6">
        <v>10</v>
      </c>
      <c r="Q90" s="38" t="s">
        <v>96</v>
      </c>
      <c r="R90" s="11" t="s">
        <v>112</v>
      </c>
    </row>
    <row r="91" spans="15:18">
      <c r="O91" s="30" t="s">
        <v>113</v>
      </c>
      <c r="P91" s="6">
        <v>60</v>
      </c>
      <c r="Q91" s="38" t="s">
        <v>96</v>
      </c>
      <c r="R91" s="11"/>
    </row>
    <row r="92" spans="15:18">
      <c r="O92" s="30" t="s">
        <v>114</v>
      </c>
      <c r="P92" s="39">
        <v>55</v>
      </c>
      <c r="Q92" s="38" t="s">
        <v>115</v>
      </c>
      <c r="R92" s="11" t="s">
        <v>112</v>
      </c>
    </row>
    <row r="93" spans="15:18">
      <c r="O93" s="30" t="s">
        <v>116</v>
      </c>
      <c r="P93" s="39">
        <f>P87/P92</f>
        <v>1.6363636363636365E-2</v>
      </c>
      <c r="Q93" s="38" t="s">
        <v>117</v>
      </c>
      <c r="R93" s="11"/>
    </row>
    <row r="94" spans="15:18">
      <c r="O94" s="30"/>
      <c r="P94" s="67">
        <f>P93*60*60</f>
        <v>58.909090909090914</v>
      </c>
      <c r="Q94" s="38" t="s">
        <v>96</v>
      </c>
      <c r="R94" s="11"/>
    </row>
    <row r="95" spans="15:18">
      <c r="O95" s="30" t="s">
        <v>118</v>
      </c>
      <c r="P95" s="67">
        <f>P94+(P88*P91)+(P89*P90)</f>
        <v>108.90909090909091</v>
      </c>
      <c r="Q95" s="38" t="s">
        <v>96</v>
      </c>
      <c r="R95" s="11"/>
    </row>
    <row r="96" spans="15:18">
      <c r="O96" s="31"/>
      <c r="P96" s="47">
        <f>IF(ROUNDUP(P95/60,0)&lt;(P95/60),ROUNDUP(P95/60,1),ROUNDUP(P95/60,0))</f>
        <v>2</v>
      </c>
      <c r="Q96" s="32" t="s">
        <v>119</v>
      </c>
      <c r="R96" s="7" t="s">
        <v>120</v>
      </c>
    </row>
  </sheetData>
  <mergeCells count="4">
    <mergeCell ref="L40:M40"/>
    <mergeCell ref="U53:AB53"/>
    <mergeCell ref="V54:W54"/>
    <mergeCell ref="Y54:Z54"/>
  </mergeCells>
  <conditionalFormatting sqref="L42:M46">
    <cfRule type="cellIs" dxfId="5" priority="1" operator="greaterThan">
      <formula>1</formula>
    </cfRule>
    <cfRule type="cellIs" dxfId="4" priority="2" operator="between">
      <formula>0.9501</formula>
      <formula>1</formula>
    </cfRule>
    <cfRule type="cellIs" dxfId="3" priority="3" operator="between">
      <formula>0.901</formula>
      <formula>0.95</formula>
    </cfRule>
    <cfRule type="cellIs" dxfId="2" priority="4" operator="between">
      <formula>0.701</formula>
      <formula>0.9</formula>
    </cfRule>
    <cfRule type="cellIs" dxfId="1" priority="5" operator="between">
      <formula>0.601</formula>
      <formula>0.7</formula>
    </cfRule>
    <cfRule type="cellIs" dxfId="0" priority="6" operator="lessThanOrEqual">
      <formula>0.6</formula>
    </cfRule>
  </conditionalFormatting>
  <hyperlinks>
    <hyperlink ref="C2" r:id="rId1" xr:uid="{26687CBC-07AE-41BA-92B0-3CBE0E76B69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F0D1A1-A464-4E4D-B3F0-D972CB350EBB}">
          <x14:formula1>
            <xm:f>'Meta Data'!$C$6:$C$16</xm:f>
          </x14:formula1>
          <xm:sqref>C6</xm:sqref>
        </x14:dataValidation>
        <x14:dataValidation type="list" allowBlank="1" showInputMessage="1" showErrorMessage="1" xr:uid="{FECB77E3-1CB3-4AFB-A91D-4BAFE6BD5A61}">
          <x14:formula1>
            <xm:f>'Meta Data'!$M$3:$M$6</xm:f>
          </x14:formula1>
          <xm:sqref>E7 I7</xm:sqref>
        </x14:dataValidation>
        <x14:dataValidation type="list" allowBlank="1" showInputMessage="1" showErrorMessage="1" xr:uid="{C0D8014C-E1D5-4E89-9950-BE70E2E881F0}">
          <x14:formula1>
            <xm:f>'Meta Data'!$P$15:$P$17</xm:f>
          </x14:formula1>
          <xm:sqref>K36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1479e-22cc-4292-8fef-f5f9981cbf5f" xsi:nil="true"/>
    <lcf76f155ced4ddcb4097134ff3c332f xmlns="f8379a8f-d036-43dd-b2ba-323d65615330">
      <Terms xmlns="http://schemas.microsoft.com/office/infopath/2007/PartnerControls"/>
    </lcf76f155ced4ddcb4097134ff3c332f>
    <Time xmlns="f8379a8f-d036-43dd-b2ba-323d656153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AD33DB93F6643B5E4B915BBA7E8AF" ma:contentTypeVersion="17" ma:contentTypeDescription="Create a new document." ma:contentTypeScope="" ma:versionID="64df2b8fa5792bd97b2d3fe2b85d6ab0">
  <xsd:schema xmlns:xsd="http://www.w3.org/2001/XMLSchema" xmlns:xs="http://www.w3.org/2001/XMLSchema" xmlns:p="http://schemas.microsoft.com/office/2006/metadata/properties" xmlns:ns2="8711479e-22cc-4292-8fef-f5f9981cbf5f" xmlns:ns3="f8379a8f-d036-43dd-b2ba-323d65615330" targetNamespace="http://schemas.microsoft.com/office/2006/metadata/properties" ma:root="true" ma:fieldsID="feeae8eeb8074737e1718835d44a93f2" ns2:_="" ns3:_="">
    <xsd:import namespace="8711479e-22cc-4292-8fef-f5f9981cbf5f"/>
    <xsd:import namespace="f8379a8f-d036-43dd-b2ba-323d656153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1479e-22cc-4292-8fef-f5f9981cbf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ac8523-2513-4720-b220-18e836937b27}" ma:internalName="TaxCatchAll" ma:showField="CatchAllData" ma:web="8711479e-22cc-4292-8fef-f5f9981cb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9a8f-d036-43dd-b2ba-323d65615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de70af-5b9d-49a8-8399-5553384e22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3" nillable="true" ma:displayName="Time" ma:format="DateOnly" ma:internalName="Tim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72D78F-6BCA-486F-B8E5-8DB63110ED1C}"/>
</file>

<file path=customXml/itemProps2.xml><?xml version="1.0" encoding="utf-8"?>
<ds:datastoreItem xmlns:ds="http://schemas.openxmlformats.org/officeDocument/2006/customXml" ds:itemID="{1BDE8395-3BCC-410E-ADF6-C7096DC64F57}"/>
</file>

<file path=customXml/itemProps3.xml><?xml version="1.0" encoding="utf-8"?>
<ds:datastoreItem xmlns:ds="http://schemas.openxmlformats.org/officeDocument/2006/customXml" ds:itemID="{D6FCFB73-759C-48DD-962D-D53780DC08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Anthony</dc:creator>
  <cp:keywords/>
  <dc:description/>
  <cp:lastModifiedBy>Alexandria Gabon Masangkay</cp:lastModifiedBy>
  <cp:revision/>
  <dcterms:created xsi:type="dcterms:W3CDTF">2021-11-26T10:13:03Z</dcterms:created>
  <dcterms:modified xsi:type="dcterms:W3CDTF">2025-11-05T04:31:57Z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0x0101002DEAD33DB93F6643B5E4B915BBA7E8AF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