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cromptonconcepts.sharepoint.com/Shared Documents/Operations/TMR/Traffic Counts/"/>
    </mc:Choice>
  </mc:AlternateContent>
  <xr:revisionPtr revIDLastSave="0" documentId="8_{3C071F75-F370-4227-ACC4-103563794F2C}" xr6:coauthVersionLast="47" xr6:coauthVersionMax="47" xr10:uidLastSave="{00000000-0000-0000-0000-000000000000}"/>
  <bookViews>
    <workbookView xWindow="-98" yWindow="-98" windowWidth="28996" windowHeight="15675" activeTab="1" xr2:uid="{00000000-000D-0000-FFFF-FFFF00000000}"/>
  </bookViews>
  <sheets>
    <sheet name="Traffic Count" sheetId="1" r:id="rId1"/>
    <sheet name="Traffic Impact and Queue Length" sheetId="2" r:id="rId2"/>
  </sheets>
  <definedNames>
    <definedName name="_xlnm._FilterDatabase" localSheetId="0" hidden="1">'Traffic Count'!$A$1:$AZ$546</definedName>
    <definedName name="AADT">'Traffic Impact and Queue Length'!$W$6</definedName>
    <definedName name="AAWT">'Traffic Impact and Queue Length'!$W$13</definedName>
    <definedName name="AM_FROM_HUR">'Traffic Impact and Queue Length'!$Z$1</definedName>
    <definedName name="AM_PEAK">'Traffic Impact and Queue Length'!$W$11</definedName>
    <definedName name="AM_TO_HUR">'Traffic Impact and Queue Length'!$Z$2</definedName>
    <definedName name="COUNTER_LOCATION_BETWEEN">'Traffic Impact and Queue Length'!$W$5</definedName>
    <definedName name="DIR1_">'Traffic Impact and Queue Length'!$W$7</definedName>
    <definedName name="DIR2_">'Traffic Impact and Queue Length'!$W$9</definedName>
    <definedName name="OBJECTID">'Traffic Impact and Queue Length'!$W$2</definedName>
    <definedName name="PM_FROM_HUR">'Traffic Impact and Queue Length'!$Z$3</definedName>
    <definedName name="PM_PEAK">'Traffic Impact and Queue Length'!$W$12</definedName>
    <definedName name="PM_TO_HUR">'Traffic Impact and Queue Length'!$Z$4</definedName>
    <definedName name="Row_Number">'Traffic Impact and Queue Length'!$W$1</definedName>
    <definedName name="STREET_NAME">'Traffic Impact and Queue Length'!$W$3</definedName>
    <definedName name="SUBURB">'Traffic Impact and Queue Length'!$W$4</definedName>
    <definedName name="VOL1_">'Traffic Impact and Queue Length'!$W$8</definedName>
    <definedName name="VOL2_">'Traffic Impact and Queue Length'!$W$10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3" i="2" l="1"/>
  <c r="Z4" i="2"/>
  <c r="Z3" i="2"/>
  <c r="Z2" i="2"/>
  <c r="Z1" i="2"/>
  <c r="W13" i="2"/>
  <c r="W12" i="2"/>
  <c r="W11" i="2"/>
  <c r="W10" i="2"/>
  <c r="W9" i="2"/>
  <c r="W8" i="2"/>
  <c r="W7" i="2"/>
  <c r="W6" i="2"/>
  <c r="W5" i="2"/>
  <c r="W4" i="2"/>
  <c r="W3" i="2"/>
  <c r="W2" i="2"/>
  <c r="W1" i="2"/>
  <c r="C27" i="2"/>
  <c r="M21" i="2" a="1"/>
  <c r="D21" i="2" a="1"/>
  <c r="J21" i="2" a="1"/>
  <c r="L21" i="2" a="1"/>
  <c r="E21" i="2" a="1"/>
  <c r="K21" i="2" a="1"/>
  <c r="L23" i="2" a="1"/>
  <c r="Q34" i="2" a="1"/>
  <c r="H21" i="2" a="1"/>
  <c r="C21" i="2" a="1"/>
  <c r="I21" i="2" a="1"/>
  <c r="Q33" i="2" a="1"/>
  <c r="B21" i="2" a="1"/>
  <c r="F21" i="2" a="1"/>
  <c r="F8" i="2" a="1"/>
  <c r="K23" i="2" a="1"/>
  <c r="G21" i="2" a="1"/>
  <c r="I21" i="2" l="1"/>
  <c r="Q33" i="2"/>
  <c r="Q34" i="2"/>
  <c r="G21" i="2"/>
  <c r="F21" i="2"/>
  <c r="F8" i="2"/>
  <c r="K23" i="2"/>
  <c r="L23" i="2"/>
  <c r="M21" i="2"/>
  <c r="L21" i="2"/>
  <c r="K21" i="2"/>
  <c r="J21" i="2"/>
  <c r="H21" i="2"/>
  <c r="E21" i="2"/>
  <c r="D21" i="2"/>
  <c r="C21" i="2"/>
  <c r="Q29" i="2" s="1"/>
  <c r="B21" i="2"/>
  <c r="D27" i="2"/>
  <c r="V59" i="2" l="1"/>
  <c r="V47" i="2"/>
  <c r="F22" i="2"/>
  <c r="R31" i="2" s="1"/>
  <c r="J22" i="2"/>
  <c r="L22" i="2"/>
  <c r="H22" i="2"/>
  <c r="M22" i="2"/>
  <c r="K22" i="2"/>
  <c r="Y61" i="2" l="1"/>
  <c r="Y63" i="2" s="1"/>
  <c r="X61" i="2"/>
  <c r="Y49" i="2"/>
  <c r="Y51" i="2" s="1"/>
  <c r="X49" i="2"/>
  <c r="R34" i="2" l="1"/>
  <c r="R35" i="2"/>
  <c r="R33" i="2"/>
  <c r="AA49" i="2"/>
  <c r="Z61" i="2"/>
  <c r="Z49" i="2"/>
  <c r="AA61" i="2"/>
  <c r="AA63" i="2" s="1"/>
  <c r="X63" i="2"/>
  <c r="X51" i="2"/>
  <c r="S35" i="2" l="1"/>
  <c r="Z63" i="2"/>
  <c r="Z66" i="2" s="1"/>
  <c r="S34" i="2"/>
  <c r="S33" i="2"/>
  <c r="X67" i="2"/>
  <c r="X66" i="2"/>
  <c r="X65" i="2"/>
  <c r="X64" i="2"/>
  <c r="X54" i="2"/>
  <c r="X55" i="2"/>
  <c r="X52" i="2"/>
  <c r="X53" i="2"/>
  <c r="AA51" i="2"/>
  <c r="Z51" i="2"/>
  <c r="Z65" i="2" l="1"/>
  <c r="Z64" i="2"/>
  <c r="Z67" i="2"/>
  <c r="Z55" i="2"/>
  <c r="Z53" i="2"/>
  <c r="Z54" i="2"/>
  <c r="Z5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<sst xmlns="http://schemas.openxmlformats.org/spreadsheetml/2006/main" count="9361" uniqueCount="1347">
  <si>
    <t>X</t>
  </si>
  <si>
    <t>Y</t>
  </si>
  <si>
    <t>OBJECTID</t>
  </si>
  <si>
    <t>STREET_NAME</t>
  </si>
  <si>
    <t>SUBURB</t>
  </si>
  <si>
    <t>COUNTER_LOCATION_BETWEEN</t>
  </si>
  <si>
    <t>AADT_DATE</t>
  </si>
  <si>
    <t>AADT</t>
  </si>
  <si>
    <t>LANE_NO_AADT</t>
  </si>
  <si>
    <t>AADT_SOURCE</t>
  </si>
  <si>
    <t>SPEED_AVG</t>
  </si>
  <si>
    <t>SPEED_85_</t>
  </si>
  <si>
    <t>ACCURACY_FLAG</t>
  </si>
  <si>
    <t>VCAT_SOURCE</t>
  </si>
  <si>
    <t>VCAT_DATE</t>
  </si>
  <si>
    <t>S2_PCENT</t>
  </si>
  <si>
    <t>M3_5_PCENT</t>
  </si>
  <si>
    <t>M2_PCENT</t>
  </si>
  <si>
    <t>M3_PCENT</t>
  </si>
  <si>
    <t>M4_5_PCENT</t>
  </si>
  <si>
    <t>L3_PCENT</t>
  </si>
  <si>
    <t>L4_PCENT</t>
  </si>
  <si>
    <t>L5_PCENT</t>
  </si>
  <si>
    <t>L6_PCENT</t>
  </si>
  <si>
    <t>L7_8_PCENT</t>
  </si>
  <si>
    <t>MC_PCENT</t>
  </si>
  <si>
    <t>LC_PCENT</t>
  </si>
  <si>
    <t>OV_PCENT</t>
  </si>
  <si>
    <t>SPD_DATE</t>
  </si>
  <si>
    <t>SPEED_LIMIT</t>
  </si>
  <si>
    <t>SPDL_DATE</t>
  </si>
  <si>
    <t>DIR1</t>
  </si>
  <si>
    <t>VOL1</t>
  </si>
  <si>
    <t>DIR2</t>
  </si>
  <si>
    <t>VOL2</t>
  </si>
  <si>
    <t>DIR1_DATE</t>
  </si>
  <si>
    <t>DIR_SOURCE</t>
  </si>
  <si>
    <t>COMMENTS</t>
  </si>
  <si>
    <t>AM_FROM_HUR</t>
  </si>
  <si>
    <t>AM_FROM_MIN</t>
  </si>
  <si>
    <t>AM_TO_HUR</t>
  </si>
  <si>
    <t>AM_TO_MIN</t>
  </si>
  <si>
    <t>AM_PEAK</t>
  </si>
  <si>
    <t>PM_FROM_HUR</t>
  </si>
  <si>
    <t>PM_FROM_MIN</t>
  </si>
  <si>
    <t>PM_TO_HUR</t>
  </si>
  <si>
    <t>PM_TO_MIN</t>
  </si>
  <si>
    <t>PM_PEAK</t>
  </si>
  <si>
    <t>AMPM_SOURCE</t>
  </si>
  <si>
    <t>AAWT</t>
  </si>
  <si>
    <t>AAWT_DATE</t>
  </si>
  <si>
    <t>AAWT_SOURCE</t>
  </si>
  <si>
    <t>Mackellar Dr</t>
  </si>
  <si>
    <t>Boronia Heights</t>
  </si>
  <si>
    <t>Mackellar Dr near No 31 Boronia Heights</t>
  </si>
  <si>
    <t>2015/05/05 00:00:00+00</t>
  </si>
  <si>
    <t>METRO</t>
  </si>
  <si>
    <t>E</t>
  </si>
  <si>
    <t>W</t>
  </si>
  <si>
    <t>Mackellar Dr near No 74 Boronia Heights</t>
  </si>
  <si>
    <t>Mackellar Dr near No 74  Boronia Heights</t>
  </si>
  <si>
    <t>Mackellar Dr near 108 Boronia Heights</t>
  </si>
  <si>
    <t>Araagon St</t>
  </si>
  <si>
    <t>Beenleigh</t>
  </si>
  <si>
    <t xml:space="preserve">Aragon St at no 19 Beenleigh </t>
  </si>
  <si>
    <t xml:space="preserve">Araagon St at no 19 Beenleigh </t>
  </si>
  <si>
    <t>Lissadell St</t>
  </si>
  <si>
    <t xml:space="preserve">Shailer Park </t>
  </si>
  <si>
    <t xml:space="preserve">Lissadell St at no 25 Shailer Park </t>
  </si>
  <si>
    <t>2015/05/04 00:00:00+00</t>
  </si>
  <si>
    <t>Conifer St</t>
  </si>
  <si>
    <t>Hillcrest</t>
  </si>
  <si>
    <t xml:space="preserve">36 Conifer St Hillcrest </t>
  </si>
  <si>
    <t>Devon St</t>
  </si>
  <si>
    <t xml:space="preserve">Rochdale South </t>
  </si>
  <si>
    <t xml:space="preserve">Devon St near no 37 and 44 Rochdale South </t>
  </si>
  <si>
    <t xml:space="preserve">Holzheimer Rd </t>
  </si>
  <si>
    <t xml:space="preserve">Bethania  </t>
  </si>
  <si>
    <t xml:space="preserve">16 Holzheimer Rd </t>
  </si>
  <si>
    <t>2015/05/12 00:00:00+00</t>
  </si>
  <si>
    <t>N</t>
  </si>
  <si>
    <t>S</t>
  </si>
  <si>
    <t>Railway Pde</t>
  </si>
  <si>
    <t>Woodridge</t>
  </si>
  <si>
    <t xml:space="preserve">114 Railway Pde </t>
  </si>
  <si>
    <t>Highview Tce</t>
  </si>
  <si>
    <t>Daisy Hill</t>
  </si>
  <si>
    <t>Highview Tce Opp no 35 Daisy Hill</t>
  </si>
  <si>
    <t>2015/06/17 00:00:00+00</t>
  </si>
  <si>
    <t>HOLYOAKE DR</t>
  </si>
  <si>
    <t>ADJ</t>
  </si>
  <si>
    <t>Lancelot St</t>
  </si>
  <si>
    <t>Rochdale South</t>
  </si>
  <si>
    <t>Lancelot St opp house 17</t>
  </si>
  <si>
    <t>Bambil St</t>
  </si>
  <si>
    <t>Crestmead</t>
  </si>
  <si>
    <t xml:space="preserve"> Bambil St opp no 13 Marsden </t>
  </si>
  <si>
    <t>Hyacinth St</t>
  </si>
  <si>
    <t xml:space="preserve">Hyacinth St Opp no 12 Daisy Hill </t>
  </si>
  <si>
    <t>Allenby Dr</t>
  </si>
  <si>
    <t>Medowbrook</t>
  </si>
  <si>
    <t xml:space="preserve">Allenby Dr just north of Ficus Dr opp no 30 </t>
  </si>
  <si>
    <t>2015/06/03 00:00:00+00</t>
  </si>
  <si>
    <t>2015/03/06 00:00:00+00</t>
  </si>
  <si>
    <t>GOODNA-BROWNS PLAINS RD</t>
  </si>
  <si>
    <t>Greenbank</t>
  </si>
  <si>
    <t xml:space="preserve">Johnson Road, Greenbank - approx 300m west of Stapylton Road </t>
  </si>
  <si>
    <t>2015/06/26 00:00:00+00</t>
  </si>
  <si>
    <t>Underwood Rd</t>
  </si>
  <si>
    <t>Rochedale South</t>
  </si>
  <si>
    <t>Underwood Road, Rochedale South   - 752 (Outside Shopping Centre)</t>
  </si>
  <si>
    <t>Loganlea Rd</t>
  </si>
  <si>
    <t>Loganlea</t>
  </si>
  <si>
    <t>Nuway Landscaping &amp; Golf Course Rd</t>
  </si>
  <si>
    <t>2015/05/08 00:00:00+00</t>
  </si>
  <si>
    <t>100m south of Slacks Creek</t>
  </si>
  <si>
    <t>Queens Rd &amp; University Drv</t>
  </si>
  <si>
    <t>400m south of Queens Rd</t>
  </si>
  <si>
    <t>Edenlea Drv &amp; Logan M'Way On / Off ramps</t>
  </si>
  <si>
    <t>80m north of Edenlea Rd (Northbound Middle and right lane covered by one set of tubes / left lane separated)</t>
  </si>
  <si>
    <t>East Carnival St and Webb Rd</t>
  </si>
  <si>
    <t>Adj Kraatz Park</t>
  </si>
  <si>
    <t>Rosella St and Short St</t>
  </si>
  <si>
    <t>Adj 66 Loganlea Rd</t>
  </si>
  <si>
    <t>Short St and Bompa Rd</t>
  </si>
  <si>
    <t>Adj No 35 Loganlea Rd</t>
  </si>
  <si>
    <t>Dickman Rd</t>
  </si>
  <si>
    <t>Forestdale</t>
  </si>
  <si>
    <t>37 Dickman Rd, Forestdale</t>
  </si>
  <si>
    <t>2015/07/23 00:00:00+00</t>
  </si>
  <si>
    <t>Edenlea Dr</t>
  </si>
  <si>
    <t>68 Edenlea Dr, Meadowbrook</t>
  </si>
  <si>
    <t>Regency Dr</t>
  </si>
  <si>
    <t xml:space="preserve">Regents Park </t>
  </si>
  <si>
    <t xml:space="preserve">63/2 Regency Dr , Regents Park </t>
  </si>
  <si>
    <t>2015/07/26 00:00:00+00</t>
  </si>
  <si>
    <t>North Road</t>
  </si>
  <si>
    <t xml:space="preserve">#100 North Road, Woodridge </t>
  </si>
  <si>
    <t>2015/08/06 00:00:00+00</t>
  </si>
  <si>
    <t>Augustus Street</t>
  </si>
  <si>
    <t>Kingston</t>
  </si>
  <si>
    <t xml:space="preserve">Augustus Street, Kingston near #35 </t>
  </si>
  <si>
    <t>Lyrebird Street</t>
  </si>
  <si>
    <t>Lyrebird Street, Loganlea, near #7</t>
  </si>
  <si>
    <t>Camelia Ave</t>
  </si>
  <si>
    <t>Logan Central</t>
  </si>
  <si>
    <t xml:space="preserve">39 Camelia Ave Logan Central </t>
  </si>
  <si>
    <t>2015/08/13 00:00:00+00</t>
  </si>
  <si>
    <t>Carnation St</t>
  </si>
  <si>
    <t>Waterford West</t>
  </si>
  <si>
    <t xml:space="preserve">11 Carnation St , Waterford West </t>
  </si>
  <si>
    <t>2015/08/25 00:00:00+00</t>
  </si>
  <si>
    <t>Cedar Grove Road</t>
  </si>
  <si>
    <t xml:space="preserve">Cedar Grove </t>
  </si>
  <si>
    <t xml:space="preserve">Section 1 Cedar Grove Rd 500 M W of Mt Lindsay Hwy , Cedar Grove </t>
  </si>
  <si>
    <t xml:space="preserve">Section 2 Cedar Grove Rd 565 M W of Leopardwood Rd , Cedar Grove </t>
  </si>
  <si>
    <t>Menora Rd</t>
  </si>
  <si>
    <t xml:space="preserve">Bahrs Scrub </t>
  </si>
  <si>
    <t xml:space="preserve">19 Menora Rd , Bahrs Scrub </t>
  </si>
  <si>
    <t>2015/08/23 00:00:00+00</t>
  </si>
  <si>
    <t>Hein Rd</t>
  </si>
  <si>
    <t>Buccan</t>
  </si>
  <si>
    <t xml:space="preserve">Appr 100m Southwest of #62-66 Hein Rd , Buccan </t>
  </si>
  <si>
    <t xml:space="preserve">178 - 182 Hein Rd , Buccan </t>
  </si>
  <si>
    <t xml:space="preserve">373 - 394 Hein Rd , Bahrs Scrub </t>
  </si>
  <si>
    <t>KENNY ROAD</t>
  </si>
  <si>
    <t>CHAMBERS FLAT</t>
  </si>
  <si>
    <t>Between CHAMBERS FLAT ROAD and #8-20 KENNY ROAD</t>
  </si>
  <si>
    <t>2015/05/22 00:00:00+00</t>
  </si>
  <si>
    <t>THOMPSON ROAD</t>
  </si>
  <si>
    <t>GREENBANK</t>
  </si>
  <si>
    <t>Between GOODNA ROAD and #52-62 THOMPSON ROAD</t>
  </si>
  <si>
    <t>Between DANIEL COURT and BEGLEY ROAD</t>
  </si>
  <si>
    <t>PARK RIDGE ROAD</t>
  </si>
  <si>
    <t>PARK RIDGE</t>
  </si>
  <si>
    <t>Between # 327 PARK RIDGE ROAD and ## 335  PARK RIDGE ROAD</t>
  </si>
  <si>
    <t>2015/05/29 00:00:00+00</t>
  </si>
  <si>
    <t>LOGAN RESERVE ROAD</t>
  </si>
  <si>
    <t>LOGAN RESERVE</t>
  </si>
  <si>
    <t>Between SCHOOL ROAD and #1-29 GLEN ROAD (ALT)</t>
  </si>
  <si>
    <t>CASWELL ROAD</t>
  </si>
  <si>
    <t>VERESDALE</t>
  </si>
  <si>
    <t>Between MT LINDESAY HWY and 35 BLUFF ROAD</t>
  </si>
  <si>
    <t>2015/05/27 00:00:00+00</t>
  </si>
  <si>
    <t>ANZAC AVENUE</t>
  </si>
  <si>
    <t>Between KIRK ROAD and #33-87 ANZAC AVENUE</t>
  </si>
  <si>
    <t>2015/05/21 00:00:00+00</t>
  </si>
  <si>
    <t>BAHRS SCRUB ROAD</t>
  </si>
  <si>
    <t>BAHRS SCRUB</t>
  </si>
  <si>
    <t>Between #49 BAHRS SCRUB ROAD and #115 BAHRS SCRUB ROAD</t>
  </si>
  <si>
    <t>AMBER CRESCENT</t>
  </si>
  <si>
    <t>JIMBOOMBA</t>
  </si>
  <si>
    <t>Between #324-328 AMBER CRESCENT and EDELSTEN ROAD</t>
  </si>
  <si>
    <t>2015/05/26 00:00:00+00</t>
  </si>
  <si>
    <t>TEVIOT ROAD</t>
  </si>
  <si>
    <t>CARBROOK</t>
  </si>
  <si>
    <t>Between LAGOON ROAD and DEE COURT</t>
  </si>
  <si>
    <t>2015/06/02 00:00:00+00</t>
  </si>
  <si>
    <t>HINCHCLIFFE ROAD</t>
  </si>
  <si>
    <t>LOGAN VILLAGE</t>
  </si>
  <si>
    <t>Between #112-118 HINCHCLIFFE ROAD and MILLER ROAD</t>
  </si>
  <si>
    <t>MILLSTREAM ROAD</t>
  </si>
  <si>
    <t>CEDAR VALE</t>
  </si>
  <si>
    <t>Between LYREBIRD STREET and #654-707 MILLSTREAM ROAD</t>
  </si>
  <si>
    <t>SECOND AVENUE</t>
  </si>
  <si>
    <t>MARSDEN</t>
  </si>
  <si>
    <t>Between #208-234 SECOND AVENUE and THIRD AVENUE</t>
  </si>
  <si>
    <t>KURRAJONG ROAD</t>
  </si>
  <si>
    <t>Between MILLSTREAM ROAD and #60-74 KURRAJONG ROAD</t>
  </si>
  <si>
    <t>2015/05/28 00:00:00+00</t>
  </si>
  <si>
    <t>Between #243-249 MUNDOOLUN ROAD (ALT) and MUNDOOLUN ROAD</t>
  </si>
  <si>
    <t>PLUNKETT ROAD</t>
  </si>
  <si>
    <t>CEDAR CREEK</t>
  </si>
  <si>
    <t>Between #764-776 PLUNKETT ROAD and CHARDON BRIDGE ROAD</t>
  </si>
  <si>
    <t>DENNIS ROAD</t>
  </si>
  <si>
    <t>Between MILLSTREAM ROAD and #54-64 DENNIS ROAD</t>
  </si>
  <si>
    <t>LOGANVIEW ROAD</t>
  </si>
  <si>
    <t>Between ROSSMORE ROAD and #58-62 LOGANVIEW ROAD (ALT)</t>
  </si>
  <si>
    <t>Between #296-300 LOGANVIEW ROAD NORTH and SCHOOL ROAD</t>
  </si>
  <si>
    <t>LATIMER ROAD</t>
  </si>
  <si>
    <t>Between MILLER ROAD and #232-240 LATIMER ROAD</t>
  </si>
  <si>
    <t>WILLIAMSON ROAD</t>
  </si>
  <si>
    <t>TAMBORINE</t>
  </si>
  <si>
    <t>Between WATERFORD TAMBORINE ROAD and #46-52 WILLIAMSON ROAD</t>
  </si>
  <si>
    <t>UNDULLAH ROAD</t>
  </si>
  <si>
    <t>WOODHILL</t>
  </si>
  <si>
    <t>Between WOODHILL BRIDGE and #60 UNDULLAH ROAD</t>
  </si>
  <si>
    <t>Between HALL ROAD and #269 UNDULLAH ROAD</t>
  </si>
  <si>
    <t>MYRTLE ROAD</t>
  </si>
  <si>
    <t>Between PEPPERTREE DRIVE and #46-48 MYRTLE ROAD</t>
  </si>
  <si>
    <t>GREY GUM ROAD</t>
  </si>
  <si>
    <t>Between #48-52 GREY GUM ROAD and FLESSER ROAD</t>
  </si>
  <si>
    <t>HOMESTEAD DRIVE</t>
  </si>
  <si>
    <t>Between 200m west of Bushman drive and At culvert</t>
  </si>
  <si>
    <t>HEIN ROAD</t>
  </si>
  <si>
    <t>BUCCAN</t>
  </si>
  <si>
    <t>Between JACQUELINE ROAD and #160-164 HEIN ROAD</t>
  </si>
  <si>
    <t>BOORAH ROAD</t>
  </si>
  <si>
    <t>Between MILLSTREAM ROAD and #160-170 BOORAH ROAD</t>
  </si>
  <si>
    <t>Between #160-170 BOORAH ROAD and #210-220 BOORAH ROAD</t>
  </si>
  <si>
    <t>SUNGOLD ROAD</t>
  </si>
  <si>
    <t>Between CHAMBERS FLAT ROAD and # 54-66 SUNGOLD ROAD</t>
  </si>
  <si>
    <t>MUCHOW ROAD</t>
  </si>
  <si>
    <t>WATERFORD WEST</t>
  </si>
  <si>
    <t>Between MCGRATH STREET and MOFFATT ROAD</t>
  </si>
  <si>
    <t>2015/06/05 00:00:00+00</t>
  </si>
  <si>
    <t>HAMMEL (SERVICE) STREET</t>
  </si>
  <si>
    <t>BEENLEIGH</t>
  </si>
  <si>
    <t>Between LOGAN RIVER ROAD and Walcha Court</t>
  </si>
  <si>
    <t>BERYL PARADE</t>
  </si>
  <si>
    <t>NORTH MACLEAN</t>
  </si>
  <si>
    <t>Between 5om south on Beryl Parade and GREENBANK ROAD</t>
  </si>
  <si>
    <t>2015/06/01 00:00:00+00</t>
  </si>
  <si>
    <t>CHURCH ROAD</t>
  </si>
  <si>
    <t>BETHANIA</t>
  </si>
  <si>
    <t>Between BRISBANE BEENLEIGH ROAD and #43 CHURCH ROAD (OPP)</t>
  </si>
  <si>
    <t>DUNGAREE DRIVE</t>
  </si>
  <si>
    <t>NEW BEITH</t>
  </si>
  <si>
    <t>Between BLUE HEELER DRIVE and PUB LANE</t>
  </si>
  <si>
    <t>FOURTH AVENUE</t>
  </si>
  <si>
    <t>Between APEX STREET and THIRD AVENUE</t>
  </si>
  <si>
    <t>CAMBOGAN ROAD</t>
  </si>
  <si>
    <t>WATERFORD</t>
  </si>
  <si>
    <t>Between WATERFORD TAMBORINE ROAD and #32 CAMBOGAN ROAD</t>
  </si>
  <si>
    <t>Between HERON STREET and #341-355 DENNIS ROAD</t>
  </si>
  <si>
    <t>CHARDON BRIDGE ROAD</t>
  </si>
  <si>
    <t>Between GARDEN ROAD and VEIVERS ROAD</t>
  </si>
  <si>
    <t>KENSINGTON DRIVE</t>
  </si>
  <si>
    <t>MUNRUBEN</t>
  </si>
  <si>
    <t>Between MOUNT LINDESAY HIGHWAY and #48-52 KENSINGTON DRIVE</t>
  </si>
  <si>
    <t>MARYLAND STREET</t>
  </si>
  <si>
    <t>Between #232-244 MARYLAND STREET and STOCKLEIGH ROAD</t>
  </si>
  <si>
    <t>FORD ROAD</t>
  </si>
  <si>
    <t>PRIESTDALE</t>
  </si>
  <si>
    <t>Between #691 FORD ROAD  and RCC/LCC BOUNDARY</t>
  </si>
  <si>
    <t>GRANGER ROAD</t>
  </si>
  <si>
    <t>PARK RIDGE SOUTH</t>
  </si>
  <si>
    <t>Between CHESTERFIELD ROAD and THYLUNGRA ROAD</t>
  </si>
  <si>
    <t>SILVEREYE CRESCENT</t>
  </si>
  <si>
    <t>Between SPINEBILL DRIVE and #60-62 SILVEREYE CRESCENT</t>
  </si>
  <si>
    <t>Between PARROT STREET and SPINEBILL DRIVE (#166-168)</t>
  </si>
  <si>
    <t>STATION ROAD</t>
  </si>
  <si>
    <t>Between HOLZHEIMER ROAD and RADKE ROAD</t>
  </si>
  <si>
    <t>SCOTT LANE (at #100, major culvert)</t>
  </si>
  <si>
    <t>Between GREENBANK ROAD and #100-120 SCOTT LANE</t>
  </si>
  <si>
    <t>Wuraga Road</t>
  </si>
  <si>
    <t xml:space="preserve"> Holmview </t>
  </si>
  <si>
    <t>Between near the Beenleigh landfill transfer station.    and in the vicinity of the HV power lines about 200m up the hill from the Landfill Station</t>
  </si>
  <si>
    <t>2015/06/04 00:00:00+00</t>
  </si>
  <si>
    <t>PUB LANE</t>
  </si>
  <si>
    <t>Between #390-408 PUB LANE and New Beith Rd</t>
  </si>
  <si>
    <t>GREENSWARD ROAD</t>
  </si>
  <si>
    <t>Between WATERFORD TAMBORINE and #46-66 GREENSWARD ROAD</t>
  </si>
  <si>
    <t>TAMBORINE STREET</t>
  </si>
  <si>
    <t>Between ANN STREET and EDELSTEN ROAD</t>
  </si>
  <si>
    <t>EWING ROAD</t>
  </si>
  <si>
    <t>WOODRIDGE</t>
  </si>
  <si>
    <t>Between SMITH ROAD and SOUTHGATE STREET</t>
  </si>
  <si>
    <t>MEAKIN ROAD</t>
  </si>
  <si>
    <t>KINGSTON</t>
  </si>
  <si>
    <t>Between QUEENS ROAD and VELDT DRIVE</t>
  </si>
  <si>
    <t>BARBARALLA DRIVE</t>
  </si>
  <si>
    <t>SPRINGWOOD</t>
  </si>
  <si>
    <t>Between WESTMORELAND BOLUEVARD and ABEL STREET</t>
  </si>
  <si>
    <t>FYSHWICK STREET</t>
  </si>
  <si>
    <t>LOGANHOLME</t>
  </si>
  <si>
    <t>Between HIGGINS STREET and HOLDER STREET</t>
  </si>
  <si>
    <t>CHAMBERS FLAT ROAD</t>
  </si>
  <si>
    <t>Between EAST BEAUMONT ROAD and KOPLICK ROAD</t>
  </si>
  <si>
    <t>SHARON DRIVE</t>
  </si>
  <si>
    <t>EAGLEBY</t>
  </si>
  <si>
    <t>Between RIVER HILLS ROAD and BEDFORD CRESCENT</t>
  </si>
  <si>
    <t>Miller Rd Bridge Rehab Works</t>
  </si>
  <si>
    <t>Logan Village</t>
  </si>
  <si>
    <t>Between Quinzeh Ck Rd and Fryar Rd</t>
  </si>
  <si>
    <t>Fryar Rd</t>
  </si>
  <si>
    <t>Between Miller Rd and Lavelle Dr</t>
  </si>
  <si>
    <t>Goodna Rd</t>
  </si>
  <si>
    <t>Between Ison Rd and Thompson Rd</t>
  </si>
  <si>
    <t xml:space="preserve">Between Near LCC / ICC Boundary - In line with Willandra Rd and </t>
  </si>
  <si>
    <t>Mt Lindsat Hwy Service Rd - (in front of # 3270 - 2 lanes SB - ine lane NB)</t>
  </si>
  <si>
    <t>Browns Plains</t>
  </si>
  <si>
    <t>Between # 3270 and # 3270</t>
  </si>
  <si>
    <t>New Beith Road</t>
  </si>
  <si>
    <t>Between Citrine St and Hobury Road</t>
  </si>
  <si>
    <t>Somerset St</t>
  </si>
  <si>
    <t>17 - 19 Somerset St , Rochedale South</t>
  </si>
  <si>
    <t>2015/03/16 00:00:00+00</t>
  </si>
  <si>
    <t>Brentwood Dr</t>
  </si>
  <si>
    <t>43 Brentwood Dr , Daisy Hill</t>
  </si>
  <si>
    <t>BushTuckerRd</t>
  </si>
  <si>
    <t>Jimboomba</t>
  </si>
  <si>
    <t>185 Bush Tucker Road , Marsden</t>
  </si>
  <si>
    <t>2015/03/04 00:00:00+00</t>
  </si>
  <si>
    <t>Orlando Crescent</t>
  </si>
  <si>
    <t xml:space="preserve">Springwood </t>
  </si>
  <si>
    <t xml:space="preserve">12 Orlando Crescent , Springwood </t>
  </si>
  <si>
    <t>2015/03/11 00:00:00+00</t>
  </si>
  <si>
    <t>Parkland Ave</t>
  </si>
  <si>
    <t>11-13 Parkland Ave , Browns Plains</t>
  </si>
  <si>
    <t>Mayfair Dr</t>
  </si>
  <si>
    <t>45-47 Mayfair Dr , Browns Plains</t>
  </si>
  <si>
    <t>Priestdale Rd</t>
  </si>
  <si>
    <t xml:space="preserve">Priestdale </t>
  </si>
  <si>
    <t xml:space="preserve">727 Priestdale Rd , Priestdale </t>
  </si>
  <si>
    <t>2015/03/25 00:00:00+00</t>
  </si>
  <si>
    <t>Rosia Rd</t>
  </si>
  <si>
    <t>Park Ridge</t>
  </si>
  <si>
    <t xml:space="preserve">51 Rosia Rd , Park Ridge </t>
  </si>
  <si>
    <t>2015/03/18 00:00:00+00</t>
  </si>
  <si>
    <t>51 Rosia Rd , Park Ridge</t>
  </si>
  <si>
    <t>John Paul Dr</t>
  </si>
  <si>
    <t>Site 1 John Paul Dr 170 M South of Brentwood Dr , Daisy Hill</t>
  </si>
  <si>
    <t>2015/03/31 00:00:00+00</t>
  </si>
  <si>
    <t>Site 1 John Paul Dr , Daisy Hill</t>
  </si>
  <si>
    <t>Site 2 John Paul Dr Near # 70  (South Bound Only) , Daisy Hill</t>
  </si>
  <si>
    <t>Site 2 John Paul Dr (South Bound Only) , Daisy Hill</t>
  </si>
  <si>
    <t>Anderson St</t>
  </si>
  <si>
    <t>Berrinba</t>
  </si>
  <si>
    <t xml:space="preserve">Anderson St between Wembly Rd and Freshwater Dr Berrinba </t>
  </si>
  <si>
    <t>Ammons St</t>
  </si>
  <si>
    <t>Ammons St Between 32 and 34 , Browns Plains</t>
  </si>
  <si>
    <t>2015/08/27 00:00:00+00</t>
  </si>
  <si>
    <t xml:space="preserve">Ammons St Between 32 and 34 , Browns Plains </t>
  </si>
  <si>
    <t>Downing St</t>
  </si>
  <si>
    <t xml:space="preserve">Downing St Between 8 and 10 , Browns Plains </t>
  </si>
  <si>
    <t>Clivia Crescent</t>
  </si>
  <si>
    <t xml:space="preserve">32 Clivia Crescent , Daisy Hill </t>
  </si>
  <si>
    <t>Outlook Dr</t>
  </si>
  <si>
    <t xml:space="preserve">Waterford </t>
  </si>
  <si>
    <t>Between 21 and 23 Outlook Dr , Waterford</t>
  </si>
  <si>
    <t>2015/08/28 00:00:00+00</t>
  </si>
  <si>
    <t xml:space="preserve">Between 21 and 23 Outlook Dr , Waterford </t>
  </si>
  <si>
    <t>Aquarius Dr</t>
  </si>
  <si>
    <t>118 Aquarius Dr , Kingston</t>
  </si>
  <si>
    <t xml:space="preserve">118 Aquarius Dr , Kingston </t>
  </si>
  <si>
    <t>Friar St</t>
  </si>
  <si>
    <t xml:space="preserve">Friar St bw #33-39 and 85-89, Munruben </t>
  </si>
  <si>
    <t>2015/09/09 00:00:00+00</t>
  </si>
  <si>
    <t>Stockleigh Rd</t>
  </si>
  <si>
    <t>Stockleigh Rd bw 907 and 826-856 Stockleigh</t>
  </si>
  <si>
    <t>Alfred Rd</t>
  </si>
  <si>
    <t xml:space="preserve">AlfredRd bw #164-184 and 148-162, Stockleigh apprx 650m north of Hawkis Rd </t>
  </si>
  <si>
    <t>Abell Rd</t>
  </si>
  <si>
    <t xml:space="preserve">Abell Rd in front of 59-65 Jimboomba </t>
  </si>
  <si>
    <t>Leopardwood Rd</t>
  </si>
  <si>
    <t xml:space="preserve">Leopardwood Rd opp #246-260 Cedar Grove </t>
  </si>
  <si>
    <t>Barnes Rd</t>
  </si>
  <si>
    <t xml:space="preserve">Barnes Rd opp 104-112 Cedar Vale bw Samantha Rd Trewin Rd </t>
  </si>
  <si>
    <t xml:space="preserve">Barnes Rd opp 104-112 Cedar Vale bw Samantha Rd andrewin Rd </t>
  </si>
  <si>
    <t>Schmidt Rd</t>
  </si>
  <si>
    <t>Schmidt Rd Approx 200m South of Eagleby Rd, Eagleby</t>
  </si>
  <si>
    <t>River Hills Rd</t>
  </si>
  <si>
    <t xml:space="preserve">38 River Hills Rd , Eagleby </t>
  </si>
  <si>
    <t>2015/09/18 00:00:00+00</t>
  </si>
  <si>
    <t>Tully Rd</t>
  </si>
  <si>
    <t xml:space="preserve">Tully Rd, 200m west of Springv Mountain Dr, Greenbank </t>
  </si>
  <si>
    <t>Brookvale Dr</t>
  </si>
  <si>
    <t>20 Brookvale Dr, Underwood</t>
  </si>
  <si>
    <t>2015/09/10 00:00:00+00</t>
  </si>
  <si>
    <t>PacificHwy ServiceRd</t>
  </si>
  <si>
    <t xml:space="preserve">3458 PacificHwy ServiceRd Springwood </t>
  </si>
  <si>
    <t>LCC Admin Centre</t>
  </si>
  <si>
    <t>Site 1 LCC Admin Centre</t>
  </si>
  <si>
    <t>Democracy Way</t>
  </si>
  <si>
    <t>Site2 Democracy Way LCC Admin Centre</t>
  </si>
  <si>
    <t>Site 3 Democracy Way LCC Admin Centre</t>
  </si>
  <si>
    <t xml:space="preserve">Rochedale South </t>
  </si>
  <si>
    <t xml:space="preserve">PriestdaleRd opp #507 b/w ThallonSt and LamornaSt RochedaleSth </t>
  </si>
  <si>
    <t>2015/10/06 00:00:00+00</t>
  </si>
  <si>
    <t>Willowie Crescent</t>
  </si>
  <si>
    <t>Eagleby</t>
  </si>
  <si>
    <t xml:space="preserve">#7 Willowie Crescent, Eagleby </t>
  </si>
  <si>
    <t>2015/10/07 00:00:00+00</t>
  </si>
  <si>
    <t>Lake Rd</t>
  </si>
  <si>
    <t xml:space="preserve">Slacks Creek </t>
  </si>
  <si>
    <t xml:space="preserve">60 Lake Rd, Slacks Creek </t>
  </si>
  <si>
    <t>Reserve Rd</t>
  </si>
  <si>
    <t xml:space="preserve">Reserve Rd opp #55 - 57 Slacks Creek </t>
  </si>
  <si>
    <t>Tansey Dr</t>
  </si>
  <si>
    <t xml:space="preserve">Tanah Merah </t>
  </si>
  <si>
    <t xml:space="preserve">#73 Tansey Drive, Tanah Merah </t>
  </si>
  <si>
    <t>Rossmore Rd</t>
  </si>
  <si>
    <t xml:space="preserve"> Logan Reserve</t>
  </si>
  <si>
    <t>Rossmore Rd b/w Sheils Rd and Loganview Rd, Logan Reserve</t>
  </si>
  <si>
    <t>Bushman Dr</t>
  </si>
  <si>
    <t xml:space="preserve">Jimboomba </t>
  </si>
  <si>
    <t xml:space="preserve"> #231 Bushman Dr, Jimboomba </t>
  </si>
  <si>
    <t>Waller Rd</t>
  </si>
  <si>
    <t>#20 Waller Rd Browns Plains</t>
  </si>
  <si>
    <t>2015/10/11 00:00:00+00</t>
  </si>
  <si>
    <t>Harburg Dr</t>
  </si>
  <si>
    <t>28 Harburg Dr Beenleigh</t>
  </si>
  <si>
    <t>2015/10/14 00:00:00+00</t>
  </si>
  <si>
    <t>Carl Heck Blvd</t>
  </si>
  <si>
    <t>Windaroo</t>
  </si>
  <si>
    <t>37 Carl Heck Blvd Windaroo</t>
  </si>
  <si>
    <t>95 Carl Heck Blvd Windaroo</t>
  </si>
  <si>
    <t>Laughlin St</t>
  </si>
  <si>
    <t>28 Laughlin St Kingston</t>
  </si>
  <si>
    <t>2015/10/18 00:00:00+00</t>
  </si>
  <si>
    <t xml:space="preserve">34 Conifer St Hillcrest </t>
  </si>
  <si>
    <t>2015/10/17 00:00:00+00</t>
  </si>
  <si>
    <t xml:space="preserve">54 Conifer St Hillcrest </t>
  </si>
  <si>
    <t xml:space="preserve">84 Conifer St Hillcrest </t>
  </si>
  <si>
    <t>Meakin Rd</t>
  </si>
  <si>
    <t xml:space="preserve">166 Meakin Rd Slacks Creek </t>
  </si>
  <si>
    <t>2015/10/26 00:00:00+00</t>
  </si>
  <si>
    <t>Rellam Rd</t>
  </si>
  <si>
    <t>76 Rellam Rd, Loganlea</t>
  </si>
  <si>
    <t>2015/11/02 00:00:00+00</t>
  </si>
  <si>
    <t>Emerald St</t>
  </si>
  <si>
    <t>Marsden</t>
  </si>
  <si>
    <t xml:space="preserve">12 Emerald St, Marsden </t>
  </si>
  <si>
    <t>2015/11/09 00:00:00+00</t>
  </si>
  <si>
    <t>Winston St</t>
  </si>
  <si>
    <t>15 Winston St, Rochedale South</t>
  </si>
  <si>
    <t>2015/11/19 00:00:00+00</t>
  </si>
  <si>
    <t>Fourth Ave</t>
  </si>
  <si>
    <t>86 Fourth Ave, Marsden</t>
  </si>
  <si>
    <t>2015/11/11 00:00:00+00</t>
  </si>
  <si>
    <t>Millstream Rd</t>
  </si>
  <si>
    <t xml:space="preserve">Millstream Rd, Jimboomba Btwn Mt Lindesay Hwy and Kurrajong Rd </t>
  </si>
  <si>
    <t>2015/11/17 00:00:00+00</t>
  </si>
  <si>
    <t>Veldt St</t>
  </si>
  <si>
    <t>Slacks Creek</t>
  </si>
  <si>
    <t xml:space="preserve">Veldt St,Slacks Creek btwn Meakin St and Rowanda St </t>
  </si>
  <si>
    <t>Leatrice St</t>
  </si>
  <si>
    <t xml:space="preserve">Marsden </t>
  </si>
  <si>
    <t>21-23 Leatrice St, Marsden - Roadworks</t>
  </si>
  <si>
    <t>2015/11/21 00:00:00+00</t>
  </si>
  <si>
    <t>Lobelia Ave</t>
  </si>
  <si>
    <t xml:space="preserve">Daisy Hill </t>
  </si>
  <si>
    <t xml:space="preserve">32 Lobelia Ave, Daisy Hill </t>
  </si>
  <si>
    <t>Fifth Ave</t>
  </si>
  <si>
    <t>73 Fifth Ave, Marsden  - Roadworks</t>
  </si>
  <si>
    <t>Production St</t>
  </si>
  <si>
    <t xml:space="preserve">Beenleigh  </t>
  </si>
  <si>
    <t xml:space="preserve">3 Production Street, Beenleigh  </t>
  </si>
  <si>
    <t>Alexandra St</t>
  </si>
  <si>
    <t xml:space="preserve">3 Alexandra Street Beenleigh </t>
  </si>
  <si>
    <t>Anzac Ave</t>
  </si>
  <si>
    <t>Chambers Flat</t>
  </si>
  <si>
    <t>Anzac Ave 200m south of Kirk Rd, Chambers Flat</t>
  </si>
  <si>
    <t>2015/11/20 00:00:00+00</t>
  </si>
  <si>
    <t>Plunkett Rd</t>
  </si>
  <si>
    <t xml:space="preserve">Tamborine </t>
  </si>
  <si>
    <t xml:space="preserve">707 Plunkett Rd, Tamborine </t>
  </si>
  <si>
    <t xml:space="preserve"> Candlebark Road</t>
  </si>
  <si>
    <t>13-35 Candlebark Road 100m Nth of Redwood Circle</t>
  </si>
  <si>
    <t>Buccan Rd</t>
  </si>
  <si>
    <t xml:space="preserve">Buccan </t>
  </si>
  <si>
    <t xml:space="preserve">66-72 Buccan Rd, Buccan </t>
  </si>
  <si>
    <t>Grassdale St</t>
  </si>
  <si>
    <t xml:space="preserve">22 Grassdale St Sth of Hein Rd, Buccan </t>
  </si>
  <si>
    <t>Latimer Rd</t>
  </si>
  <si>
    <t>311 Latimer Rd, Buccan</t>
  </si>
  <si>
    <t xml:space="preserve">311 Latimer Rd, Logan Village </t>
  </si>
  <si>
    <t>Old Logan Village Road</t>
  </si>
  <si>
    <t>Waterford</t>
  </si>
  <si>
    <t>163 Old Logan Village Road, Waterford</t>
  </si>
  <si>
    <t>Sharton Ave</t>
  </si>
  <si>
    <t xml:space="preserve">131 - 137 Sharton Ave , Buccan </t>
  </si>
  <si>
    <t>Stoney Camp Rd</t>
  </si>
  <si>
    <t xml:space="preserve">Greenbank </t>
  </si>
  <si>
    <t xml:space="preserve">149 Stoney Camp Rd, Greenbank </t>
  </si>
  <si>
    <t>2015/11/25 00:00:00+00</t>
  </si>
  <si>
    <t xml:space="preserve">524 Stoney Camp Rd,Greenbank </t>
  </si>
  <si>
    <t>Cedarwood Rd</t>
  </si>
  <si>
    <t xml:space="preserve"> 24-26 Cedarwood Rd Berrinba </t>
  </si>
  <si>
    <t>Holzheimer Rd</t>
  </si>
  <si>
    <t>Bethania</t>
  </si>
  <si>
    <t>Holzheimer Rd 20m south of the speed platform Bethania</t>
  </si>
  <si>
    <t>Windsor St</t>
  </si>
  <si>
    <t xml:space="preserve">40 Windsor St Slacks Creek </t>
  </si>
  <si>
    <t>Birch Street</t>
  </si>
  <si>
    <t xml:space="preserve">Kingston </t>
  </si>
  <si>
    <t xml:space="preserve">31 Birch Street, Kingston </t>
  </si>
  <si>
    <t>2015/10/12 00:00:00+00</t>
  </si>
  <si>
    <t>New Beith Rd</t>
  </si>
  <si>
    <t xml:space="preserve">119 -125 New Beith Rd, Greenbank </t>
  </si>
  <si>
    <t>2015/12/02 00:00:00+00</t>
  </si>
  <si>
    <t>472 New Beith Rd Btwn Pub Ln and Roberts Rd, Greenbank</t>
  </si>
  <si>
    <t xml:space="preserve">14 Aquarius Dr, Kingston </t>
  </si>
  <si>
    <t>2016/03/04 00:00:00+00</t>
  </si>
  <si>
    <t>Kettniss St</t>
  </si>
  <si>
    <t>Underwood</t>
  </si>
  <si>
    <t xml:space="preserve">8 Kettniss St, Underwood </t>
  </si>
  <si>
    <t>Parkview Cres</t>
  </si>
  <si>
    <t>Cornubia</t>
  </si>
  <si>
    <t>43 Parkview Cres Eastbound, Cornubia</t>
  </si>
  <si>
    <t>2016/03/18 00:00:00+00</t>
  </si>
  <si>
    <t>Sirus St</t>
  </si>
  <si>
    <t xml:space="preserve">No 23 Sirus St , Eagleby </t>
  </si>
  <si>
    <t>2016/03/10 00:00:00+00</t>
  </si>
  <si>
    <t>Maple St</t>
  </si>
  <si>
    <t xml:space="preserve">15 Maple St , Kingston </t>
  </si>
  <si>
    <t>Dewar Dr</t>
  </si>
  <si>
    <t>Loganholme</t>
  </si>
  <si>
    <t xml:space="preserve"> 6 Dewar Dr , Loganholme </t>
  </si>
  <si>
    <t>2016/03/15 00:00:00+00</t>
  </si>
  <si>
    <t>Ashton St</t>
  </si>
  <si>
    <t xml:space="preserve">14 to 16 Ashton St , Kingston </t>
  </si>
  <si>
    <t>2016/03/17 00:00:00+00</t>
  </si>
  <si>
    <t>Dorothy St</t>
  </si>
  <si>
    <t xml:space="preserve">Woodridge </t>
  </si>
  <si>
    <t xml:space="preserve">9 Dorothy St , Woodridge </t>
  </si>
  <si>
    <t>2016/02/05 00:00:00+00</t>
  </si>
  <si>
    <t>Federation Drive</t>
  </si>
  <si>
    <t xml:space="preserve">Bethania </t>
  </si>
  <si>
    <t xml:space="preserve">100 Federation Drive , Bethania </t>
  </si>
  <si>
    <t xml:space="preserve">Allora St </t>
  </si>
  <si>
    <t xml:space="preserve">Waterford West </t>
  </si>
  <si>
    <t xml:space="preserve">14 Allora St , Waterford West </t>
  </si>
  <si>
    <t xml:space="preserve">Kolonga St </t>
  </si>
  <si>
    <t xml:space="preserve">17 Kolonga St , Woodridge </t>
  </si>
  <si>
    <t xml:space="preserve">Fifth Ave </t>
  </si>
  <si>
    <t>72 Fifth  Ave , Marsden</t>
  </si>
  <si>
    <t xml:space="preserve">21 / 23 Leatrice St , Marsden </t>
  </si>
  <si>
    <t>Wildwood Cr</t>
  </si>
  <si>
    <t xml:space="preserve">4/6 Wildwood Cr Jimboomba </t>
  </si>
  <si>
    <t xml:space="preserve"> Aquarius Dr</t>
  </si>
  <si>
    <t xml:space="preserve">140 Aquarius Dr, Kingston </t>
  </si>
  <si>
    <t>2016/04/15 00:00:00+00</t>
  </si>
  <si>
    <t xml:space="preserve">159 Aquarius Dr, Kingston </t>
  </si>
  <si>
    <t>2016/04/12 00:00:00+00</t>
  </si>
  <si>
    <t>Sapium St</t>
  </si>
  <si>
    <t xml:space="preserve">5 SapiumSt , Kingston </t>
  </si>
  <si>
    <t>2016/04/18 00:00:00+00</t>
  </si>
  <si>
    <t>Barbaralla Dr</t>
  </si>
  <si>
    <t xml:space="preserve">12 Barbaralla Dr, Springwood </t>
  </si>
  <si>
    <t>Patricia Ave</t>
  </si>
  <si>
    <t xml:space="preserve">32-34 Patricia Ave, Woodridge </t>
  </si>
  <si>
    <t>2016/04/28 00:00:00+00</t>
  </si>
  <si>
    <t>Bruce Rd</t>
  </si>
  <si>
    <t xml:space="preserve">18 Bruce Rd, Woodridge </t>
  </si>
  <si>
    <t>Garnett St</t>
  </si>
  <si>
    <t xml:space="preserve">11 Garnett St, Slacks Creek </t>
  </si>
  <si>
    <t>Shortland St</t>
  </si>
  <si>
    <t xml:space="preserve">16 Sortland St, Springwood </t>
  </si>
  <si>
    <t>Mt Warren Bvld</t>
  </si>
  <si>
    <t>Mt Warren Park</t>
  </si>
  <si>
    <t>80 Mt Warren Bvd EB , Mt Warren Park</t>
  </si>
  <si>
    <t>2016/04/13 00:00:00+00</t>
  </si>
  <si>
    <t>89 Mt Warren Bvd WB , Mt Warren Park</t>
  </si>
  <si>
    <t>Dryandra Dr</t>
  </si>
  <si>
    <t xml:space="preserve">Eagleby </t>
  </si>
  <si>
    <t xml:space="preserve">17 Dryandra Dr , Eagleby </t>
  </si>
  <si>
    <t xml:space="preserve">55 Dryandra Dr , Eagleby </t>
  </si>
  <si>
    <t>Oddie Rd</t>
  </si>
  <si>
    <t xml:space="preserve">Beenleigh </t>
  </si>
  <si>
    <t xml:space="preserve">30 Oddie Rd , Beenleigh </t>
  </si>
  <si>
    <t>Richards St</t>
  </si>
  <si>
    <t xml:space="preserve">Loganlea </t>
  </si>
  <si>
    <t xml:space="preserve">81 Richards St, Loganlea </t>
  </si>
  <si>
    <t>Japonica St</t>
  </si>
  <si>
    <t xml:space="preserve">10 Japonica St, Eagleby </t>
  </si>
  <si>
    <t>2016/04/27 00:00:00+00</t>
  </si>
  <si>
    <t>Rinto Dr</t>
  </si>
  <si>
    <t xml:space="preserve"> 23 Rinto Dr, Eagleby </t>
  </si>
  <si>
    <t>Plantain Rd</t>
  </si>
  <si>
    <t xml:space="preserve">216 Plantain Rd, Shailer Park </t>
  </si>
  <si>
    <t>2016/05/06 00:00:00+00</t>
  </si>
  <si>
    <t xml:space="preserve">217 Plantain Rd, Shailer Park </t>
  </si>
  <si>
    <t>Olympic Court</t>
  </si>
  <si>
    <t xml:space="preserve">8 Olympic Court , Eagleby </t>
  </si>
  <si>
    <t>2016/04/22 00:00:00+00</t>
  </si>
  <si>
    <t>Tweed St</t>
  </si>
  <si>
    <t xml:space="preserve">9 Tweed St , Beenleigh </t>
  </si>
  <si>
    <t>Webb Rd</t>
  </si>
  <si>
    <t xml:space="preserve">28 Webb Rd, Loganlea </t>
  </si>
  <si>
    <t>2016/05/02 00:00:00+00</t>
  </si>
  <si>
    <t>Willshire St</t>
  </si>
  <si>
    <t xml:space="preserve">Mt Warren </t>
  </si>
  <si>
    <t xml:space="preserve">10 Willshire St, Mt Warren </t>
  </si>
  <si>
    <t>Vermont Crescent</t>
  </si>
  <si>
    <t xml:space="preserve">18 Vermont Crescent, Mt Warren </t>
  </si>
  <si>
    <t xml:space="preserve">37 Vermont Crescent, Mt Warren </t>
  </si>
  <si>
    <t>Guyra Close</t>
  </si>
  <si>
    <t>4 Guyra Close, Mt Warren</t>
  </si>
  <si>
    <t>Herses Rd</t>
  </si>
  <si>
    <t xml:space="preserve">127 Herses Rd, Eagleby </t>
  </si>
  <si>
    <t>2016/05/04 00:00:00+00</t>
  </si>
  <si>
    <t xml:space="preserve">226 Herses Rd, Eagleby </t>
  </si>
  <si>
    <t>Thornside St</t>
  </si>
  <si>
    <t xml:space="preserve"> 19 Thornside St , Eagleby </t>
  </si>
  <si>
    <t>Monmouth St</t>
  </si>
  <si>
    <t xml:space="preserve"> 19 Monmouth St , Eagleby </t>
  </si>
  <si>
    <t xml:space="preserve">54 Monmouth St , Eagleby </t>
  </si>
  <si>
    <t>Stegemann Rd</t>
  </si>
  <si>
    <t xml:space="preserve">142-148 Stegemann Rd , Logan Village </t>
  </si>
  <si>
    <t>2016/05/11 00:00:00+00</t>
  </si>
  <si>
    <t xml:space="preserve">2-56 Stegemann Rd , Logan Village </t>
  </si>
  <si>
    <t xml:space="preserve">21-79 Stegemann Rd , Logan Village </t>
  </si>
  <si>
    <t>Cedarwood St</t>
  </si>
  <si>
    <t xml:space="preserve">15/17 Cedarwood St, Berrinba </t>
  </si>
  <si>
    <t>2016/05/12 00:00:00+00</t>
  </si>
  <si>
    <t>Moffatt Rd</t>
  </si>
  <si>
    <t xml:space="preserve">56 Moffatt Rd, Waterford West - 200m Sth of Waters St </t>
  </si>
  <si>
    <t>Grove Rd</t>
  </si>
  <si>
    <t>Edens Landing</t>
  </si>
  <si>
    <t xml:space="preserve">24 Grove Rd Edens Landing </t>
  </si>
  <si>
    <t>2016/05/13 00:00:00+00</t>
  </si>
  <si>
    <t xml:space="preserve">40 Grove Rd Edens Landing </t>
  </si>
  <si>
    <t>Ridgevale Blvd</t>
  </si>
  <si>
    <t xml:space="preserve">29/31, Ridgevale Blvd, Waterford  </t>
  </si>
  <si>
    <t>Castille Cr</t>
  </si>
  <si>
    <t xml:space="preserve">Edens Landing </t>
  </si>
  <si>
    <t xml:space="preserve">172 Castille Cr , Edens Landing </t>
  </si>
  <si>
    <t xml:space="preserve">117 Castille Cr , Edens Landing </t>
  </si>
  <si>
    <t xml:space="preserve">6 Castille Cr , Edens Landing </t>
  </si>
  <si>
    <t>Lima St</t>
  </si>
  <si>
    <t xml:space="preserve"> 22 Lima St , Edens Landing </t>
  </si>
  <si>
    <t xml:space="preserve">63 Lima St , Edens Landing </t>
  </si>
  <si>
    <t>Raleigh St</t>
  </si>
  <si>
    <t>Springwood</t>
  </si>
  <si>
    <t>14 Raleigh St, Springwood</t>
  </si>
  <si>
    <t>2016/05/16 00:00:00+00</t>
  </si>
  <si>
    <t>Burgallby Rd</t>
  </si>
  <si>
    <t xml:space="preserve">7 Burgallby Rd, Springwood </t>
  </si>
  <si>
    <t>Peverell St</t>
  </si>
  <si>
    <t xml:space="preserve">112 Peverell St, Hillcrest </t>
  </si>
  <si>
    <t>2016/05/20 00:00:00+00</t>
  </si>
  <si>
    <t xml:space="preserve">77 Peverell St, Hillcrest </t>
  </si>
  <si>
    <t>Erin Drive</t>
  </si>
  <si>
    <t xml:space="preserve">Browns Plains </t>
  </si>
  <si>
    <t xml:space="preserve">16 Erin Drive,  Browns Plains </t>
  </si>
  <si>
    <t>Silvertop St</t>
  </si>
  <si>
    <t xml:space="preserve">27 Silvertop St, Hillcrest </t>
  </si>
  <si>
    <t>Short St</t>
  </si>
  <si>
    <t xml:space="preserve">Boronia Heights </t>
  </si>
  <si>
    <t xml:space="preserve">4 Short St, Boronia Heights </t>
  </si>
  <si>
    <t xml:space="preserve">16 Short St, Boronia Heights </t>
  </si>
  <si>
    <t xml:space="preserve">64 Short St, Boronia Heights </t>
  </si>
  <si>
    <t xml:space="preserve">106 Short St, Boronia Heights </t>
  </si>
  <si>
    <t xml:space="preserve">154 Short St, Boronia Heights </t>
  </si>
  <si>
    <t>HomesteadSt</t>
  </si>
  <si>
    <t xml:space="preserve">21 Homestead St, Marsden </t>
  </si>
  <si>
    <t>2016/05/09 00:00:00+00</t>
  </si>
  <si>
    <t>Daryl St</t>
  </si>
  <si>
    <t>8 Daryl St, Loganlea</t>
  </si>
  <si>
    <t xml:space="preserve">34 Laughlin St , Kingston </t>
  </si>
  <si>
    <t xml:space="preserve">54 and 56 Laughlin St , Kingston </t>
  </si>
  <si>
    <t>Mark Lane</t>
  </si>
  <si>
    <t>28 Mark Lane, Waterford West</t>
  </si>
  <si>
    <t>Hill St</t>
  </si>
  <si>
    <t>13 Hill St, Jimboomba</t>
  </si>
  <si>
    <t>ANDERS STREET</t>
  </si>
  <si>
    <t>18 Anders St, Jimboomba</t>
  </si>
  <si>
    <t>Kurrajong Dr</t>
  </si>
  <si>
    <t xml:space="preserve"> 6 Kurrajong Drive, Marsden </t>
  </si>
  <si>
    <t>2016/05/30 00:00:00+00</t>
  </si>
  <si>
    <t>Kao St</t>
  </si>
  <si>
    <t xml:space="preserve"> 9 Kao St, Marsden </t>
  </si>
  <si>
    <t>Rholanda Cres</t>
  </si>
  <si>
    <t xml:space="preserve">11 Rholanda Crescent, Springwood </t>
  </si>
  <si>
    <t xml:space="preserve">32 Rholanda Crescent, Springwood </t>
  </si>
  <si>
    <t>Princess St</t>
  </si>
  <si>
    <t xml:space="preserve">20 Princess St, Marsden </t>
  </si>
  <si>
    <t xml:space="preserve">65 Princess St, Marsden </t>
  </si>
  <si>
    <t xml:space="preserve">77 Princess St, Marsden </t>
  </si>
  <si>
    <t>Bardon Rd</t>
  </si>
  <si>
    <t xml:space="preserve"> 40 Bardon Road, LoganCentral </t>
  </si>
  <si>
    <t>2016/05/31 00:00:00+00</t>
  </si>
  <si>
    <t>Constellation Dr</t>
  </si>
  <si>
    <t xml:space="preserve">Loganholme </t>
  </si>
  <si>
    <t xml:space="preserve"> 7 Constellation Dr, Loganholme </t>
  </si>
  <si>
    <t>2016/05/24 00:00:00+00</t>
  </si>
  <si>
    <t xml:space="preserve">35 Constellation Dr, Loganholme </t>
  </si>
  <si>
    <t>HaldHam Cres</t>
  </si>
  <si>
    <t>Regents Park</t>
  </si>
  <si>
    <t>84/86 Haldam Cres, Regents Park</t>
  </si>
  <si>
    <t xml:space="preserve">19 Menora Rd, Bahrs Scrub </t>
  </si>
  <si>
    <t>2016/06/03 00:00:00+00</t>
  </si>
  <si>
    <t xml:space="preserve">62 Hein Rd, Buccan </t>
  </si>
  <si>
    <t>2016/06/02 00:00:00+00</t>
  </si>
  <si>
    <t xml:space="preserve">178 Hein Rd, Buccan </t>
  </si>
  <si>
    <t>The Aspect</t>
  </si>
  <si>
    <t xml:space="preserve">The Aspect; 60m North of Brookong Ct, Buccan </t>
  </si>
  <si>
    <t>Ooah Ct</t>
  </si>
  <si>
    <t xml:space="preserve">40 Ooah Circuit, Buccan </t>
  </si>
  <si>
    <t>Clayton Dr</t>
  </si>
  <si>
    <t xml:space="preserve">23 Clayton Drive, Edens Landing </t>
  </si>
  <si>
    <t>2016/06/07 00:00:00+00</t>
  </si>
  <si>
    <t>Pimpala St</t>
  </si>
  <si>
    <t xml:space="preserve">23 Pimpala St, Loganlea </t>
  </si>
  <si>
    <t>Blue Gum Dr</t>
  </si>
  <si>
    <t xml:space="preserve">21 Blue Gum Drive, Marsden </t>
  </si>
  <si>
    <t xml:space="preserve">49 Blue Gum Drive, Marsden </t>
  </si>
  <si>
    <t>Burchill St</t>
  </si>
  <si>
    <t>#4 Burchill St between Chetwynd St and Allan St Loganholme</t>
  </si>
  <si>
    <t>2016/06/11 00:00:00+00</t>
  </si>
  <si>
    <t>Cross St</t>
  </si>
  <si>
    <t>#4 Cross St between Ann St and Queen St Jimboomba</t>
  </si>
  <si>
    <t>2016/06/09 00:00:00+00</t>
  </si>
  <si>
    <t>Macquarie Way</t>
  </si>
  <si>
    <t>#6 Macquarie Way between Bligh Pl and Wembley Rd Berrinba</t>
  </si>
  <si>
    <t>2016/06/08 00:00:00+00</t>
  </si>
  <si>
    <t>East St</t>
  </si>
  <si>
    <t>#7 East St between John St and Jimboomba Mundoolin Rd Jimboomba</t>
  </si>
  <si>
    <t>Daisy Hill Rd</t>
  </si>
  <si>
    <t>#11 Daisy Hill Rd between Allamanda Dr and Veronica Ave Daisy Hill</t>
  </si>
  <si>
    <t>Rochester Dr</t>
  </si>
  <si>
    <t>Mount Warren Park</t>
  </si>
  <si>
    <t>#11 Rochester Dr between Vermont Cr and Glendevon Cr Mount Warren Park</t>
  </si>
  <si>
    <t>Marana St</t>
  </si>
  <si>
    <t>Shailer Park</t>
  </si>
  <si>
    <t>#14 Marana St between Kyla St and Doretta St Shailer Park</t>
  </si>
  <si>
    <t>Coachwood Dr</t>
  </si>
  <si>
    <t>#23 Coachwood Dr between River Oak Dr and Sugar Gum Ct Jimboomba</t>
  </si>
  <si>
    <t>Deltoro Rd</t>
  </si>
  <si>
    <t>Cedar Grove</t>
  </si>
  <si>
    <t>#23 Deltoro Rd between Cedar Grove Rd and Boondarn Ct Cedar Grove</t>
  </si>
  <si>
    <t>Murcot St</t>
  </si>
  <si>
    <t>#24 Murcot St between Lowmead St and Bargara St Underwood</t>
  </si>
  <si>
    <t>Battle St</t>
  </si>
  <si>
    <t>#29 Battle St between Railway Pde and Jutland St Loganlea</t>
  </si>
  <si>
    <t>Poinciana Dr</t>
  </si>
  <si>
    <t>#37 Poinciana Dr between Coachwood Dr and Homestead Dr Jimboomba</t>
  </si>
  <si>
    <t>Anders Street</t>
  </si>
  <si>
    <t xml:space="preserve">82 Anders Street, Jimboomba </t>
  </si>
  <si>
    <t>2016/08/24 00:00:00+00</t>
  </si>
  <si>
    <t>Bahrs Scrub Rd</t>
  </si>
  <si>
    <t>Bahrs Scrub</t>
  </si>
  <si>
    <t>#49 Bahrs Scrub Rd between Prangley Rd and Windaroo Rd Bahrs Scrub</t>
  </si>
  <si>
    <t>Chatswood Rd</t>
  </si>
  <si>
    <t>#61 Chatswood Rd between Brentwood Dr and Coleman Cr Daisy Hill</t>
  </si>
  <si>
    <t>Eagleby Rd</t>
  </si>
  <si>
    <t>#124 Eagleby Rd between Fryar Rd and Wharf Rd Eagleby</t>
  </si>
  <si>
    <t>Browns Plains Rd</t>
  </si>
  <si>
    <t>#186 Browns Plains Rd between Parkland Ave and Wembley Rd Browns Plains</t>
  </si>
  <si>
    <t>Bayliss Rd</t>
  </si>
  <si>
    <t>Heritage Park</t>
  </si>
  <si>
    <t>#238 Bayliss Rd between Hawthorn St and Heritage Blvd Heritage Park</t>
  </si>
  <si>
    <t>#587 Priestdale Rd between Ritsie St and Marsden St Rochedale South</t>
  </si>
  <si>
    <t>Service Rd</t>
  </si>
  <si>
    <t>Service Rd between Dennis Rd and Wenlock Cr near Hungry Jacks Springwood</t>
  </si>
  <si>
    <t>Watland St</t>
  </si>
  <si>
    <t>Watland St between Service Rd and Park Rd near Eagle Auto Slacks Creek</t>
  </si>
  <si>
    <t>Teviot Rd</t>
  </si>
  <si>
    <t>Carbrook</t>
  </si>
  <si>
    <t>#19-25 Teviot Rd between Curringa Ct and Beenleigh Redland Bay Rd Carbrook</t>
  </si>
  <si>
    <t>2016/06/10 00:00:00+00</t>
  </si>
  <si>
    <t>Park Ridge Rd</t>
  </si>
  <si>
    <t>#35 Park Ridge Rd between Mount Lindesay Hwy and Hubner Rd Park Ridge</t>
  </si>
  <si>
    <t>Lavelle Dr</t>
  </si>
  <si>
    <t>#38 Lavelle Dr between Hamilton Rd and Latimer Rd Logan Village</t>
  </si>
  <si>
    <t>German Church Rd</t>
  </si>
  <si>
    <t>#41 German Church Rd between Mount Cotton Rd and Erwin Rd Carbrook</t>
  </si>
  <si>
    <t>#139 Rosia Rd between Compal Rd and Hubner Rd Park Ridge</t>
  </si>
  <si>
    <t>Miller Rd</t>
  </si>
  <si>
    <t>#270 Miller Rd between Latimer Rd and Murray Rd Logan Village</t>
  </si>
  <si>
    <t>Priestdale</t>
  </si>
  <si>
    <t>#727 Priestdale Rd between Glengala Dr and Kelly St Priestdale</t>
  </si>
  <si>
    <t>Logan Reserve Rd</t>
  </si>
  <si>
    <t>Logan Reserve</t>
  </si>
  <si>
    <t>#740 Logan Reserve Rd between Chambers Flat Rd and Derby Rd Logan Reserve</t>
  </si>
  <si>
    <t>Chambers Flat Rd</t>
  </si>
  <si>
    <t>#1320 Chambers Flat Rd between Carter Rd and Warner Rd Chambers Flat</t>
  </si>
  <si>
    <t>#1471 Chambers Flat Rd between Kings Way and Riverina Ct Chambers Flat</t>
  </si>
  <si>
    <t>Park Rd</t>
  </si>
  <si>
    <t xml:space="preserve">#100 Park Rd, Slacks Creek </t>
  </si>
  <si>
    <t>2016/06/13 00:00:00+00</t>
  </si>
  <si>
    <t>Cooran St</t>
  </si>
  <si>
    <t xml:space="preserve">07 Cooran St , Beenleigh </t>
  </si>
  <si>
    <t>2016/07/18 00:00:00+00</t>
  </si>
  <si>
    <t>Collie St</t>
  </si>
  <si>
    <t xml:space="preserve">11 Collie St , Shailer Park </t>
  </si>
  <si>
    <t>Crest St</t>
  </si>
  <si>
    <t xml:space="preserve">33 Crest St , Beenleigh </t>
  </si>
  <si>
    <t>Tarcoola St</t>
  </si>
  <si>
    <t xml:space="preserve">4 Tarcoola St, Rochedale South </t>
  </si>
  <si>
    <t>2016/07/23 00:00:00+00</t>
  </si>
  <si>
    <t>Haig Rd</t>
  </si>
  <si>
    <t xml:space="preserve">90 Haig Rd , Loganlea </t>
  </si>
  <si>
    <t>2016/07/22 00:00:00+00</t>
  </si>
  <si>
    <t xml:space="preserve">276 Waller Road, Regents Park </t>
  </si>
  <si>
    <t>Anders St</t>
  </si>
  <si>
    <t>Burrinjuck St</t>
  </si>
  <si>
    <t xml:space="preserve">11 Burrinjuck St, Marsden </t>
  </si>
  <si>
    <t>2016/08/12 00:00:00+00</t>
  </si>
  <si>
    <t>Furzer St</t>
  </si>
  <si>
    <t xml:space="preserve">7 Furzer St, Browns Plains </t>
  </si>
  <si>
    <t>2016/08/22 00:00:00+00</t>
  </si>
  <si>
    <t>Nerida St</t>
  </si>
  <si>
    <t xml:space="preserve">Rochedale South  </t>
  </si>
  <si>
    <t xml:space="preserve">20 Nerida St, Rochedale South  </t>
  </si>
  <si>
    <t>Spring Mountain Dr</t>
  </si>
  <si>
    <t xml:space="preserve">Spring Mountain Dr Approx 100 m East of Natasha Ct </t>
  </si>
  <si>
    <t>2016/08/11 00:00:00+00</t>
  </si>
  <si>
    <t>Hickory St</t>
  </si>
  <si>
    <t xml:space="preserve">28 Hickory St, Marsden </t>
  </si>
  <si>
    <t>2016/07/27 00:00:00+00</t>
  </si>
  <si>
    <t>2016/08/31 00:00:00+00</t>
  </si>
  <si>
    <t>Edelsten Road</t>
  </si>
  <si>
    <t xml:space="preserve">483 Edelsten Road, Jimboomba  </t>
  </si>
  <si>
    <t>Tamborine Street</t>
  </si>
  <si>
    <t xml:space="preserve">6 Tamborine Street, Jimboomba  </t>
  </si>
  <si>
    <t xml:space="preserve">146 Tamborine Street, Jimboomba  </t>
  </si>
  <si>
    <t>South St</t>
  </si>
  <si>
    <t xml:space="preserve">6 South St, Near Jimboomba Park, Jimboomba  </t>
  </si>
  <si>
    <t>Mundoolun Road</t>
  </si>
  <si>
    <t xml:space="preserve">34 Mundoolun Road, Jimboomba  </t>
  </si>
  <si>
    <t>Birun St</t>
  </si>
  <si>
    <t xml:space="preserve">17 Birun St , Woodridge </t>
  </si>
  <si>
    <t>Hanlon St</t>
  </si>
  <si>
    <t xml:space="preserve">27 Hanlon St , Tanah Merah </t>
  </si>
  <si>
    <t>Pauline St</t>
  </si>
  <si>
    <t xml:space="preserve">55 Pauline St , Marsden </t>
  </si>
  <si>
    <t>Bumstead Rd</t>
  </si>
  <si>
    <t xml:space="preserve"> Crestmead </t>
  </si>
  <si>
    <t xml:space="preserve">66 Bumstead Rd, Crestmead </t>
  </si>
  <si>
    <t>2016/09/01 00:00:00+00</t>
  </si>
  <si>
    <t>100 mts Est of Geaney Blvd , Bumstead Road, Crestmead</t>
  </si>
  <si>
    <t>Cusack Lane</t>
  </si>
  <si>
    <t xml:space="preserve">665 Cusack Lane, Jimboomba </t>
  </si>
  <si>
    <t xml:space="preserve">Hillcrest </t>
  </si>
  <si>
    <t xml:space="preserve">42-44 Peverell St, Hillcrest </t>
  </si>
  <si>
    <t>2016/09/02 00:00:00+00</t>
  </si>
  <si>
    <t xml:space="preserve">Lehmans Rd </t>
  </si>
  <si>
    <t xml:space="preserve">24 Lehmans Rd , Beenleigh </t>
  </si>
  <si>
    <t xml:space="preserve">Marsden  </t>
  </si>
  <si>
    <t xml:space="preserve">157 ChambersFlatRd, 50m S of Hickory St, Marsden  </t>
  </si>
  <si>
    <t>2016/09/07 00:00:00+00</t>
  </si>
  <si>
    <t xml:space="preserve">160 ChambersFlatRd SB, 150m S of Hickory St, Marsden  </t>
  </si>
  <si>
    <t>Sewell Rd</t>
  </si>
  <si>
    <t>Tanah Merah</t>
  </si>
  <si>
    <t xml:space="preserve">48 Sewell Rd, North of Ridge Rd </t>
  </si>
  <si>
    <t>2016/09/09 00:00:00+00</t>
  </si>
  <si>
    <t>Murrays Rd</t>
  </si>
  <si>
    <t>Murrays Rd 150m south of R/A</t>
  </si>
  <si>
    <t xml:space="preserve"> 42 Emerald St , Marsden </t>
  </si>
  <si>
    <t>BRYANTS ROAD</t>
  </si>
  <si>
    <t>SHAILER PARK</t>
  </si>
  <si>
    <t>#1 BRYANTS ROAD BETWEEN SERVICE ROAD AND MANDEW STREET SHAILER PARK</t>
  </si>
  <si>
    <t>2016/07/20 00:00:00+00</t>
  </si>
  <si>
    <t>ALRAK AVENUE</t>
  </si>
  <si>
    <t>BROWNS PLAINS</t>
  </si>
  <si>
    <t>#10 ALRAK AVENUE – 100M FROM SHERWOOD DRIVE/ALRAK AVENUE INTERSECTION ON ALRAK AVENUE BROWNS PLAINS</t>
  </si>
  <si>
    <t>SHERWOOD DRIVE</t>
  </si>
  <si>
    <t>#10 SHERWOOD DRIVE HALF WAY BETWEEN ALRAK AND BROWNS PLAINS ROAD BROWNS PLAINS</t>
  </si>
  <si>
    <t>ROCHEDALE ROAD</t>
  </si>
  <si>
    <t>#1062 ROCHEDALE ROAD BETWEEN LOGAN ROAD AND SPRINGWOOD ROAD SPRINGWOOD</t>
  </si>
  <si>
    <t>2016/07/21 00:00:00+00</t>
  </si>
  <si>
    <t>CREST ROAD</t>
  </si>
  <si>
    <t>#122 CREST ROAD BETWEEN LENNONS ROAD AND BOULIA STREET GREENBANK</t>
  </si>
  <si>
    <t>2016/07/19 00:00:00+00</t>
  </si>
  <si>
    <t>MAIN STREET</t>
  </si>
  <si>
    <t>#143 MAIN STREET BETWEEN BUNA STREET AND MILNE STREET BEENLEIGH</t>
  </si>
  <si>
    <t>IRWIN ROAD</t>
  </si>
  <si>
    <t>CEDAR GROVE</t>
  </si>
  <si>
    <t>#17 IRWIN ROAD BETWEEN CEDAR GROVE ROAD AND ARTHY DRIVE CEDAR GROVE</t>
  </si>
  <si>
    <t>JACARANDA AVENUE</t>
  </si>
  <si>
    <t>#201 JACARANDA AVENUE BETWEEN MILKY WAY AND KINGSTON ROAD KINGSTON</t>
  </si>
  <si>
    <t>BARNES ROAD</t>
  </si>
  <si>
    <t>MUNDOOLUN</t>
  </si>
  <si>
    <t>#209 BARNES ROAD BETWEEN TREWIN ROAD AND DENNIS ROAD MUNDOOLUN</t>
  </si>
  <si>
    <t>HAWKINS ROAD</t>
  </si>
  <si>
    <t>STOCKLEIGH</t>
  </si>
  <si>
    <t>#23 HAWKINS ROAD BETWEEN STOCKLEIGH ROAD AND 30-60 HAWKINS ROAD STOCKLEIGH</t>
  </si>
  <si>
    <t>THORA ROAD</t>
  </si>
  <si>
    <t>#24 THORA ROAD BETWEEN ARTHY DRIVE AND PEARSON COURT CEDAR GROVE</t>
  </si>
  <si>
    <t>BLACKWELL STREET</t>
  </si>
  <si>
    <t>HILLCREST</t>
  </si>
  <si>
    <t>#32 BLACKWELL STREET BETWEEN ANZAC AVENUE AND 40-42 BLACKWELL STREET HILLCREST</t>
  </si>
  <si>
    <t>PARADISE ROAD</t>
  </si>
  <si>
    <t>FORESTDALE</t>
  </si>
  <si>
    <t>#32 PARADISE ROAD BETWEEN JOHNSON ROAD AND 40-50 PARADISE ROAD FORESTDALE</t>
  </si>
  <si>
    <t>#343 PUB LANE BETWEEN SENTINEL DRIVE AND 49-53 HORSESHOE CRESCENT NEW BEITH</t>
  </si>
  <si>
    <t>CEDAR VALE ROAD</t>
  </si>
  <si>
    <t>#39 CEDAR VALE ROAD BETWEEN ORION ROAD AND 93-95 CEDAR VALE ROAD CEDAR VALE</t>
  </si>
  <si>
    <t>CLIFTON DRIVE</t>
  </si>
  <si>
    <t>#40 CLIFTON DRIVE BETWEEN TEVIOT ROAD AND 42-52 CLIFTON DRIVE NORTH MACLEAN</t>
  </si>
  <si>
    <t>SCHOOL ROAD</t>
  </si>
  <si>
    <t>#40 SCHOOL ROAD BETWEEN CHAMBERS FLAT ROAD AND 46-54 SCHOOL ROAD LOGAN RESERVE</t>
  </si>
  <si>
    <t>SOUTH STREET</t>
  </si>
  <si>
    <t>#40 SOUTH STREET BETWEEN MARY STREET AND JOHN STREET JIMBOOMBA</t>
  </si>
  <si>
    <t>BOUGAINVILLE STREET</t>
  </si>
  <si>
    <t>#42 BOUGAINVILLE STREET BETWEEN MANILA STREET AND GEORGE STREET BEENLEIGH</t>
  </si>
  <si>
    <t>#42 BOUGANVILLE STREET BETWEEN MANILA STREET AND GEORGE STREET BEENLEIGH</t>
  </si>
  <si>
    <t>GEORGE STREET</t>
  </si>
  <si>
    <t>#48 GEORGE STREET BETWEEN ZANDER STREET AND MAIN STREET BEENLEIGH</t>
  </si>
  <si>
    <t>HOTZ ROAD</t>
  </si>
  <si>
    <t>$488 HOTZ ROAD BETWEEN ROSE FARM LANE AND ELANORA COURT JIMBOOMBA</t>
  </si>
  <si>
    <t>MUNDOOLUN ROAD</t>
  </si>
  <si>
    <t>#500 MUNDOOLUN ROAD BETWEEN 464-484 MUNDOOLUN ROAD AND 518-538 MUNDOOLUN ROAD MUNDOOLUN</t>
  </si>
  <si>
    <t>#562 MILLSTREAM ROAD BETWEEN TEAK STREET AND CASCARA DRIVE CEDAR VALE</t>
  </si>
  <si>
    <t>PAYNE ROAD</t>
  </si>
  <si>
    <t>#58 PAYNE ROAD BETWEEN TEVIOT ROAD AND 58-62 PAYNE ROAD JIMBOOMBA</t>
  </si>
  <si>
    <t>NORTH ROAD</t>
  </si>
  <si>
    <t>#63 NORTH ROAD BETWEEN BRUCE ROAD AND SMITH ROAD WOODRIDGE</t>
  </si>
  <si>
    <t>BROWNS PLAINS ROAD</t>
  </si>
  <si>
    <t>CRESTMEAD</t>
  </si>
  <si>
    <t>#630 BROWNS PLAINS ROAD BETWEEN WARATAH DRIVE AND 635 BROWNS PLAINS ROAD CRESTMEAD</t>
  </si>
  <si>
    <t>Henderson Rd</t>
  </si>
  <si>
    <t xml:space="preserve">#73 Henderson Rd, Jimboomba </t>
  </si>
  <si>
    <t xml:space="preserve"> Quinzeh Creek Road</t>
  </si>
  <si>
    <t>Cedar Creek</t>
  </si>
  <si>
    <t xml:space="preserve">#820 Quinzeh Creek Road, Cedar Creek </t>
  </si>
  <si>
    <t>Wembley Rd</t>
  </si>
  <si>
    <t xml:space="preserve"> Browns Plains </t>
  </si>
  <si>
    <t xml:space="preserve">#822 Wembley Rd, Browns Plains </t>
  </si>
  <si>
    <t>Pindari Road</t>
  </si>
  <si>
    <t xml:space="preserve">#94 Pindari Road, Cedar Grove </t>
  </si>
  <si>
    <t>Ewing Rd</t>
  </si>
  <si>
    <t xml:space="preserve">#98 Ewing Rd,  Woodridge </t>
  </si>
  <si>
    <t>Service K1 Rd</t>
  </si>
  <si>
    <t xml:space="preserve">Service K1 Road between Kingston Rd and Jacaranda Ave, Kingston </t>
  </si>
  <si>
    <t xml:space="preserve">110 Murrays Road, Tanah Merah </t>
  </si>
  <si>
    <t>West Mt Cotton Rd</t>
  </si>
  <si>
    <t xml:space="preserve">Cornubia </t>
  </si>
  <si>
    <t xml:space="preserve">134  West Mt Cotton Rd, Cornubia </t>
  </si>
  <si>
    <t>Leawarra Dr</t>
  </si>
  <si>
    <t xml:space="preserve">15 Leawarra Drive , Loganholme </t>
  </si>
  <si>
    <t>Lyndale Street</t>
  </si>
  <si>
    <t xml:space="preserve">15 Lyndale Street ,  Daisy Hill </t>
  </si>
  <si>
    <t>Mayes Ave</t>
  </si>
  <si>
    <t xml:space="preserve">154 Mayes Ave , Kingston </t>
  </si>
  <si>
    <t xml:space="preserve"> Logan Reserve </t>
  </si>
  <si>
    <t xml:space="preserve"> 18 Latimer Rd , Logan Reserve </t>
  </si>
  <si>
    <t xml:space="preserve"> Flesser Rd</t>
  </si>
  <si>
    <t xml:space="preserve"> Chambers Flat </t>
  </si>
  <si>
    <t xml:space="preserve">180 Flesser Rd , Chambers Flat </t>
  </si>
  <si>
    <t>Tygum Road</t>
  </si>
  <si>
    <t xml:space="preserve">Waterford West  </t>
  </si>
  <si>
    <t xml:space="preserve"> 28 Tygum Road, Waterford West  </t>
  </si>
  <si>
    <t xml:space="preserve"> Bahrs Scrub Rd</t>
  </si>
  <si>
    <t xml:space="preserve"> Bahrs Scrub </t>
  </si>
  <si>
    <t xml:space="preserve">284  Bahrs Scrub Rd , Bahrs Scrub </t>
  </si>
  <si>
    <t xml:space="preserve"> Monash Rd</t>
  </si>
  <si>
    <t xml:space="preserve">29 Monash Road ,  Loganlea </t>
  </si>
  <si>
    <t>Steele Rd</t>
  </si>
  <si>
    <t xml:space="preserve">Logan Reserve </t>
  </si>
  <si>
    <t xml:space="preserve">292 Steele Rd , Logan Reserve </t>
  </si>
  <si>
    <t xml:space="preserve">331 Hein Rd , Bahrs Scrub </t>
  </si>
  <si>
    <t>Quinzeh Creek Rd</t>
  </si>
  <si>
    <t xml:space="preserve">378 Quinzeh Creek Rd , Logan Reserve </t>
  </si>
  <si>
    <t>Virginia Way</t>
  </si>
  <si>
    <t xml:space="preserve">38-52 Virginia Way , Logan Reserve </t>
  </si>
  <si>
    <t>Eastern Service Rd</t>
  </si>
  <si>
    <t xml:space="preserve">4030 Eastern Service Rd , Loganholme </t>
  </si>
  <si>
    <t>Shailer Rd</t>
  </si>
  <si>
    <t xml:space="preserve">65 Shailer Road , Shailer Park </t>
  </si>
  <si>
    <t xml:space="preserve">82 Plantain Rd ,  Shailer Park </t>
  </si>
  <si>
    <t>Demeio Rd</t>
  </si>
  <si>
    <t xml:space="preserve">Demeio Road Approx 150 m West of Third Ave , Marsden </t>
  </si>
  <si>
    <t xml:space="preserve">Eastern Service Rd  Approx 200m South of Logan River, Eagleby </t>
  </si>
  <si>
    <t>Golf Course Dr</t>
  </si>
  <si>
    <t>Meadowbrook</t>
  </si>
  <si>
    <t xml:space="preserve">Golf Course Drive , Meadowbrook Approx 200 M South of Loganlea Rd </t>
  </si>
  <si>
    <t>Kirk Rd</t>
  </si>
  <si>
    <t xml:space="preserve">Kirk Rd , Approx 100m West of 75-87 Kirk Rd , Chambers Flat </t>
  </si>
  <si>
    <t xml:space="preserve">Windaroo Rd </t>
  </si>
  <si>
    <t xml:space="preserve">Windaroo Rd Approx 100 m South of Alber Valley Dr , Bahrs Scrub </t>
  </si>
  <si>
    <t>Allamanda Drive</t>
  </si>
  <si>
    <t>41 Allamanda Drive,Daisy Hil</t>
  </si>
  <si>
    <t>2016/08/16 00:00:00+00</t>
  </si>
  <si>
    <t>Beutel St</t>
  </si>
  <si>
    <t xml:space="preserve">13 Beutel St, Waterford West </t>
  </si>
  <si>
    <t>2016/08/15 00:00:00+00</t>
  </si>
  <si>
    <t>Blackbutt St</t>
  </si>
  <si>
    <t xml:space="preserve">24 Blackbutt St; Cornubia </t>
  </si>
  <si>
    <t>2016/08/13 00:00:00+00</t>
  </si>
  <si>
    <t xml:space="preserve">Crestmead </t>
  </si>
  <si>
    <t xml:space="preserve">398 BrownsPlains Rd , Crestmead </t>
  </si>
  <si>
    <t xml:space="preserve">714 BrwnsPlains Rd , Marsden </t>
  </si>
  <si>
    <t>Cedar Vale Road</t>
  </si>
  <si>
    <t xml:space="preserve">CEDAR VALE   </t>
  </si>
  <si>
    <t xml:space="preserve">35 CEDAR VALE ROAD, CEDAR VALE   </t>
  </si>
  <si>
    <t>Drover Cres</t>
  </si>
  <si>
    <t xml:space="preserve">19-21 DROVER CRESCENT, JIMBOOMBA   </t>
  </si>
  <si>
    <t>Eastern Service Road</t>
  </si>
  <si>
    <t xml:space="preserve">LoganHolme </t>
  </si>
  <si>
    <t xml:space="preserve">Eastern Service Road , LoganHolme </t>
  </si>
  <si>
    <t>Granger Rd</t>
  </si>
  <si>
    <t xml:space="preserve">PARK RIDGE SOUTH   </t>
  </si>
  <si>
    <t xml:space="preserve">09 GRANGER ROAD, PARK RIDGE SOUTH   </t>
  </si>
  <si>
    <t>Grey Gum Rd</t>
  </si>
  <si>
    <t xml:space="preserve">CHAMBERS FLAT   </t>
  </si>
  <si>
    <t xml:space="preserve">46 GREY GUM ROAD, CHAMBERS FLAT     </t>
  </si>
  <si>
    <t>High Road</t>
  </si>
  <si>
    <t xml:space="preserve">15 High Road, Bethania </t>
  </si>
  <si>
    <t>Johanna St</t>
  </si>
  <si>
    <t xml:space="preserve">JIMBOOMBA   </t>
  </si>
  <si>
    <t xml:space="preserve">JOHANNA STREET, JIMBOOMBA    </t>
  </si>
  <si>
    <t xml:space="preserve">Johnson Rd </t>
  </si>
  <si>
    <t>96 Johnson Road , Hillcrest</t>
  </si>
  <si>
    <t>Logan Reserve road</t>
  </si>
  <si>
    <t>LoganResRd, Logan Reserve  Apprx 200 mts Sth of BeutelSt</t>
  </si>
  <si>
    <t>Olson Rd</t>
  </si>
  <si>
    <t>North Maclean</t>
  </si>
  <si>
    <t xml:space="preserve">75 OLSON ROAD, NORTH MACLEAN   </t>
  </si>
  <si>
    <t>Pintu Drive</t>
  </si>
  <si>
    <t xml:space="preserve">42 Pintu Drive, Tanah Merah </t>
  </si>
  <si>
    <t>Pintu Drive NorthBound</t>
  </si>
  <si>
    <t xml:space="preserve">3 Pintu Drive SouthBound , Tanah Merah  </t>
  </si>
  <si>
    <t>Pintu Drive SouthBound</t>
  </si>
  <si>
    <t xml:space="preserve">7 Pintu Drive SouthBound , Tanah Merah  </t>
  </si>
  <si>
    <t>Red Cedar Cres</t>
  </si>
  <si>
    <t xml:space="preserve">78 RED CEDAR CRESCENT, JIMBOOMBA   </t>
  </si>
  <si>
    <t>Rundalua Rd</t>
  </si>
  <si>
    <t>RUNDALUA ROAD, Approx 100 m West of Flesser Rd, CHAMBERS FLAT</t>
  </si>
  <si>
    <t>Skinners Rd</t>
  </si>
  <si>
    <t>13 Skinners Rd, Carbrook</t>
  </si>
  <si>
    <t xml:space="preserve">Springwood Rd </t>
  </si>
  <si>
    <t xml:space="preserve">27 Springwood Rd WestBound, Underwood </t>
  </si>
  <si>
    <t xml:space="preserve">3 Springwood Rd EastBound, Underwood </t>
  </si>
  <si>
    <t xml:space="preserve">SOUTH MACLEAN   </t>
  </si>
  <si>
    <t xml:space="preserve">TEVIOT ROAD, 50 m North of Wharburton Bridge, SOUTH MACLEAN   </t>
  </si>
  <si>
    <t>Veivers Rd</t>
  </si>
  <si>
    <t>WOLFFDENE</t>
  </si>
  <si>
    <t xml:space="preserve">VEIVERS ROAD Approx 50 m East of Wickham Rd, WOLFFDENE
</t>
  </si>
  <si>
    <t xml:space="preserve">108 UNDULLAH  ROAD , LYONS   </t>
  </si>
  <si>
    <t>Wandearah Rd</t>
  </si>
  <si>
    <t xml:space="preserve">LOGAN VILLAGE   </t>
  </si>
  <si>
    <t xml:space="preserve">76 WANDEARAH ROAD, LOGAN VILLAGE   </t>
  </si>
  <si>
    <t>ALLGAS STREET</t>
  </si>
  <si>
    <t>SLACKS CREEK</t>
  </si>
  <si>
    <t>21 ALLGAS STREET BETWEEN HERBERT STREET AND CRONULLA COURT SLACKS CREEK</t>
  </si>
  <si>
    <t>2016/09/08 00:00:00+00</t>
  </si>
  <si>
    <t>FRYAR ROAD</t>
  </si>
  <si>
    <t>266 FRYAR ROAD BETWEEN 229 FRYAR ROAD AND 292 FRYAR ROAD EAGLEBY</t>
  </si>
  <si>
    <t>VERGULDE ROAD</t>
  </si>
  <si>
    <t>REGENTS PARK</t>
  </si>
  <si>
    <t>33 VERGULDE ROAD BETWEEN EASTERN SERVICE ROAD AND EMERALD DRIVE REGENTS PARK</t>
  </si>
  <si>
    <t>CRONULLA COURT</t>
  </si>
  <si>
    <t>6 CRONULLA COURT BETWEEN ALLGAS STREET AND CUL-DE-SAC SLACKS CREEK</t>
  </si>
  <si>
    <t>CINDERELLA DRIVE</t>
  </si>
  <si>
    <t>76 CINDERELLA DRIVE BETWEEN JEANETTE AVENUE AND DENNIS ROAD SPRINGWOOD</t>
  </si>
  <si>
    <t>COMPTON ROAD</t>
  </si>
  <si>
    <t>47 COMPTON ROAD BETWEEN EWING ROAD AND PERRIN DRIVE WOODRIDGE</t>
  </si>
  <si>
    <t>58 COMPTON ROAD BETWEEN EWING ROAD AND GEONIC STREET WOODRIDGE</t>
  </si>
  <si>
    <t>JOHNSON ROAD</t>
  </si>
  <si>
    <t>FOREST LAKE</t>
  </si>
  <si>
    <t>JOHNSON ROAD BETWEEN WOOGAROO STREET AND 600M WEST OF WOOGAROO STREET FOREST LAKE</t>
  </si>
  <si>
    <t>GLEN STREET</t>
  </si>
  <si>
    <t>8 GLEN STREET BETWEEN WOODVIEW STREET AND SHERWOOD DRIVE BROWNS PLAINS</t>
  </si>
  <si>
    <t>JAMES STREET</t>
  </si>
  <si>
    <t>15 JAMES STREET BETWEEN RESERVOIR STREET AND VICTORIA STREET BEENLEIGH</t>
  </si>
  <si>
    <t>15 JAMES STREET BETWEEN VICTORIA STREET AND RESERVOIR STREET BEENLEIGH</t>
  </si>
  <si>
    <t>WEST COORANG ROAD</t>
  </si>
  <si>
    <t>CORNUBIA</t>
  </si>
  <si>
    <t>25 WEST COORANG ROAD BETWEEN 15 WEST COORAND ROAD AND 40-46 WEST COORANG ROAD CORNUBIA</t>
  </si>
  <si>
    <t>RIVER HILLS ROAD</t>
  </si>
  <si>
    <t>285 RIVER HILLS ROAD BETWEEN PIERRE LANE AND CUL-DE-SAC EAGLEBY</t>
  </si>
  <si>
    <t xml:space="preserve">EDENLEA DRIVE </t>
  </si>
  <si>
    <t>MEADOWBROOK</t>
  </si>
  <si>
    <t>31 EDENLEA DRIVE BETWEEN TORINA PLACE AND 55 EDENLEA DRIVE MEADOWBROOK</t>
  </si>
  <si>
    <t>SOLWAY CRESCENT</t>
  </si>
  <si>
    <t>36 SOLWAY CRESCENT BETWEEN TEVIOT ROAD AND 58-64 SOLWAY CRESCENT CARBROOK</t>
  </si>
  <si>
    <t>SCOTT LANE</t>
  </si>
  <si>
    <t>72 SCOTT LANE BETWEEN 65-145 SCOTT LANE AND 100-120 SCOTT LANE NORTH MACLEAN</t>
  </si>
  <si>
    <t>NEW BEITH ROAD</t>
  </si>
  <si>
    <t>516 NEW BEITH ROAD BETWEEN 500 NEW BEITH ROAD AND 518-530 NEW BEITH ROAD NEW BEITH</t>
  </si>
  <si>
    <t>CLARKS ROAD</t>
  </si>
  <si>
    <t>CLARKS ROAD BETWEEN DREWS ROAD AND TUDOR PARK ENTRANCE LOGANHOLME</t>
  </si>
  <si>
    <t>MEAKIN ROAD BETWEEN 217 MEAKIN ROAD AND EDNA STREET SLACKS CREEK</t>
  </si>
  <si>
    <t>2016/09/10 00:00:00+00</t>
  </si>
  <si>
    <t>REISERS ROAD</t>
  </si>
  <si>
    <t>REISERS ROAD BETWEEN GEORGE STREET AND DEAD END BEENLEIGH</t>
  </si>
  <si>
    <t>WINNETTS ROAD</t>
  </si>
  <si>
    <t>DAISY HILL</t>
  </si>
  <si>
    <t>WINNETTS ROAD BETWEEN DAISY HILL ROAD AND DAHLIA STREET DAISY HILL</t>
  </si>
  <si>
    <t>WURAGA ROAD</t>
  </si>
  <si>
    <t>WURAGA ROAD BETWEEN 180M WEST OF RAID RISE AND TEYS ROAD BEENLEIGH</t>
  </si>
  <si>
    <t>CENTENARY PLACE</t>
  </si>
  <si>
    <t>20 CENTENARY PLACE, LOGAN VILLAGE</t>
  </si>
  <si>
    <t>2016/10/12 00:00:00+00</t>
  </si>
  <si>
    <t>JOHNSON RD</t>
  </si>
  <si>
    <t>616 JOHNSON RD, FOREST LAKE</t>
  </si>
  <si>
    <t>Dongarven Dr</t>
  </si>
  <si>
    <t xml:space="preserve">20 Dongarven Dr, Eagleby </t>
  </si>
  <si>
    <t>2016/10/11 00:00:00+00</t>
  </si>
  <si>
    <t>Coffey St</t>
  </si>
  <si>
    <t>15 Coffey st , Crestmead</t>
  </si>
  <si>
    <t>2016/10/18 00:00:00+00</t>
  </si>
  <si>
    <t>43 Coffey st , Crestmead</t>
  </si>
  <si>
    <t>Undullah Rd</t>
  </si>
  <si>
    <t>LYONS</t>
  </si>
  <si>
    <t>1127 UNDULLAH  ROAD , FLINDERS LAKE</t>
  </si>
  <si>
    <t xml:space="preserve">Erwin Road </t>
  </si>
  <si>
    <t xml:space="preserve">43 Erwin Road , Carbrook </t>
  </si>
  <si>
    <t>Cosway St</t>
  </si>
  <si>
    <t xml:space="preserve">Hillcrest  </t>
  </si>
  <si>
    <t xml:space="preserve">8 Cosway Street, Hillcrest  </t>
  </si>
  <si>
    <t>2016/11/02 00:00:00+00</t>
  </si>
  <si>
    <t>Begley Road</t>
  </si>
  <si>
    <t xml:space="preserve">Begley Road, Greenbank (Near property # 130) </t>
  </si>
  <si>
    <t>Catherine St</t>
  </si>
  <si>
    <t xml:space="preserve">14 Catherine St, Marsden  </t>
  </si>
  <si>
    <t>Trevallyan Dr</t>
  </si>
  <si>
    <t xml:space="preserve">39 Trevallyan Dr, Daisy Hill </t>
  </si>
  <si>
    <t xml:space="preserve">28 Blackbutt St, Cornubia </t>
  </si>
  <si>
    <t>2016/10/26 00:00:00+00</t>
  </si>
  <si>
    <t>Tallagandra Rd</t>
  </si>
  <si>
    <t xml:space="preserve">60 Tallagandra Rd , Beenleigh </t>
  </si>
  <si>
    <t>Ivanhoe Dr</t>
  </si>
  <si>
    <t xml:space="preserve">19 Ivanhoe Dr , Bethania </t>
  </si>
  <si>
    <t>Blackwood Rd</t>
  </si>
  <si>
    <t xml:space="preserve">Logan Central </t>
  </si>
  <si>
    <t>37  Blackwood rd, Logan Central (No stopping sign)</t>
  </si>
  <si>
    <t>Bourke St</t>
  </si>
  <si>
    <t xml:space="preserve">19 Bourke St, Waterford West  </t>
  </si>
  <si>
    <t>Greensward Rd</t>
  </si>
  <si>
    <t xml:space="preserve">212 Greensward Rd, Tamborine </t>
  </si>
  <si>
    <t>Moss St</t>
  </si>
  <si>
    <t xml:space="preserve">78 Moss St , Slacks Creek </t>
  </si>
  <si>
    <t>Homestead Dr</t>
  </si>
  <si>
    <t xml:space="preserve">JIMBOOMBA     </t>
  </si>
  <si>
    <t>Homestead Dr, 50m East of Bridge,  Jimboomba</t>
  </si>
  <si>
    <t>Evergreen Ave</t>
  </si>
  <si>
    <t xml:space="preserve">Loganlea  </t>
  </si>
  <si>
    <t xml:space="preserve">8 Evergreen Ave, Loganlea  </t>
  </si>
  <si>
    <t>2016/11/15 00:00:00+00</t>
  </si>
  <si>
    <t>Wunburra St</t>
  </si>
  <si>
    <t xml:space="preserve">15 Wunburra Street, Waterford West </t>
  </si>
  <si>
    <t>2016/11/08 00:00:00+00</t>
  </si>
  <si>
    <t>Cindy St</t>
  </si>
  <si>
    <t xml:space="preserve">22 Cindy Street, Marsden </t>
  </si>
  <si>
    <t>Orchid St</t>
  </si>
  <si>
    <t xml:space="preserve">Woodridge  </t>
  </si>
  <si>
    <t xml:space="preserve">22 Orchid St, Woodridge  </t>
  </si>
  <si>
    <t>Forestdale Dr</t>
  </si>
  <si>
    <t xml:space="preserve">Forestdale </t>
  </si>
  <si>
    <t xml:space="preserve">108 Forestdale Dr , Forestdale </t>
  </si>
  <si>
    <t>2016/11/28 00:00:00+00</t>
  </si>
  <si>
    <t xml:space="preserve">45 Forestdale Dr , Forestdale </t>
  </si>
  <si>
    <t>Abbey St</t>
  </si>
  <si>
    <t xml:space="preserve">112 Abbey St, Forestdale </t>
  </si>
  <si>
    <t>2017/02/03 00:00:00+00</t>
  </si>
  <si>
    <t xml:space="preserve">12 Pauline St, Marsden  (in btwn 12 &amp; 14)  </t>
  </si>
  <si>
    <t>2016/11/30 00:00:00+00</t>
  </si>
  <si>
    <t>Adam St</t>
  </si>
  <si>
    <t xml:space="preserve"> #10 Adam Street, Browns Plains </t>
  </si>
  <si>
    <t>Foresetdale Dr</t>
  </si>
  <si>
    <t xml:space="preserve">Foresetdale </t>
  </si>
  <si>
    <t xml:space="preserve"> #136 Forestdale Drive, Foresetdale </t>
  </si>
  <si>
    <t>Wisdom Way</t>
  </si>
  <si>
    <t xml:space="preserve">#17-19 Wisdom Way, Crestmead </t>
  </si>
  <si>
    <t>Louise St</t>
  </si>
  <si>
    <t xml:space="preserve">#2 Louise St, Underwood </t>
  </si>
  <si>
    <t>2017/02/06 00:00:00+00</t>
  </si>
  <si>
    <t>Rachel Dr</t>
  </si>
  <si>
    <t xml:space="preserve">#20 Rachel Drive, Crestmead </t>
  </si>
  <si>
    <t xml:space="preserve">Logan Village </t>
  </si>
  <si>
    <t xml:space="preserve"> #44-52 Quinzeh Creek Road, Logan Village </t>
  </si>
  <si>
    <t xml:space="preserve"> Bayliss Rd</t>
  </si>
  <si>
    <t xml:space="preserve">Heritage Park </t>
  </si>
  <si>
    <t xml:space="preserve">#82 Bayliss Road Heritage Park </t>
  </si>
  <si>
    <t>Ascot Dr</t>
  </si>
  <si>
    <t xml:space="preserve">#11 Ascot Drive, Loganholme </t>
  </si>
  <si>
    <t>Galvin Street</t>
  </si>
  <si>
    <t xml:space="preserve">#10-12 Galvin Street Loganholme </t>
  </si>
  <si>
    <t xml:space="preserve"> #20-22 Galvin Street Loganholme </t>
  </si>
  <si>
    <t>Lithgow St</t>
  </si>
  <si>
    <t xml:space="preserve">#4-6 Lithgow Street, Loganholme </t>
  </si>
  <si>
    <t>Chastwood Rd</t>
  </si>
  <si>
    <t xml:space="preserve">356-358 Chastwood Road, Springwood </t>
  </si>
  <si>
    <t>2017/02/04 00:00:00+00</t>
  </si>
  <si>
    <t>Chatswood Road</t>
  </si>
  <si>
    <t xml:space="preserve">Chastwood Rd Mid of Camballin Ct and Koolan Cres, Springwood </t>
  </si>
  <si>
    <t>2017/02/08 00:00:00+00</t>
  </si>
  <si>
    <t xml:space="preserve">#12 Cedarwood St, Berrinba </t>
  </si>
  <si>
    <t xml:space="preserve">#26 Barbaralla Drive, Springwood </t>
  </si>
  <si>
    <t>2017/02/05 00:00:00+00</t>
  </si>
  <si>
    <t>Copper Dr</t>
  </si>
  <si>
    <t xml:space="preserve"> #28-30 Copper Drive, Bethania </t>
  </si>
  <si>
    <t>Kirkstall St</t>
  </si>
  <si>
    <t xml:space="preserve">Holmview </t>
  </si>
  <si>
    <t xml:space="preserve">#20 Kirkstall St, Holmview </t>
  </si>
  <si>
    <t xml:space="preserve">#34 Laughlin St, Kingston </t>
  </si>
  <si>
    <t xml:space="preserve">#56 Laughlin St, Kingston </t>
  </si>
  <si>
    <t>Jardine St</t>
  </si>
  <si>
    <t xml:space="preserve"> # 26 Jardine Street, Springwood </t>
  </si>
  <si>
    <t xml:space="preserve"> # 58 Jardine Street, Springwood </t>
  </si>
  <si>
    <t>Christopher St</t>
  </si>
  <si>
    <t xml:space="preserve">#46-48 Christopher Street,  Slacks Creek </t>
  </si>
  <si>
    <t xml:space="preserve">#12-14 Rholanda Cresent, Springwood </t>
  </si>
  <si>
    <t xml:space="preserve">#42 Rholanda Cresent, Springwood </t>
  </si>
  <si>
    <t xml:space="preserve">#56 Rholanda Cresent, Springwood </t>
  </si>
  <si>
    <t>King Arthur Boulevard</t>
  </si>
  <si>
    <t xml:space="preserve">#34-36 King Arthur Boulevard, Bethania </t>
  </si>
  <si>
    <t xml:space="preserve">#12-14 King Arthur Boulevard, Bethania </t>
  </si>
  <si>
    <t>Pheasant Ave</t>
  </si>
  <si>
    <t xml:space="preserve"> #12 Pheasant Ave, Beenleigh </t>
  </si>
  <si>
    <t>2017/02/14 00:00:00+00</t>
  </si>
  <si>
    <t>School Rd</t>
  </si>
  <si>
    <t xml:space="preserve">#127 School Rd, Logan Reserve </t>
  </si>
  <si>
    <t xml:space="preserve">#25 Maple Street, Kingston </t>
  </si>
  <si>
    <t>2017/02/16 00:00:00+00</t>
  </si>
  <si>
    <t>Wantana Cres</t>
  </si>
  <si>
    <t xml:space="preserve">19 Wantana Cres, Edens Landing </t>
  </si>
  <si>
    <t>2017/03/03 00:00:00+00</t>
  </si>
  <si>
    <t xml:space="preserve"> Stubbs Rd</t>
  </si>
  <si>
    <t xml:space="preserve">29 Stubbs Rd, Woodridge </t>
  </si>
  <si>
    <t>2017/03/06 00:00:00+00</t>
  </si>
  <si>
    <t xml:space="preserve">65 Evergreen Ave, Loganlea  </t>
  </si>
  <si>
    <t>Pohon Drv</t>
  </si>
  <si>
    <t xml:space="preserve">98 Pohon Drv, Tanah Merah </t>
  </si>
  <si>
    <t xml:space="preserve">Between 18 and 20 Schmidt Rd , Eagleby </t>
  </si>
  <si>
    <t>2017/03/09 00:00:00+00</t>
  </si>
  <si>
    <t>Murrays Rd ,100 M east of Rafting Ct, Tanah Merah</t>
  </si>
  <si>
    <t xml:space="preserve"> Haig Rd</t>
  </si>
  <si>
    <t xml:space="preserve">125 Haig Rd, Loganlea </t>
  </si>
  <si>
    <t>2017/05/02 00:00:00+00</t>
  </si>
  <si>
    <t xml:space="preserve">152 Haig Rd, Loganlea </t>
  </si>
  <si>
    <t>Gleneagles Ave</t>
  </si>
  <si>
    <t xml:space="preserve">15 Gleneagles Ave, Cornubia </t>
  </si>
  <si>
    <t>Edelsten Rd</t>
  </si>
  <si>
    <t xml:space="preserve">339 Edelsten Rd, Jimboomba </t>
  </si>
  <si>
    <t>Parkview Crs</t>
  </si>
  <si>
    <t xml:space="preserve">67 Parkview Crs, Cornubia </t>
  </si>
  <si>
    <t>Eira Cres</t>
  </si>
  <si>
    <t>Eira Crs between Sandra-Ann Dr &amp; Houdini Tce</t>
  </si>
  <si>
    <t>South of Troy Cl</t>
  </si>
  <si>
    <t>Marday Street</t>
  </si>
  <si>
    <t xml:space="preserve">47 Marday Street, Slacks Creek </t>
  </si>
  <si>
    <t>2017/05/24 00:00:00+00</t>
  </si>
  <si>
    <t>Station Rd</t>
  </si>
  <si>
    <t xml:space="preserve"> 143 Station Road, Loganlea </t>
  </si>
  <si>
    <t>2017/05/10 00:00:00+00</t>
  </si>
  <si>
    <t xml:space="preserve"> 157 Station Road, Loganlea </t>
  </si>
  <si>
    <t>2017/05/22 00:00:00+00</t>
  </si>
  <si>
    <t>Macarthy Rd</t>
  </si>
  <si>
    <t xml:space="preserve">15 Macarthy Rd, Marsden </t>
  </si>
  <si>
    <t>2017/05/11 00:00:00+00</t>
  </si>
  <si>
    <t>Bernice St</t>
  </si>
  <si>
    <t xml:space="preserve"> 9 Bernice Street, Loganlea </t>
  </si>
  <si>
    <t>Drews Rd</t>
  </si>
  <si>
    <t>19 Drews Rd, 25 m South of Refuge island, Tanah Merah</t>
  </si>
  <si>
    <t>Fairbairn St</t>
  </si>
  <si>
    <t xml:space="preserve">40 Fairbairn St, Marsden </t>
  </si>
  <si>
    <t>Que Close</t>
  </si>
  <si>
    <t xml:space="preserve">11 Que Close  , Cornubia </t>
  </si>
  <si>
    <t>2017/05/17 00:00:00+00</t>
  </si>
  <si>
    <t>Federation Dr</t>
  </si>
  <si>
    <t>134 Federation Dr, Bethania</t>
  </si>
  <si>
    <t>84 Federation Dr, Bethania</t>
  </si>
  <si>
    <t>34 Federation Dr, Bethania</t>
  </si>
  <si>
    <t>Sanctuary Pkwy</t>
  </si>
  <si>
    <t xml:space="preserve">38 Sanctuary Pkwy, Waterford </t>
  </si>
  <si>
    <t xml:space="preserve">88 Sanctuary Pkwy, Waterford </t>
  </si>
  <si>
    <t>Glastonbury Dr</t>
  </si>
  <si>
    <t xml:space="preserve">42 Glastonbury Drv, Bethania </t>
  </si>
  <si>
    <t>2017/05/05 00:00:00+00</t>
  </si>
  <si>
    <t>Jarvis Rd</t>
  </si>
  <si>
    <t xml:space="preserve">Waterford  </t>
  </si>
  <si>
    <t xml:space="preserve">57 Jarvis Rd, Waterford  </t>
  </si>
  <si>
    <t xml:space="preserve">59 Evergreen Ave, Loganlea  </t>
  </si>
  <si>
    <t>JACKSON STREET</t>
  </si>
  <si>
    <t xml:space="preserve">15 Dampier Ave, Eagleby </t>
  </si>
  <si>
    <t>2017/06/02 00:00:00+00</t>
  </si>
  <si>
    <t>DAMPIER AVENUE</t>
  </si>
  <si>
    <t>BEGONIA DRIVE</t>
  </si>
  <si>
    <t>23 Begonia Street, Browns Plains</t>
  </si>
  <si>
    <t>Count Year</t>
  </si>
  <si>
    <t>Current Year</t>
  </si>
  <si>
    <t>No. of years</t>
  </si>
  <si>
    <t>Count year</t>
  </si>
  <si>
    <t>Current year estimate</t>
  </si>
  <si>
    <t>Growth(%) Assumed</t>
  </si>
  <si>
    <t>Volume</t>
  </si>
  <si>
    <t>Length (m)</t>
  </si>
  <si>
    <t>Queue Length factors</t>
  </si>
  <si>
    <t>Maximum stopping time (minutes)</t>
  </si>
  <si>
    <t>Multiplier</t>
  </si>
  <si>
    <t>Ma</t>
  </si>
  <si>
    <t>Mo</t>
  </si>
  <si>
    <t>per 5 mins</t>
  </si>
  <si>
    <t>Queue length estimation</t>
  </si>
  <si>
    <t>Design Volume (Capacity) *</t>
  </si>
  <si>
    <t>VCR (Volume to Capacity Ratio)</t>
  </si>
  <si>
    <t>Single Lane Reversible Flow</t>
  </si>
  <si>
    <t>Peak</t>
  </si>
  <si>
    <t>Source: https://data-logancity.opendata.arcgis.com/datasets/LoganCity::logan-city-council-traffic-counts</t>
  </si>
  <si>
    <t>Percent traffic assumed*</t>
  </si>
  <si>
    <t>*100% if using the same counts</t>
  </si>
  <si>
    <t>Road ID</t>
  </si>
  <si>
    <t>Row Number</t>
  </si>
  <si>
    <t>(Don't Change for calc purposes)</t>
  </si>
  <si>
    <t>Count Location:</t>
  </si>
  <si>
    <t>Is count location and road being assessed the same?</t>
  </si>
  <si>
    <t>Yes</t>
  </si>
  <si>
    <t>If no, what road is the analysis for?</t>
  </si>
  <si>
    <t>Is the direction of the road same</t>
  </si>
  <si>
    <t>Assumed Percent of Traffic</t>
  </si>
  <si>
    <t>Eastbound</t>
  </si>
  <si>
    <t>No</t>
  </si>
  <si>
    <t>Westbound</t>
  </si>
  <si>
    <t>HV%</t>
  </si>
  <si>
    <t>CV</t>
  </si>
  <si>
    <t>Off-peak traffic
(Estimated Highest Hour - 42% of remaining volume)</t>
  </si>
  <si>
    <t>Hourly Average</t>
  </si>
  <si>
    <t>2 mins. Queue</t>
  </si>
  <si>
    <t>5 mins. Queue</t>
  </si>
  <si>
    <t>10 mins. Queue</t>
  </si>
  <si>
    <t>15 mins. Queue</t>
  </si>
  <si>
    <t>Peak traffic estimate</t>
  </si>
  <si>
    <t>(assumed)</t>
  </si>
  <si>
    <t>Off-Peak</t>
  </si>
  <si>
    <t>* Greater of 30th Highest Hour or 500</t>
  </si>
  <si>
    <t>LOS A (x&lt;=0.6)</t>
  </si>
  <si>
    <t>LOS B (0.6 &lt; x &lt;= 0.7)</t>
  </si>
  <si>
    <t>LOS C (0.7 &lt; x &lt;= 0.9)</t>
  </si>
  <si>
    <t>LOS D (0.9 &lt; x &lt;= 0.95)</t>
  </si>
  <si>
    <t>LOS E (0.95 &lt; x &lt;= 1)</t>
  </si>
  <si>
    <t>LOS F ( 1 &lt; 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</si>
</sst>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6">
    <xf numFmtId="0" fontId="0" fillId="0" borderId="0" xfId="0"/>
    <xf numFmtId="19" fontId="0" fillId="0" borderId="0" xfId="0" applyNumberFormat="1"/>
    <xf numFmtId="0" fontId="0" fillId="0" borderId="0" xfId="0" applyAlignment="1">
      <alignment wrapText="1"/>
    </xf>
    <xf numFmtId="0" fontId="8" fillId="4" borderId="0" xfId="8"/>
    <xf numFmtId="0" fontId="6" fillId="2" borderId="0" xfId="6"/>
    <xf numFmtId="0" fontId="7" fillId="3" borderId="0" xfId="7"/>
    <xf numFmtId="0" fontId="9" fillId="5" borderId="4" xfId="9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8" fillId="0" borderId="0" xfId="0" applyFont="1"/>
    <xf numFmtId="0" fontId="18" fillId="0" borderId="11" xfId="0" applyFont="1" applyBorder="1"/>
    <xf numFmtId="0" fontId="18" fillId="0" borderId="16" xfId="8" applyFont="1" applyFill="1" applyBorder="1"/>
    <xf numFmtId="0" fontId="18" fillId="0" borderId="12" xfId="0" applyFont="1" applyBorder="1"/>
    <xf numFmtId="0" fontId="18" fillId="0" borderId="21" xfId="0" applyFont="1" applyBorder="1"/>
    <xf numFmtId="0" fontId="18" fillId="33" borderId="21" xfId="0" applyFont="1" applyFill="1" applyBorder="1"/>
    <xf numFmtId="0" fontId="19" fillId="0" borderId="0" xfId="0" applyFont="1"/>
    <xf numFmtId="0" fontId="20" fillId="0" borderId="11" xfId="0" applyFont="1" applyBorder="1"/>
    <xf numFmtId="0" fontId="20" fillId="0" borderId="11" xfId="8" applyFont="1" applyFill="1" applyBorder="1"/>
    <xf numFmtId="0" fontId="20" fillId="0" borderId="11" xfId="6" applyFont="1" applyFill="1" applyBorder="1"/>
    <xf numFmtId="0" fontId="20" fillId="0" borderId="11" xfId="7" applyFont="1" applyFill="1" applyBorder="1"/>
    <xf numFmtId="0" fontId="20" fillId="0" borderId="11" xfId="9" applyFont="1" applyFill="1" applyBorder="1"/>
    <xf numFmtId="0" fontId="21" fillId="0" borderId="0" xfId="0" applyFont="1"/>
    <xf numFmtId="0" fontId="20" fillId="33" borderId="21" xfId="0" applyFont="1" applyFill="1" applyBorder="1"/>
    <xf numFmtId="0" fontId="16" fillId="0" borderId="11" xfId="0" applyFont="1" applyBorder="1"/>
    <xf numFmtId="0" fontId="0" fillId="34" borderId="0" xfId="0" applyFill="1"/>
    <xf numFmtId="0" fontId="0" fillId="34" borderId="11" xfId="0" applyFill="1" applyBorder="1"/>
    <xf numFmtId="0" fontId="0" fillId="35" borderId="0" xfId="0" applyFill="1"/>
    <xf numFmtId="0" fontId="20" fillId="35" borderId="11" xfId="0" applyFont="1" applyFill="1" applyBorder="1"/>
    <xf numFmtId="0" fontId="20" fillId="35" borderId="11" xfId="8" applyFont="1" applyFill="1" applyBorder="1"/>
    <xf numFmtId="0" fontId="20" fillId="35" borderId="11" xfId="6" applyFont="1" applyFill="1" applyBorder="1"/>
    <xf numFmtId="0" fontId="20" fillId="35" borderId="11" xfId="7" applyFont="1" applyFill="1" applyBorder="1"/>
    <xf numFmtId="0" fontId="20" fillId="35" borderId="11" xfId="9" applyFont="1" applyFill="1" applyBorder="1"/>
    <xf numFmtId="0" fontId="20" fillId="35" borderId="0" xfId="9" applyFont="1" applyFill="1" applyBorder="1"/>
    <xf numFmtId="0" fontId="16" fillId="36" borderId="12" xfId="0" applyFont="1" applyFill="1" applyBorder="1"/>
    <xf numFmtId="0" fontId="0" fillId="36" borderId="21" xfId="0" applyFill="1" applyBorder="1"/>
    <xf numFmtId="0" fontId="0" fillId="36" borderId="17" xfId="0" applyFill="1" applyBorder="1"/>
    <xf numFmtId="0" fontId="0" fillId="37" borderId="12" xfId="0" applyFill="1" applyBorder="1" applyAlignment="1">
      <alignment wrapText="1"/>
    </xf>
    <xf numFmtId="0" fontId="0" fillId="37" borderId="17" xfId="0" applyFill="1" applyBorder="1" applyAlignment="1">
      <alignment wrapText="1"/>
    </xf>
    <xf numFmtId="0" fontId="0" fillId="37" borderId="14" xfId="0" applyFill="1" applyBorder="1" applyAlignment="1">
      <alignment horizontal="center" vertical="center" wrapText="1"/>
    </xf>
    <xf numFmtId="0" fontId="0" fillId="37" borderId="10" xfId="0" applyFill="1" applyBorder="1" applyAlignment="1">
      <alignment horizontal="center" vertical="center" wrapText="1"/>
    </xf>
    <xf numFmtId="0" fontId="0" fillId="37" borderId="11" xfId="0" applyFill="1" applyBorder="1" applyAlignment="1">
      <alignment horizontal="center" vertical="center" wrapText="1"/>
    </xf>
    <xf numFmtId="0" fontId="19" fillId="38" borderId="12" xfId="0" applyFont="1" applyFill="1" applyBorder="1"/>
    <xf numFmtId="0" fontId="0" fillId="38" borderId="21" xfId="0" applyFill="1" applyBorder="1"/>
    <xf numFmtId="0" fontId="0" fillId="38" borderId="17" xfId="0" applyFill="1" applyBorder="1"/>
    <xf numFmtId="0" fontId="0" fillId="39" borderId="13" xfId="0" applyFill="1" applyBorder="1"/>
    <xf numFmtId="0" fontId="0" fillId="39" borderId="11" xfId="0" applyFill="1" applyBorder="1"/>
    <xf numFmtId="0" fontId="0" fillId="40" borderId="13" xfId="0" applyFill="1" applyBorder="1"/>
    <xf numFmtId="2" fontId="0" fillId="0" borderId="16" xfId="0" applyNumberFormat="1" applyBorder="1" applyAlignment="1">
      <alignment horizontal="center" vertical="center"/>
    </xf>
    <xf numFmtId="2" fontId="0" fillId="0" borderId="18" xfId="0" applyNumberFormat="1" applyBorder="1" applyAlignment="1">
      <alignment horizontal="center" vertical="center"/>
    </xf>
    <xf numFmtId="2" fontId="0" fillId="0" borderId="22" xfId="0" applyNumberFormat="1" applyBorder="1" applyAlignment="1">
      <alignment horizontal="center" vertical="center"/>
    </xf>
    <xf numFmtId="0" fontId="19" fillId="42" borderId="12" xfId="0" applyFont="1" applyFill="1" applyBorder="1"/>
    <xf numFmtId="0" fontId="19" fillId="42" borderId="14" xfId="0" applyFont="1" applyFill="1" applyBorder="1"/>
    <xf numFmtId="0" fontId="19" fillId="42" borderId="15" xfId="0" applyFont="1" applyFill="1" applyBorder="1"/>
    <xf numFmtId="0" fontId="0" fillId="39" borderId="20" xfId="0" applyFill="1" applyBorder="1"/>
    <xf numFmtId="0" fontId="0" fillId="37" borderId="10" xfId="0" applyFill="1" applyBorder="1" applyAlignment="1">
      <alignment horizontal="center"/>
    </xf>
    <xf numFmtId="0" fontId="0" fillId="37" borderId="15" xfId="0" applyFill="1" applyBorder="1"/>
    <xf numFmtId="0" fontId="0" fillId="39" borderId="19" xfId="0" applyFill="1" applyBorder="1"/>
    <xf numFmtId="0" fontId="19" fillId="43" borderId="12" xfId="0" applyFont="1" applyFill="1" applyBorder="1" applyAlignment="1">
      <alignment horizontal="center"/>
    </xf>
    <xf numFmtId="0" fontId="19" fillId="43" borderId="11" xfId="0" applyFont="1" applyFill="1" applyBorder="1" applyAlignment="1">
      <alignment horizontal="center"/>
    </xf>
    <xf numFmtId="0" fontId="0" fillId="39" borderId="18" xfId="0" applyFill="1" applyBorder="1"/>
    <xf numFmtId="0" fontId="0" fillId="40" borderId="0" xfId="0" applyFill="1"/>
    <xf numFmtId="0" fontId="0" fillId="44" borderId="0" xfId="0" applyFill="1"/>
    <xf numFmtId="0" fontId="0" fillId="33" borderId="0" xfId="0" applyFill="1"/>
    <xf numFmtId="0" fontId="0" fillId="45" borderId="0" xfId="0" applyFill="1"/>
    <xf numFmtId="0" fontId="0" fillId="46" borderId="0" xfId="0" applyFill="1"/>
    <xf numFmtId="0" fontId="0" fillId="41" borderId="0" xfId="0" applyFill="1"/>
    <xf numFmtId="0" fontId="0" fillId="37" borderId="13" xfId="0" applyFill="1" applyBorder="1" applyAlignment="1">
      <alignment horizontal="center"/>
    </xf>
    <xf numFmtId="0" fontId="0" fillId="37" borderId="22" xfId="0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ill>
        <patternFill>
          <bgColor theme="9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AZ546"/>
  <sheetViews>
    <sheetView workbookViewId="0">
      <selection activeCell="C334" sqref="C334"/>
    </sheetView>
  </sheetViews>
  <sheetFormatPr defaultRowHeight="14.25" x14ac:dyDescent="0.45"/>
  <cols>
    <col min="4" max="4" width="58.9296875" bestFit="1" customWidth="1"/>
    <col min="6" max="6" width="114.9296875" bestFit="1" customWidth="1"/>
    <col min="8" max="8" width="9.06640625" style="3"/>
    <col min="32" max="35" width="9.06640625" style="4"/>
    <col min="43" max="43" width="9.06640625" style="5"/>
    <col min="48" max="48" width="9.06640625" style="5"/>
    <col min="50" max="50" width="9.06640625" style="6"/>
  </cols>
  <sheetData>
    <row r="1" spans="1:52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s="4" t="s">
        <v>31</v>
      </c>
      <c r="AG1" s="4" t="s">
        <v>32</v>
      </c>
      <c r="AH1" s="4" t="s">
        <v>33</v>
      </c>
      <c r="AI1" s="4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s="5" t="s">
        <v>42</v>
      </c>
      <c r="AR1" t="s">
        <v>43</v>
      </c>
      <c r="AS1" t="s">
        <v>44</v>
      </c>
      <c r="AT1" t="s">
        <v>45</v>
      </c>
      <c r="AU1" t="s">
        <v>46</v>
      </c>
      <c r="AV1" s="5" t="s">
        <v>47</v>
      </c>
      <c r="AW1" t="s">
        <v>48</v>
      </c>
      <c r="AX1" s="6" t="s">
        <v>49</v>
      </c>
      <c r="AY1" t="s">
        <v>50</v>
      </c>
      <c r="AZ1" t="s">
        <v>51</v>
      </c>
    </row>
    <row r="2" spans="1:52" hidden="1" x14ac:dyDescent="0.45">
      <c r="A2">
        <v>502739.43073674402</v>
      </c>
      <c r="B2">
        <v>6937827.8201951804</v>
      </c>
      <c r="C2">
        <v>1</v>
      </c>
      <c r="D2" t="s">
        <v>52</v>
      </c>
      <c r="E2" t="s">
        <v>53</v>
      </c>
      <c r="F2" t="s">
        <v>54</v>
      </c>
      <c r="G2" t="s">
        <v>55</v>
      </c>
      <c r="H2" s="3">
        <v>858</v>
      </c>
      <c r="I2">
        <v>2</v>
      </c>
      <c r="J2" t="s">
        <v>56</v>
      </c>
      <c r="K2">
        <v>42.5</v>
      </c>
      <c r="L2">
        <v>49.3</v>
      </c>
      <c r="M2">
        <v>1</v>
      </c>
      <c r="N2" t="s">
        <v>56</v>
      </c>
      <c r="O2" t="s">
        <v>55</v>
      </c>
      <c r="P2">
        <v>86.8</v>
      </c>
      <c r="Q2">
        <v>1.6</v>
      </c>
      <c r="R2">
        <v>10.199999999999999</v>
      </c>
      <c r="S2">
        <v>0.6</v>
      </c>
      <c r="T2">
        <v>0.1</v>
      </c>
      <c r="U2">
        <v>0</v>
      </c>
      <c r="V2">
        <v>0.1</v>
      </c>
      <c r="W2">
        <v>0</v>
      </c>
      <c r="X2">
        <v>0</v>
      </c>
      <c r="Y2">
        <v>0</v>
      </c>
      <c r="Z2">
        <v>0</v>
      </c>
      <c r="AA2">
        <v>0</v>
      </c>
      <c r="AB2">
        <v>0.6</v>
      </c>
      <c r="AC2" t="s">
        <v>55</v>
      </c>
      <c r="AD2">
        <v>50</v>
      </c>
      <c r="AE2" t="s">
        <v>55</v>
      </c>
      <c r="AF2" s="4" t="s">
        <v>57</v>
      </c>
      <c r="AG2" s="4">
        <v>621</v>
      </c>
      <c r="AH2" s="4" t="s">
        <v>58</v>
      </c>
      <c r="AI2" s="4">
        <v>237</v>
      </c>
      <c r="AJ2" t="s">
        <v>55</v>
      </c>
      <c r="AK2" t="s">
        <v>56</v>
      </c>
      <c r="AL2" t="s">
        <v>54</v>
      </c>
      <c r="AM2">
        <v>8</v>
      </c>
      <c r="AN2">
        <v>0</v>
      </c>
      <c r="AO2">
        <v>9</v>
      </c>
      <c r="AP2">
        <v>0</v>
      </c>
      <c r="AQ2" s="5">
        <v>81</v>
      </c>
      <c r="AR2">
        <v>15</v>
      </c>
      <c r="AS2">
        <v>0</v>
      </c>
      <c r="AT2">
        <v>16</v>
      </c>
      <c r="AU2">
        <v>0</v>
      </c>
      <c r="AV2" s="5">
        <v>72</v>
      </c>
      <c r="AW2" t="s">
        <v>56</v>
      </c>
      <c r="AX2" s="6">
        <v>905</v>
      </c>
      <c r="AY2" t="s">
        <v>55</v>
      </c>
      <c r="AZ2" t="s">
        <v>56</v>
      </c>
    </row>
    <row r="3" spans="1:52" hidden="1" x14ac:dyDescent="0.45">
      <c r="A3">
        <v>502351.99313232902</v>
      </c>
      <c r="B3">
        <v>6937794.33797283</v>
      </c>
      <c r="C3">
        <v>2</v>
      </c>
      <c r="D3" t="s">
        <v>52</v>
      </c>
      <c r="E3" t="s">
        <v>53</v>
      </c>
      <c r="F3" t="s">
        <v>59</v>
      </c>
      <c r="G3" t="s">
        <v>55</v>
      </c>
      <c r="H3" s="3">
        <v>927</v>
      </c>
      <c r="I3">
        <v>2</v>
      </c>
      <c r="J3" t="s">
        <v>56</v>
      </c>
      <c r="K3">
        <v>41.8</v>
      </c>
      <c r="L3">
        <v>49.3</v>
      </c>
      <c r="M3">
        <v>1</v>
      </c>
      <c r="N3" t="s">
        <v>56</v>
      </c>
      <c r="O3" t="s">
        <v>55</v>
      </c>
      <c r="P3">
        <v>82.3</v>
      </c>
      <c r="Q3">
        <v>0.6</v>
      </c>
      <c r="R3">
        <v>16.5</v>
      </c>
      <c r="S3">
        <v>0.3</v>
      </c>
      <c r="T3">
        <v>0</v>
      </c>
      <c r="U3">
        <v>0</v>
      </c>
      <c r="V3">
        <v>0.1</v>
      </c>
      <c r="W3">
        <v>0</v>
      </c>
      <c r="X3">
        <v>0</v>
      </c>
      <c r="Y3">
        <v>0</v>
      </c>
      <c r="Z3">
        <v>0</v>
      </c>
      <c r="AA3">
        <v>0</v>
      </c>
      <c r="AB3">
        <v>0.2</v>
      </c>
      <c r="AC3" t="s">
        <v>55</v>
      </c>
      <c r="AD3">
        <v>50</v>
      </c>
      <c r="AE3" t="s">
        <v>55</v>
      </c>
      <c r="AF3" s="4" t="s">
        <v>57</v>
      </c>
      <c r="AG3" s="4">
        <v>652</v>
      </c>
      <c r="AH3" s="4" t="s">
        <v>58</v>
      </c>
      <c r="AI3" s="4">
        <v>275</v>
      </c>
      <c r="AJ3" t="s">
        <v>55</v>
      </c>
      <c r="AK3" t="s">
        <v>56</v>
      </c>
      <c r="AL3" t="s">
        <v>60</v>
      </c>
      <c r="AM3">
        <v>8</v>
      </c>
      <c r="AN3">
        <v>0</v>
      </c>
      <c r="AO3">
        <v>9</v>
      </c>
      <c r="AP3">
        <v>0</v>
      </c>
      <c r="AQ3" s="5">
        <v>94</v>
      </c>
      <c r="AR3">
        <v>15</v>
      </c>
      <c r="AS3">
        <v>0</v>
      </c>
      <c r="AT3">
        <v>16</v>
      </c>
      <c r="AU3">
        <v>0</v>
      </c>
      <c r="AV3" s="5">
        <v>86</v>
      </c>
      <c r="AW3" t="s">
        <v>56</v>
      </c>
      <c r="AX3" s="6">
        <v>989</v>
      </c>
      <c r="AY3" t="s">
        <v>55</v>
      </c>
      <c r="AZ3" t="s">
        <v>56</v>
      </c>
    </row>
    <row r="4" spans="1:52" hidden="1" x14ac:dyDescent="0.45">
      <c r="A4">
        <v>502008.05798627599</v>
      </c>
      <c r="B4">
        <v>6937848.0123349503</v>
      </c>
      <c r="C4">
        <v>3</v>
      </c>
      <c r="D4" t="s">
        <v>52</v>
      </c>
      <c r="E4" t="s">
        <v>53</v>
      </c>
      <c r="F4" t="s">
        <v>61</v>
      </c>
      <c r="G4" t="s">
        <v>55</v>
      </c>
      <c r="H4" s="3">
        <v>1558</v>
      </c>
      <c r="I4">
        <v>2</v>
      </c>
      <c r="J4" t="s">
        <v>56</v>
      </c>
      <c r="K4">
        <v>49.6</v>
      </c>
      <c r="L4">
        <v>57.2</v>
      </c>
      <c r="M4">
        <v>1</v>
      </c>
      <c r="N4" t="s">
        <v>56</v>
      </c>
      <c r="O4" t="s">
        <v>55</v>
      </c>
      <c r="P4">
        <v>85</v>
      </c>
      <c r="Q4">
        <v>0.8</v>
      </c>
      <c r="R4">
        <v>13.5</v>
      </c>
      <c r="S4">
        <v>0.2</v>
      </c>
      <c r="T4">
        <v>0.1</v>
      </c>
      <c r="U4">
        <v>0</v>
      </c>
      <c r="V4">
        <v>0.2</v>
      </c>
      <c r="W4">
        <v>0</v>
      </c>
      <c r="X4">
        <v>0</v>
      </c>
      <c r="Y4">
        <v>0</v>
      </c>
      <c r="Z4">
        <v>0</v>
      </c>
      <c r="AA4">
        <v>0</v>
      </c>
      <c r="AB4">
        <v>0.2</v>
      </c>
      <c r="AC4" t="s">
        <v>55</v>
      </c>
      <c r="AD4">
        <v>50</v>
      </c>
      <c r="AE4" t="s">
        <v>55</v>
      </c>
      <c r="AF4" s="4" t="s">
        <v>57</v>
      </c>
      <c r="AG4" s="4">
        <v>897</v>
      </c>
      <c r="AH4" s="4" t="s">
        <v>58</v>
      </c>
      <c r="AI4" s="4">
        <v>661</v>
      </c>
      <c r="AJ4" t="s">
        <v>55</v>
      </c>
      <c r="AK4" t="s">
        <v>56</v>
      </c>
      <c r="AL4" t="s">
        <v>61</v>
      </c>
      <c r="AM4">
        <v>8</v>
      </c>
      <c r="AN4">
        <v>0</v>
      </c>
      <c r="AO4">
        <v>9</v>
      </c>
      <c r="AP4">
        <v>0</v>
      </c>
      <c r="AQ4" s="5">
        <v>173</v>
      </c>
      <c r="AR4">
        <v>15</v>
      </c>
      <c r="AS4">
        <v>0</v>
      </c>
      <c r="AT4">
        <v>16</v>
      </c>
      <c r="AU4">
        <v>0</v>
      </c>
      <c r="AV4" s="5">
        <v>157</v>
      </c>
      <c r="AW4" t="s">
        <v>56</v>
      </c>
      <c r="AX4" s="6">
        <v>1686</v>
      </c>
      <c r="AY4" t="s">
        <v>55</v>
      </c>
      <c r="AZ4" t="s">
        <v>56</v>
      </c>
    </row>
    <row r="5" spans="1:52" hidden="1" x14ac:dyDescent="0.45">
      <c r="A5">
        <v>519005.72429660801</v>
      </c>
      <c r="B5">
        <v>6933706.5541008003</v>
      </c>
      <c r="C5">
        <v>4</v>
      </c>
      <c r="D5" t="s">
        <v>62</v>
      </c>
      <c r="E5" t="s">
        <v>63</v>
      </c>
      <c r="F5" t="s">
        <v>64</v>
      </c>
      <c r="G5" t="s">
        <v>55</v>
      </c>
      <c r="H5" s="3">
        <v>993</v>
      </c>
      <c r="I5">
        <v>2</v>
      </c>
      <c r="J5" t="s">
        <v>56</v>
      </c>
      <c r="K5">
        <v>43.3</v>
      </c>
      <c r="L5">
        <v>50</v>
      </c>
      <c r="M5">
        <v>1</v>
      </c>
      <c r="N5" t="s">
        <v>56</v>
      </c>
      <c r="O5" t="s">
        <v>55</v>
      </c>
      <c r="P5">
        <v>86.6</v>
      </c>
      <c r="Q5">
        <v>1.2</v>
      </c>
      <c r="R5">
        <v>11.4</v>
      </c>
      <c r="S5">
        <v>0.5</v>
      </c>
      <c r="T5">
        <v>0</v>
      </c>
      <c r="U5">
        <v>0</v>
      </c>
      <c r="V5">
        <v>0.2</v>
      </c>
      <c r="W5">
        <v>0</v>
      </c>
      <c r="X5">
        <v>0</v>
      </c>
      <c r="Y5">
        <v>0</v>
      </c>
      <c r="Z5">
        <v>0</v>
      </c>
      <c r="AA5">
        <v>0</v>
      </c>
      <c r="AB5">
        <v>0.1</v>
      </c>
      <c r="AC5" t="s">
        <v>55</v>
      </c>
      <c r="AD5">
        <v>50</v>
      </c>
      <c r="AE5" t="s">
        <v>55</v>
      </c>
      <c r="AF5" s="4" t="s">
        <v>57</v>
      </c>
      <c r="AG5" s="4">
        <v>486</v>
      </c>
      <c r="AH5" s="4" t="s">
        <v>58</v>
      </c>
      <c r="AI5" s="4">
        <v>507</v>
      </c>
      <c r="AJ5" t="s">
        <v>55</v>
      </c>
      <c r="AK5" t="s">
        <v>56</v>
      </c>
      <c r="AL5" t="s">
        <v>65</v>
      </c>
      <c r="AM5">
        <v>8</v>
      </c>
      <c r="AN5">
        <v>0</v>
      </c>
      <c r="AO5">
        <v>9</v>
      </c>
      <c r="AP5">
        <v>0</v>
      </c>
      <c r="AQ5" s="5">
        <v>89</v>
      </c>
      <c r="AR5">
        <v>15</v>
      </c>
      <c r="AS5">
        <v>0</v>
      </c>
      <c r="AT5">
        <v>16</v>
      </c>
      <c r="AU5">
        <v>0</v>
      </c>
      <c r="AV5" s="5">
        <v>105</v>
      </c>
      <c r="AW5" t="s">
        <v>56</v>
      </c>
      <c r="AX5" s="6">
        <v>1025</v>
      </c>
      <c r="AY5" t="s">
        <v>55</v>
      </c>
      <c r="AZ5" t="s">
        <v>56</v>
      </c>
    </row>
    <row r="6" spans="1:52" hidden="1" x14ac:dyDescent="0.45">
      <c r="A6">
        <v>518401.37025161198</v>
      </c>
      <c r="B6">
        <v>6941141.52768848</v>
      </c>
      <c r="C6">
        <v>5</v>
      </c>
      <c r="D6" t="s">
        <v>66</v>
      </c>
      <c r="E6" t="s">
        <v>67</v>
      </c>
      <c r="F6" t="s">
        <v>68</v>
      </c>
      <c r="G6" t="s">
        <v>69</v>
      </c>
      <c r="H6" s="3">
        <v>633</v>
      </c>
      <c r="I6">
        <v>2</v>
      </c>
      <c r="J6" t="s">
        <v>56</v>
      </c>
      <c r="K6">
        <v>52</v>
      </c>
      <c r="L6">
        <v>60.8</v>
      </c>
      <c r="M6">
        <v>1</v>
      </c>
      <c r="N6" t="s">
        <v>56</v>
      </c>
      <c r="O6" t="s">
        <v>69</v>
      </c>
      <c r="P6">
        <v>85</v>
      </c>
      <c r="Q6">
        <v>0.5</v>
      </c>
      <c r="R6">
        <v>14.2</v>
      </c>
      <c r="S6">
        <v>0.1</v>
      </c>
      <c r="T6">
        <v>0</v>
      </c>
      <c r="U6">
        <v>0</v>
      </c>
      <c r="V6">
        <v>0.1</v>
      </c>
      <c r="W6">
        <v>0</v>
      </c>
      <c r="X6">
        <v>0</v>
      </c>
      <c r="Y6">
        <v>0</v>
      </c>
      <c r="Z6">
        <v>0</v>
      </c>
      <c r="AA6">
        <v>0</v>
      </c>
      <c r="AB6">
        <v>0.1</v>
      </c>
      <c r="AC6" t="s">
        <v>69</v>
      </c>
      <c r="AD6">
        <v>50</v>
      </c>
      <c r="AE6" t="s">
        <v>69</v>
      </c>
      <c r="AF6" s="4" t="s">
        <v>57</v>
      </c>
      <c r="AG6" s="4">
        <v>324</v>
      </c>
      <c r="AH6" s="4" t="s">
        <v>58</v>
      </c>
      <c r="AI6" s="4">
        <v>309</v>
      </c>
      <c r="AJ6" t="s">
        <v>69</v>
      </c>
      <c r="AK6" t="s">
        <v>56</v>
      </c>
      <c r="AL6" t="s">
        <v>68</v>
      </c>
      <c r="AM6">
        <v>8</v>
      </c>
      <c r="AN6">
        <v>0</v>
      </c>
      <c r="AO6">
        <v>9</v>
      </c>
      <c r="AP6">
        <v>0</v>
      </c>
      <c r="AQ6" s="5">
        <v>63</v>
      </c>
      <c r="AR6">
        <v>15</v>
      </c>
      <c r="AS6">
        <v>0</v>
      </c>
      <c r="AT6">
        <v>16</v>
      </c>
      <c r="AU6">
        <v>0</v>
      </c>
      <c r="AV6" s="5">
        <v>63</v>
      </c>
      <c r="AW6" t="s">
        <v>56</v>
      </c>
      <c r="AX6" s="6">
        <v>645</v>
      </c>
      <c r="AY6" t="s">
        <v>69</v>
      </c>
      <c r="AZ6" t="s">
        <v>56</v>
      </c>
    </row>
    <row r="7" spans="1:52" hidden="1" x14ac:dyDescent="0.45">
      <c r="A7">
        <v>502664.75867110601</v>
      </c>
      <c r="B7">
        <v>6939510.9859583899</v>
      </c>
      <c r="C7">
        <v>6</v>
      </c>
      <c r="D7" t="s">
        <v>70</v>
      </c>
      <c r="E7" t="s">
        <v>71</v>
      </c>
      <c r="F7" t="s">
        <v>72</v>
      </c>
      <c r="G7" t="s">
        <v>55</v>
      </c>
      <c r="H7" s="3">
        <v>667</v>
      </c>
      <c r="I7">
        <v>2</v>
      </c>
      <c r="J7" t="s">
        <v>56</v>
      </c>
      <c r="K7">
        <v>49.2</v>
      </c>
      <c r="L7">
        <v>56.9</v>
      </c>
      <c r="M7">
        <v>1</v>
      </c>
      <c r="N7" t="s">
        <v>56</v>
      </c>
      <c r="O7" t="s">
        <v>55</v>
      </c>
      <c r="P7">
        <v>87.2</v>
      </c>
      <c r="Q7">
        <v>0.4</v>
      </c>
      <c r="R7">
        <v>12.1</v>
      </c>
      <c r="S7">
        <v>0.1</v>
      </c>
      <c r="T7">
        <v>0.1</v>
      </c>
      <c r="U7">
        <v>0</v>
      </c>
      <c r="V7">
        <v>0.1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 t="s">
        <v>55</v>
      </c>
      <c r="AD7">
        <v>50</v>
      </c>
      <c r="AE7" t="s">
        <v>55</v>
      </c>
      <c r="AF7" s="4" t="s">
        <v>57</v>
      </c>
      <c r="AG7" s="4">
        <v>335</v>
      </c>
      <c r="AH7" s="4" t="s">
        <v>58</v>
      </c>
      <c r="AI7" s="4">
        <v>332</v>
      </c>
      <c r="AJ7" t="s">
        <v>55</v>
      </c>
      <c r="AK7" t="s">
        <v>56</v>
      </c>
      <c r="AL7" t="s">
        <v>72</v>
      </c>
      <c r="AM7">
        <v>8</v>
      </c>
      <c r="AN7">
        <v>0</v>
      </c>
      <c r="AO7">
        <v>9</v>
      </c>
      <c r="AP7">
        <v>0</v>
      </c>
      <c r="AQ7" s="5">
        <v>61</v>
      </c>
      <c r="AR7">
        <v>15</v>
      </c>
      <c r="AS7">
        <v>0</v>
      </c>
      <c r="AT7">
        <v>16</v>
      </c>
      <c r="AU7">
        <v>0</v>
      </c>
      <c r="AV7" s="5">
        <v>67</v>
      </c>
      <c r="AW7" t="s">
        <v>56</v>
      </c>
      <c r="AX7" s="6">
        <v>705</v>
      </c>
      <c r="AY7" t="s">
        <v>55</v>
      </c>
      <c r="AZ7" t="s">
        <v>56</v>
      </c>
    </row>
    <row r="8" spans="1:52" hidden="1" x14ac:dyDescent="0.45">
      <c r="A8">
        <v>512833.667217148</v>
      </c>
      <c r="B8">
        <v>6947860.0740768099</v>
      </c>
      <c r="C8">
        <v>7</v>
      </c>
      <c r="D8" t="s">
        <v>73</v>
      </c>
      <c r="E8" t="s">
        <v>74</v>
      </c>
      <c r="F8" t="s">
        <v>75</v>
      </c>
      <c r="G8" t="s">
        <v>69</v>
      </c>
      <c r="H8" s="3">
        <v>560</v>
      </c>
      <c r="I8">
        <v>2</v>
      </c>
      <c r="J8" t="s">
        <v>56</v>
      </c>
      <c r="K8">
        <v>51.6</v>
      </c>
      <c r="L8">
        <v>61.6</v>
      </c>
      <c r="M8">
        <v>1</v>
      </c>
      <c r="N8" t="s">
        <v>56</v>
      </c>
      <c r="O8" t="s">
        <v>69</v>
      </c>
      <c r="P8">
        <v>82.6</v>
      </c>
      <c r="Q8">
        <v>0.4</v>
      </c>
      <c r="R8">
        <v>16.7</v>
      </c>
      <c r="S8">
        <v>0.1</v>
      </c>
      <c r="T8">
        <v>0</v>
      </c>
      <c r="U8">
        <v>0</v>
      </c>
      <c r="V8">
        <v>0.1</v>
      </c>
      <c r="W8">
        <v>0</v>
      </c>
      <c r="X8">
        <v>0</v>
      </c>
      <c r="Y8">
        <v>0</v>
      </c>
      <c r="Z8">
        <v>0</v>
      </c>
      <c r="AA8">
        <v>0</v>
      </c>
      <c r="AB8">
        <v>0.1</v>
      </c>
      <c r="AC8" t="s">
        <v>69</v>
      </c>
      <c r="AD8">
        <v>50</v>
      </c>
      <c r="AE8" t="s">
        <v>69</v>
      </c>
      <c r="AF8" s="4" t="s">
        <v>57</v>
      </c>
      <c r="AG8" s="4">
        <v>251</v>
      </c>
      <c r="AH8" s="4" t="s">
        <v>58</v>
      </c>
      <c r="AI8" s="4">
        <v>309</v>
      </c>
      <c r="AJ8" t="s">
        <v>69</v>
      </c>
      <c r="AK8" t="s">
        <v>56</v>
      </c>
      <c r="AL8" t="s">
        <v>75</v>
      </c>
      <c r="AM8">
        <v>8</v>
      </c>
      <c r="AN8">
        <v>0</v>
      </c>
      <c r="AO8">
        <v>9</v>
      </c>
      <c r="AP8">
        <v>0</v>
      </c>
      <c r="AQ8" s="5">
        <v>67</v>
      </c>
      <c r="AR8">
        <v>15</v>
      </c>
      <c r="AS8">
        <v>0</v>
      </c>
      <c r="AT8">
        <v>16</v>
      </c>
      <c r="AU8">
        <v>0</v>
      </c>
      <c r="AV8" s="5">
        <v>65</v>
      </c>
      <c r="AW8" t="s">
        <v>56</v>
      </c>
      <c r="AX8" s="6">
        <v>631</v>
      </c>
      <c r="AY8" t="s">
        <v>69</v>
      </c>
      <c r="AZ8" t="s">
        <v>56</v>
      </c>
    </row>
    <row r="9" spans="1:52" hidden="1" x14ac:dyDescent="0.45">
      <c r="A9">
        <v>515693.30933313502</v>
      </c>
      <c r="B9">
        <v>6937299.7075848496</v>
      </c>
      <c r="C9">
        <v>8</v>
      </c>
      <c r="D9" t="s">
        <v>76</v>
      </c>
      <c r="E9" t="s">
        <v>77</v>
      </c>
      <c r="F9" t="s">
        <v>78</v>
      </c>
      <c r="G9" t="s">
        <v>79</v>
      </c>
      <c r="H9" s="3">
        <v>570</v>
      </c>
      <c r="I9">
        <v>2</v>
      </c>
      <c r="J9" t="s">
        <v>56</v>
      </c>
      <c r="K9">
        <v>51.2</v>
      </c>
      <c r="L9">
        <v>59.8</v>
      </c>
      <c r="M9">
        <v>1</v>
      </c>
      <c r="N9" t="s">
        <v>56</v>
      </c>
      <c r="O9" t="s">
        <v>79</v>
      </c>
      <c r="P9">
        <v>75</v>
      </c>
      <c r="Q9">
        <v>1</v>
      </c>
      <c r="R9">
        <v>21.4</v>
      </c>
      <c r="S9">
        <v>1.4</v>
      </c>
      <c r="T9">
        <v>0.7</v>
      </c>
      <c r="U9">
        <v>0</v>
      </c>
      <c r="V9">
        <v>0.2</v>
      </c>
      <c r="W9">
        <v>0.1</v>
      </c>
      <c r="X9">
        <v>0.1</v>
      </c>
      <c r="Y9">
        <v>0</v>
      </c>
      <c r="Z9">
        <v>0</v>
      </c>
      <c r="AA9">
        <v>0</v>
      </c>
      <c r="AB9">
        <v>0.1</v>
      </c>
      <c r="AC9" t="s">
        <v>79</v>
      </c>
      <c r="AD9">
        <v>50</v>
      </c>
      <c r="AE9" t="s">
        <v>79</v>
      </c>
      <c r="AF9" s="4" t="s">
        <v>80</v>
      </c>
      <c r="AG9" s="4">
        <v>286</v>
      </c>
      <c r="AH9" s="4" t="s">
        <v>81</v>
      </c>
      <c r="AI9" s="4">
        <v>285</v>
      </c>
      <c r="AJ9" t="s">
        <v>79</v>
      </c>
      <c r="AK9" t="s">
        <v>56</v>
      </c>
      <c r="AL9" t="s">
        <v>78</v>
      </c>
      <c r="AM9">
        <v>8</v>
      </c>
      <c r="AN9">
        <v>0</v>
      </c>
      <c r="AO9">
        <v>9</v>
      </c>
      <c r="AP9">
        <v>0</v>
      </c>
      <c r="AQ9" s="5">
        <v>37</v>
      </c>
      <c r="AR9">
        <v>15</v>
      </c>
      <c r="AS9">
        <v>0</v>
      </c>
      <c r="AT9">
        <v>16</v>
      </c>
      <c r="AU9">
        <v>0</v>
      </c>
      <c r="AV9" s="5">
        <v>47</v>
      </c>
      <c r="AW9" t="s">
        <v>56</v>
      </c>
      <c r="AX9" s="6">
        <v>621</v>
      </c>
      <c r="AY9" t="s">
        <v>79</v>
      </c>
      <c r="AZ9" t="s">
        <v>56</v>
      </c>
    </row>
    <row r="10" spans="1:52" hidden="1" x14ac:dyDescent="0.45">
      <c r="A10">
        <v>509624.19318243401</v>
      </c>
      <c r="B10">
        <v>6943618.3557086298</v>
      </c>
      <c r="C10">
        <v>9</v>
      </c>
      <c r="D10" t="s">
        <v>82</v>
      </c>
      <c r="E10" t="s">
        <v>83</v>
      </c>
      <c r="F10" t="s">
        <v>84</v>
      </c>
      <c r="G10" t="s">
        <v>79</v>
      </c>
      <c r="H10" s="3">
        <v>7912</v>
      </c>
      <c r="I10">
        <v>2</v>
      </c>
      <c r="J10" t="s">
        <v>56</v>
      </c>
      <c r="K10">
        <v>52.6</v>
      </c>
      <c r="L10">
        <v>59</v>
      </c>
      <c r="M10">
        <v>1</v>
      </c>
      <c r="N10" t="s">
        <v>56</v>
      </c>
      <c r="O10" t="s">
        <v>79</v>
      </c>
      <c r="P10">
        <v>88.5</v>
      </c>
      <c r="Q10">
        <v>0.5</v>
      </c>
      <c r="R10">
        <v>10.3</v>
      </c>
      <c r="S10">
        <v>0.3</v>
      </c>
      <c r="T10">
        <v>0.1</v>
      </c>
      <c r="U10">
        <v>0</v>
      </c>
      <c r="V10">
        <v>0.2</v>
      </c>
      <c r="W10">
        <v>0</v>
      </c>
      <c r="X10">
        <v>0</v>
      </c>
      <c r="Y10">
        <v>0</v>
      </c>
      <c r="Z10">
        <v>0</v>
      </c>
      <c r="AA10">
        <v>0</v>
      </c>
      <c r="AB10">
        <v>0.1</v>
      </c>
      <c r="AC10" t="s">
        <v>79</v>
      </c>
      <c r="AD10">
        <v>60</v>
      </c>
      <c r="AE10" t="s">
        <v>79</v>
      </c>
      <c r="AF10" s="4" t="s">
        <v>80</v>
      </c>
      <c r="AG10" s="4">
        <v>4229</v>
      </c>
      <c r="AH10" s="4" t="s">
        <v>81</v>
      </c>
      <c r="AI10" s="4">
        <v>3683</v>
      </c>
      <c r="AJ10" t="s">
        <v>79</v>
      </c>
      <c r="AK10" t="s">
        <v>56</v>
      </c>
      <c r="AL10" t="s">
        <v>84</v>
      </c>
      <c r="AM10">
        <v>8</v>
      </c>
      <c r="AN10">
        <v>0</v>
      </c>
      <c r="AO10">
        <v>9</v>
      </c>
      <c r="AP10">
        <v>0</v>
      </c>
      <c r="AQ10" s="5">
        <v>637</v>
      </c>
      <c r="AR10">
        <v>15</v>
      </c>
      <c r="AS10">
        <v>0</v>
      </c>
      <c r="AT10">
        <v>16</v>
      </c>
      <c r="AU10">
        <v>0</v>
      </c>
      <c r="AV10" s="5">
        <v>709</v>
      </c>
      <c r="AW10" t="s">
        <v>56</v>
      </c>
      <c r="AX10" s="6">
        <v>8803</v>
      </c>
      <c r="AY10" t="s">
        <v>79</v>
      </c>
      <c r="AZ10" t="s">
        <v>56</v>
      </c>
    </row>
    <row r="11" spans="1:52" hidden="1" x14ac:dyDescent="0.45">
      <c r="A11">
        <v>514925.52640661201</v>
      </c>
      <c r="B11">
        <v>6943693.9890970401</v>
      </c>
      <c r="C11">
        <v>10</v>
      </c>
      <c r="D11" t="s">
        <v>85</v>
      </c>
      <c r="E11" t="s">
        <v>86</v>
      </c>
      <c r="F11" t="s">
        <v>87</v>
      </c>
      <c r="G11" t="s">
        <v>88</v>
      </c>
      <c r="H11" s="3">
        <v>453</v>
      </c>
      <c r="I11">
        <v>2</v>
      </c>
      <c r="J11" t="s">
        <v>56</v>
      </c>
      <c r="K11">
        <v>39.5</v>
      </c>
      <c r="L11">
        <v>46.8</v>
      </c>
      <c r="M11">
        <v>1</v>
      </c>
      <c r="N11" t="s">
        <v>56</v>
      </c>
      <c r="O11" t="s">
        <v>88</v>
      </c>
      <c r="P11">
        <v>84</v>
      </c>
      <c r="Q11">
        <v>2.4</v>
      </c>
      <c r="R11">
        <v>5.7</v>
      </c>
      <c r="S11">
        <v>6.1</v>
      </c>
      <c r="T11">
        <v>0.3</v>
      </c>
      <c r="U11">
        <v>0</v>
      </c>
      <c r="V11">
        <v>0.3</v>
      </c>
      <c r="W11">
        <v>0</v>
      </c>
      <c r="X11">
        <v>0</v>
      </c>
      <c r="Y11">
        <v>0</v>
      </c>
      <c r="Z11">
        <v>0</v>
      </c>
      <c r="AA11">
        <v>0</v>
      </c>
      <c r="AB11">
        <v>1.2</v>
      </c>
      <c r="AC11" t="s">
        <v>88</v>
      </c>
      <c r="AD11">
        <v>50</v>
      </c>
      <c r="AE11" t="s">
        <v>88</v>
      </c>
      <c r="AF11" s="4" t="s">
        <v>57</v>
      </c>
      <c r="AG11" s="4">
        <v>228</v>
      </c>
      <c r="AH11" s="4" t="s">
        <v>58</v>
      </c>
      <c r="AI11" s="4">
        <v>225</v>
      </c>
      <c r="AJ11" t="s">
        <v>88</v>
      </c>
      <c r="AK11" t="s">
        <v>56</v>
      </c>
      <c r="AL11" t="s">
        <v>87</v>
      </c>
      <c r="AM11">
        <v>8</v>
      </c>
      <c r="AN11">
        <v>0</v>
      </c>
      <c r="AO11">
        <v>9</v>
      </c>
      <c r="AP11">
        <v>0</v>
      </c>
      <c r="AQ11" s="5">
        <v>45</v>
      </c>
      <c r="AR11">
        <v>15</v>
      </c>
      <c r="AS11">
        <v>0</v>
      </c>
      <c r="AT11">
        <v>16</v>
      </c>
      <c r="AU11">
        <v>0</v>
      </c>
      <c r="AV11" s="5">
        <v>45</v>
      </c>
      <c r="AW11" t="s">
        <v>56</v>
      </c>
      <c r="AX11" s="6">
        <v>473</v>
      </c>
      <c r="AY11" t="s">
        <v>88</v>
      </c>
      <c r="AZ11" t="s">
        <v>56</v>
      </c>
    </row>
    <row r="12" spans="1:52" hidden="1" x14ac:dyDescent="0.45">
      <c r="A12">
        <v>514925.52640661201</v>
      </c>
      <c r="B12">
        <v>6943693.9890970401</v>
      </c>
      <c r="C12">
        <v>11</v>
      </c>
      <c r="D12" t="s">
        <v>89</v>
      </c>
      <c r="E12" t="s">
        <v>86</v>
      </c>
      <c r="F12" t="s">
        <v>87</v>
      </c>
      <c r="G12" t="s">
        <v>88</v>
      </c>
      <c r="H12" s="3">
        <v>453</v>
      </c>
      <c r="I12">
        <v>2</v>
      </c>
      <c r="J12" t="s">
        <v>90</v>
      </c>
      <c r="K12">
        <v>39.5</v>
      </c>
      <c r="L12">
        <v>46.8</v>
      </c>
      <c r="M12">
        <v>1</v>
      </c>
      <c r="N12" t="s">
        <v>90</v>
      </c>
      <c r="O12" t="s">
        <v>88</v>
      </c>
      <c r="P12">
        <v>84</v>
      </c>
      <c r="Q12">
        <v>2.4</v>
      </c>
      <c r="R12">
        <v>5.7</v>
      </c>
      <c r="S12">
        <v>6.1</v>
      </c>
      <c r="T12">
        <v>0.3</v>
      </c>
      <c r="U12">
        <v>0</v>
      </c>
      <c r="V12">
        <v>0.3</v>
      </c>
      <c r="W12">
        <v>0</v>
      </c>
      <c r="X12">
        <v>0</v>
      </c>
      <c r="Y12">
        <v>0</v>
      </c>
      <c r="Z12">
        <v>0</v>
      </c>
      <c r="AA12">
        <v>0</v>
      </c>
      <c r="AB12">
        <v>1.2</v>
      </c>
      <c r="AC12" t="s">
        <v>88</v>
      </c>
      <c r="AD12">
        <v>50</v>
      </c>
      <c r="AE12" t="s">
        <v>88</v>
      </c>
      <c r="AF12" s="4" t="s">
        <v>57</v>
      </c>
      <c r="AG12" s="4">
        <v>228</v>
      </c>
      <c r="AH12" s="4" t="s">
        <v>58</v>
      </c>
      <c r="AI12" s="4">
        <v>225</v>
      </c>
      <c r="AJ12" t="s">
        <v>88</v>
      </c>
      <c r="AK12" t="s">
        <v>90</v>
      </c>
      <c r="AL12" t="s">
        <v>87</v>
      </c>
      <c r="AM12">
        <v>8</v>
      </c>
      <c r="AN12">
        <v>0</v>
      </c>
      <c r="AO12">
        <v>9</v>
      </c>
      <c r="AP12">
        <v>0</v>
      </c>
      <c r="AQ12" s="5">
        <v>45</v>
      </c>
      <c r="AR12">
        <v>15</v>
      </c>
      <c r="AS12">
        <v>0</v>
      </c>
      <c r="AT12">
        <v>16</v>
      </c>
      <c r="AU12">
        <v>0</v>
      </c>
      <c r="AV12" s="5">
        <v>45</v>
      </c>
      <c r="AW12" t="s">
        <v>56</v>
      </c>
      <c r="AX12" s="6">
        <v>473</v>
      </c>
      <c r="AY12" t="s">
        <v>88</v>
      </c>
      <c r="AZ12" t="s">
        <v>90</v>
      </c>
    </row>
    <row r="13" spans="1:52" hidden="1" x14ac:dyDescent="0.45">
      <c r="A13">
        <v>513395.85311068501</v>
      </c>
      <c r="B13">
        <v>6947635.7168901898</v>
      </c>
      <c r="C13">
        <v>12</v>
      </c>
      <c r="D13" t="s">
        <v>91</v>
      </c>
      <c r="E13" t="s">
        <v>92</v>
      </c>
      <c r="F13" t="s">
        <v>93</v>
      </c>
      <c r="G13" t="s">
        <v>88</v>
      </c>
      <c r="H13" s="3">
        <v>866</v>
      </c>
      <c r="I13">
        <v>2</v>
      </c>
      <c r="J13" t="s">
        <v>56</v>
      </c>
      <c r="K13">
        <v>46.2</v>
      </c>
      <c r="L13">
        <v>53.3</v>
      </c>
      <c r="M13">
        <v>1</v>
      </c>
      <c r="N13" t="s">
        <v>56</v>
      </c>
      <c r="O13" t="s">
        <v>88</v>
      </c>
      <c r="P13">
        <v>91.4</v>
      </c>
      <c r="Q13">
        <v>0.8</v>
      </c>
      <c r="R13">
        <v>7.3</v>
      </c>
      <c r="S13">
        <v>0.1</v>
      </c>
      <c r="T13">
        <v>0</v>
      </c>
      <c r="U13">
        <v>0</v>
      </c>
      <c r="V13">
        <v>0.2</v>
      </c>
      <c r="W13">
        <v>0</v>
      </c>
      <c r="X13">
        <v>0</v>
      </c>
      <c r="Y13">
        <v>0</v>
      </c>
      <c r="Z13">
        <v>0</v>
      </c>
      <c r="AA13">
        <v>0</v>
      </c>
      <c r="AB13">
        <v>0.2</v>
      </c>
      <c r="AC13" t="s">
        <v>88</v>
      </c>
      <c r="AD13">
        <v>50</v>
      </c>
      <c r="AE13" t="s">
        <v>88</v>
      </c>
      <c r="AF13" s="4" t="s">
        <v>80</v>
      </c>
      <c r="AG13" s="4">
        <v>425</v>
      </c>
      <c r="AH13" s="4" t="s">
        <v>81</v>
      </c>
      <c r="AI13" s="4">
        <v>441</v>
      </c>
      <c r="AJ13" t="s">
        <v>88</v>
      </c>
      <c r="AK13" t="s">
        <v>56</v>
      </c>
      <c r="AL13" t="s">
        <v>93</v>
      </c>
      <c r="AM13">
        <v>8</v>
      </c>
      <c r="AN13">
        <v>0</v>
      </c>
      <c r="AO13">
        <v>9</v>
      </c>
      <c r="AP13">
        <v>0</v>
      </c>
      <c r="AQ13" s="5">
        <v>56</v>
      </c>
      <c r="AR13">
        <v>16</v>
      </c>
      <c r="AS13">
        <v>0</v>
      </c>
      <c r="AT13">
        <v>17</v>
      </c>
      <c r="AU13">
        <v>0</v>
      </c>
      <c r="AV13" s="5">
        <v>82</v>
      </c>
      <c r="AW13" t="s">
        <v>56</v>
      </c>
      <c r="AX13" s="6">
        <v>911</v>
      </c>
      <c r="AY13" t="s">
        <v>88</v>
      </c>
      <c r="AZ13" t="s">
        <v>56</v>
      </c>
    </row>
    <row r="14" spans="1:52" hidden="1" x14ac:dyDescent="0.45">
      <c r="A14">
        <v>509321.64341080002</v>
      </c>
      <c r="B14">
        <v>6937983.6220772099</v>
      </c>
      <c r="C14">
        <v>13</v>
      </c>
      <c r="D14" t="s">
        <v>94</v>
      </c>
      <c r="E14" t="s">
        <v>95</v>
      </c>
      <c r="F14" t="s">
        <v>96</v>
      </c>
      <c r="G14" t="s">
        <v>88</v>
      </c>
      <c r="H14" s="3">
        <v>514</v>
      </c>
      <c r="I14">
        <v>2</v>
      </c>
      <c r="J14" t="s">
        <v>56</v>
      </c>
      <c r="K14">
        <v>48.4</v>
      </c>
      <c r="L14">
        <v>58.3</v>
      </c>
      <c r="M14">
        <v>1</v>
      </c>
      <c r="N14" t="s">
        <v>56</v>
      </c>
      <c r="O14" t="s">
        <v>88</v>
      </c>
      <c r="P14">
        <v>90.2</v>
      </c>
      <c r="Q14">
        <v>1.9</v>
      </c>
      <c r="R14">
        <v>7.3</v>
      </c>
      <c r="S14">
        <v>0.1</v>
      </c>
      <c r="T14">
        <v>0.1</v>
      </c>
      <c r="U14">
        <v>0</v>
      </c>
      <c r="V14">
        <v>0.2</v>
      </c>
      <c r="W14">
        <v>0</v>
      </c>
      <c r="X14">
        <v>0</v>
      </c>
      <c r="Y14">
        <v>0</v>
      </c>
      <c r="Z14">
        <v>0</v>
      </c>
      <c r="AA14">
        <v>0</v>
      </c>
      <c r="AB14">
        <v>0.2</v>
      </c>
      <c r="AC14" t="s">
        <v>88</v>
      </c>
      <c r="AD14">
        <v>50</v>
      </c>
      <c r="AE14" t="s">
        <v>88</v>
      </c>
      <c r="AF14" s="4" t="s">
        <v>57</v>
      </c>
      <c r="AG14" s="4">
        <v>261</v>
      </c>
      <c r="AH14" s="4" t="s">
        <v>58</v>
      </c>
      <c r="AI14" s="4">
        <v>253</v>
      </c>
      <c r="AJ14" t="s">
        <v>88</v>
      </c>
      <c r="AK14" t="s">
        <v>56</v>
      </c>
      <c r="AL14" t="s">
        <v>96</v>
      </c>
      <c r="AM14">
        <v>8</v>
      </c>
      <c r="AN14">
        <v>0</v>
      </c>
      <c r="AO14">
        <v>9</v>
      </c>
      <c r="AP14">
        <v>0</v>
      </c>
      <c r="AQ14" s="5">
        <v>33</v>
      </c>
      <c r="AR14">
        <v>17</v>
      </c>
      <c r="AS14">
        <v>0</v>
      </c>
      <c r="AT14">
        <v>18</v>
      </c>
      <c r="AU14">
        <v>0</v>
      </c>
      <c r="AV14" s="5">
        <v>47</v>
      </c>
      <c r="AW14" t="s">
        <v>56</v>
      </c>
      <c r="AX14" s="6">
        <v>543</v>
      </c>
      <c r="AY14" t="s">
        <v>88</v>
      </c>
      <c r="AZ14" t="s">
        <v>56</v>
      </c>
    </row>
    <row r="15" spans="1:52" hidden="1" x14ac:dyDescent="0.45">
      <c r="A15">
        <v>514550.06058720499</v>
      </c>
      <c r="B15">
        <v>6942470.5492009399</v>
      </c>
      <c r="C15">
        <v>14</v>
      </c>
      <c r="D15" t="s">
        <v>97</v>
      </c>
      <c r="E15" t="s">
        <v>86</v>
      </c>
      <c r="F15" t="s">
        <v>98</v>
      </c>
      <c r="G15" t="s">
        <v>88</v>
      </c>
      <c r="H15" s="3">
        <v>173</v>
      </c>
      <c r="I15">
        <v>2</v>
      </c>
      <c r="J15" t="s">
        <v>56</v>
      </c>
      <c r="K15">
        <v>39.799999999999997</v>
      </c>
      <c r="L15">
        <v>49.3</v>
      </c>
      <c r="M15">
        <v>1</v>
      </c>
      <c r="N15" t="s">
        <v>56</v>
      </c>
      <c r="O15" t="s">
        <v>88</v>
      </c>
      <c r="P15">
        <v>86.6</v>
      </c>
      <c r="Q15">
        <v>0.3</v>
      </c>
      <c r="R15">
        <v>12.7</v>
      </c>
      <c r="S15">
        <v>0.2</v>
      </c>
      <c r="T15">
        <v>0</v>
      </c>
      <c r="U15">
        <v>0</v>
      </c>
      <c r="V15">
        <v>0.1</v>
      </c>
      <c r="W15">
        <v>0</v>
      </c>
      <c r="X15">
        <v>0</v>
      </c>
      <c r="Y15">
        <v>0</v>
      </c>
      <c r="Z15">
        <v>0</v>
      </c>
      <c r="AA15">
        <v>0</v>
      </c>
      <c r="AB15">
        <v>0.1</v>
      </c>
      <c r="AC15" t="s">
        <v>88</v>
      </c>
      <c r="AD15">
        <v>50</v>
      </c>
      <c r="AE15" t="s">
        <v>88</v>
      </c>
      <c r="AF15" s="4" t="s">
        <v>80</v>
      </c>
      <c r="AG15" s="4">
        <v>108</v>
      </c>
      <c r="AH15" s="4" t="s">
        <v>81</v>
      </c>
      <c r="AI15" s="4">
        <v>65</v>
      </c>
      <c r="AJ15" t="s">
        <v>88</v>
      </c>
      <c r="AK15" t="s">
        <v>56</v>
      </c>
      <c r="AL15" t="s">
        <v>98</v>
      </c>
      <c r="AM15">
        <v>8</v>
      </c>
      <c r="AN15">
        <v>0</v>
      </c>
      <c r="AO15">
        <v>9</v>
      </c>
      <c r="AP15">
        <v>0</v>
      </c>
      <c r="AQ15" s="5">
        <v>20</v>
      </c>
      <c r="AR15">
        <v>15</v>
      </c>
      <c r="AS15">
        <v>0</v>
      </c>
      <c r="AT15">
        <v>16</v>
      </c>
      <c r="AU15">
        <v>0</v>
      </c>
      <c r="AV15" s="5">
        <v>16</v>
      </c>
      <c r="AW15" t="s">
        <v>56</v>
      </c>
      <c r="AX15" s="6">
        <v>190</v>
      </c>
      <c r="AY15" t="s">
        <v>88</v>
      </c>
      <c r="AZ15" t="s">
        <v>56</v>
      </c>
    </row>
    <row r="16" spans="1:52" hidden="1" x14ac:dyDescent="0.45">
      <c r="A16">
        <v>514339.67667134001</v>
      </c>
      <c r="B16">
        <v>6940567.7723095296</v>
      </c>
      <c r="C16">
        <v>15</v>
      </c>
      <c r="D16" t="s">
        <v>99</v>
      </c>
      <c r="E16" t="s">
        <v>100</v>
      </c>
      <c r="F16" t="s">
        <v>101</v>
      </c>
      <c r="G16" t="s">
        <v>102</v>
      </c>
      <c r="H16" s="3">
        <v>1263</v>
      </c>
      <c r="I16">
        <v>2</v>
      </c>
      <c r="J16" t="s">
        <v>56</v>
      </c>
      <c r="K16">
        <v>46.5</v>
      </c>
      <c r="L16">
        <v>54</v>
      </c>
      <c r="M16">
        <v>1</v>
      </c>
      <c r="N16" t="s">
        <v>56</v>
      </c>
      <c r="O16" t="s">
        <v>102</v>
      </c>
      <c r="P16">
        <v>89</v>
      </c>
      <c r="Q16">
        <v>0.7</v>
      </c>
      <c r="R16">
        <v>9.9</v>
      </c>
      <c r="S16">
        <v>0.2</v>
      </c>
      <c r="T16">
        <v>0</v>
      </c>
      <c r="U16">
        <v>0</v>
      </c>
      <c r="V16">
        <v>0.2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 t="s">
        <v>102</v>
      </c>
      <c r="AD16">
        <v>50</v>
      </c>
      <c r="AE16" t="s">
        <v>102</v>
      </c>
      <c r="AF16" s="4" t="s">
        <v>80</v>
      </c>
      <c r="AG16" s="4">
        <v>631</v>
      </c>
      <c r="AH16" s="4" t="s">
        <v>81</v>
      </c>
      <c r="AI16" s="4">
        <v>632</v>
      </c>
      <c r="AJ16" t="s">
        <v>102</v>
      </c>
      <c r="AK16" t="s">
        <v>56</v>
      </c>
      <c r="AL16" t="s">
        <v>101</v>
      </c>
      <c r="AM16">
        <v>8</v>
      </c>
      <c r="AN16">
        <v>0</v>
      </c>
      <c r="AO16">
        <v>9</v>
      </c>
      <c r="AP16">
        <v>0</v>
      </c>
      <c r="AQ16" s="5">
        <v>104</v>
      </c>
      <c r="AR16">
        <v>16</v>
      </c>
      <c r="AS16">
        <v>0</v>
      </c>
      <c r="AT16">
        <v>17</v>
      </c>
      <c r="AU16">
        <v>0</v>
      </c>
      <c r="AV16" s="5">
        <v>128</v>
      </c>
      <c r="AW16" t="s">
        <v>56</v>
      </c>
      <c r="AX16" s="6">
        <v>1338</v>
      </c>
      <c r="AY16" t="s">
        <v>103</v>
      </c>
      <c r="AZ16" t="s">
        <v>56</v>
      </c>
    </row>
    <row r="17" spans="1:52" hidden="1" x14ac:dyDescent="0.45">
      <c r="A17">
        <v>498095.936888367</v>
      </c>
      <c r="B17">
        <v>6941865.6481903996</v>
      </c>
      <c r="C17">
        <v>16</v>
      </c>
      <c r="D17" t="s">
        <v>104</v>
      </c>
      <c r="E17" t="s">
        <v>105</v>
      </c>
      <c r="F17" t="s">
        <v>106</v>
      </c>
      <c r="G17" t="s">
        <v>107</v>
      </c>
      <c r="H17" s="3">
        <v>12553</v>
      </c>
      <c r="I17">
        <v>2</v>
      </c>
      <c r="J17" t="s">
        <v>56</v>
      </c>
      <c r="K17">
        <v>75.8</v>
      </c>
      <c r="L17">
        <v>82.1</v>
      </c>
      <c r="M17">
        <v>1</v>
      </c>
      <c r="N17" t="s">
        <v>56</v>
      </c>
      <c r="O17" t="s">
        <v>107</v>
      </c>
      <c r="P17">
        <v>80.7</v>
      </c>
      <c r="Q17">
        <v>0.8</v>
      </c>
      <c r="R17">
        <v>15.7</v>
      </c>
      <c r="S17">
        <v>0.7</v>
      </c>
      <c r="T17">
        <v>0.2</v>
      </c>
      <c r="U17">
        <v>0.1</v>
      </c>
      <c r="V17">
        <v>0.4</v>
      </c>
      <c r="W17">
        <v>0.1</v>
      </c>
      <c r="X17">
        <v>1</v>
      </c>
      <c r="Y17">
        <v>0.2</v>
      </c>
      <c r="Z17">
        <v>0.1</v>
      </c>
      <c r="AA17">
        <v>0</v>
      </c>
      <c r="AB17">
        <v>0</v>
      </c>
      <c r="AC17" t="s">
        <v>107</v>
      </c>
      <c r="AD17">
        <v>80</v>
      </c>
      <c r="AE17" t="s">
        <v>107</v>
      </c>
      <c r="AF17" s="4" t="s">
        <v>57</v>
      </c>
      <c r="AG17" s="4">
        <v>6332</v>
      </c>
      <c r="AH17" s="4" t="s">
        <v>58</v>
      </c>
      <c r="AI17" s="4">
        <v>6221</v>
      </c>
      <c r="AJ17" t="s">
        <v>107</v>
      </c>
      <c r="AK17" t="s">
        <v>56</v>
      </c>
      <c r="AL17" t="s">
        <v>106</v>
      </c>
      <c r="AM17">
        <v>7</v>
      </c>
      <c r="AN17">
        <v>0</v>
      </c>
      <c r="AO17">
        <v>8</v>
      </c>
      <c r="AP17">
        <v>0</v>
      </c>
      <c r="AQ17" s="5">
        <v>861</v>
      </c>
      <c r="AR17">
        <v>16</v>
      </c>
      <c r="AS17">
        <v>0</v>
      </c>
      <c r="AT17">
        <v>17</v>
      </c>
      <c r="AU17">
        <v>0</v>
      </c>
      <c r="AV17" s="5">
        <v>1029</v>
      </c>
      <c r="AW17" t="s">
        <v>56</v>
      </c>
      <c r="AX17" s="6">
        <v>14028</v>
      </c>
      <c r="AY17" t="s">
        <v>107</v>
      </c>
      <c r="AZ17" t="s">
        <v>56</v>
      </c>
    </row>
    <row r="18" spans="1:52" hidden="1" x14ac:dyDescent="0.45">
      <c r="A18">
        <v>512319.09370944399</v>
      </c>
      <c r="B18">
        <v>6947560.7528272904</v>
      </c>
      <c r="C18">
        <v>17</v>
      </c>
      <c r="D18" t="s">
        <v>108</v>
      </c>
      <c r="E18" t="s">
        <v>109</v>
      </c>
      <c r="F18" t="s">
        <v>110</v>
      </c>
      <c r="G18" t="s">
        <v>107</v>
      </c>
      <c r="H18" s="3">
        <v>9477</v>
      </c>
      <c r="I18">
        <v>2</v>
      </c>
      <c r="J18" t="s">
        <v>56</v>
      </c>
      <c r="K18">
        <v>47.9</v>
      </c>
      <c r="L18">
        <v>53.6</v>
      </c>
      <c r="M18">
        <v>1</v>
      </c>
      <c r="N18" t="s">
        <v>56</v>
      </c>
      <c r="O18" t="s">
        <v>107</v>
      </c>
      <c r="P18">
        <v>87.2</v>
      </c>
      <c r="Q18">
        <v>0.7</v>
      </c>
      <c r="R18">
        <v>11.4</v>
      </c>
      <c r="S18">
        <v>0.2</v>
      </c>
      <c r="T18">
        <v>0.1</v>
      </c>
      <c r="U18">
        <v>0</v>
      </c>
      <c r="V18">
        <v>0.2</v>
      </c>
      <c r="W18">
        <v>0</v>
      </c>
      <c r="X18">
        <v>0</v>
      </c>
      <c r="Y18">
        <v>0</v>
      </c>
      <c r="Z18">
        <v>0</v>
      </c>
      <c r="AA18">
        <v>0</v>
      </c>
      <c r="AB18">
        <v>0.2</v>
      </c>
      <c r="AC18" t="s">
        <v>107</v>
      </c>
      <c r="AD18">
        <v>60</v>
      </c>
      <c r="AE18" t="s">
        <v>107</v>
      </c>
      <c r="AF18" s="4" t="s">
        <v>57</v>
      </c>
      <c r="AG18" s="4">
        <v>4325</v>
      </c>
      <c r="AH18" s="4" t="s">
        <v>58</v>
      </c>
      <c r="AI18" s="4">
        <v>5152</v>
      </c>
      <c r="AJ18" t="s">
        <v>107</v>
      </c>
      <c r="AK18" t="s">
        <v>56</v>
      </c>
      <c r="AL18" t="s">
        <v>110</v>
      </c>
      <c r="AM18">
        <v>8</v>
      </c>
      <c r="AN18">
        <v>0</v>
      </c>
      <c r="AO18">
        <v>9</v>
      </c>
      <c r="AP18">
        <v>0</v>
      </c>
      <c r="AQ18" s="5">
        <v>759</v>
      </c>
      <c r="AR18">
        <v>16</v>
      </c>
      <c r="AS18">
        <v>0</v>
      </c>
      <c r="AT18">
        <v>17</v>
      </c>
      <c r="AU18">
        <v>0</v>
      </c>
      <c r="AV18" s="5">
        <v>814</v>
      </c>
      <c r="AW18" t="s">
        <v>56</v>
      </c>
      <c r="AX18" s="6">
        <v>9660</v>
      </c>
      <c r="AY18" t="s">
        <v>107</v>
      </c>
      <c r="AZ18" t="s">
        <v>56</v>
      </c>
    </row>
    <row r="19" spans="1:52" hidden="1" x14ac:dyDescent="0.45">
      <c r="A19">
        <v>514204.15734593198</v>
      </c>
      <c r="B19">
        <v>6941750.8430986898</v>
      </c>
      <c r="C19">
        <v>18</v>
      </c>
      <c r="D19" t="s">
        <v>111</v>
      </c>
      <c r="E19" t="s">
        <v>112</v>
      </c>
      <c r="F19" t="s">
        <v>113</v>
      </c>
      <c r="G19" t="s">
        <v>114</v>
      </c>
      <c r="H19" s="3">
        <v>18590</v>
      </c>
      <c r="I19">
        <v>2</v>
      </c>
      <c r="J19" t="s">
        <v>56</v>
      </c>
      <c r="K19">
        <v>71.5</v>
      </c>
      <c r="L19">
        <v>78.8</v>
      </c>
      <c r="M19">
        <v>1</v>
      </c>
      <c r="N19" t="s">
        <v>56</v>
      </c>
      <c r="O19" t="s">
        <v>114</v>
      </c>
      <c r="P19">
        <v>92.5</v>
      </c>
      <c r="Q19">
        <v>1.2</v>
      </c>
      <c r="R19">
        <v>5</v>
      </c>
      <c r="S19">
        <v>0.6</v>
      </c>
      <c r="T19">
        <v>0.1</v>
      </c>
      <c r="U19">
        <v>0.1</v>
      </c>
      <c r="V19">
        <v>0.1</v>
      </c>
      <c r="W19">
        <v>0</v>
      </c>
      <c r="X19">
        <v>0.3</v>
      </c>
      <c r="Y19">
        <v>0.1</v>
      </c>
      <c r="Z19">
        <v>0</v>
      </c>
      <c r="AA19">
        <v>0</v>
      </c>
      <c r="AB19">
        <v>0</v>
      </c>
      <c r="AC19" t="s">
        <v>114</v>
      </c>
      <c r="AD19">
        <v>80</v>
      </c>
      <c r="AE19" t="s">
        <v>114</v>
      </c>
      <c r="AF19" s="4" t="s">
        <v>80</v>
      </c>
      <c r="AG19" s="4">
        <v>18590</v>
      </c>
      <c r="AH19" s="4" t="s">
        <v>81</v>
      </c>
      <c r="AI19" s="4">
        <v>0</v>
      </c>
      <c r="AJ19" t="s">
        <v>114</v>
      </c>
      <c r="AK19" t="s">
        <v>56</v>
      </c>
      <c r="AL19" t="s">
        <v>115</v>
      </c>
      <c r="AM19">
        <v>8</v>
      </c>
      <c r="AN19">
        <v>0</v>
      </c>
      <c r="AO19">
        <v>9</v>
      </c>
      <c r="AP19">
        <v>0</v>
      </c>
      <c r="AQ19" s="5">
        <v>2881</v>
      </c>
      <c r="AR19">
        <v>15</v>
      </c>
      <c r="AS19">
        <v>0</v>
      </c>
      <c r="AT19">
        <v>16</v>
      </c>
      <c r="AU19">
        <v>0</v>
      </c>
      <c r="AV19" s="5">
        <v>3159</v>
      </c>
      <c r="AW19" t="s">
        <v>56</v>
      </c>
      <c r="AX19" s="6">
        <v>31302</v>
      </c>
      <c r="AY19" t="s">
        <v>114</v>
      </c>
      <c r="AZ19" t="s">
        <v>56</v>
      </c>
    </row>
    <row r="20" spans="1:52" hidden="1" x14ac:dyDescent="0.45">
      <c r="A20">
        <v>514204.15734593198</v>
      </c>
      <c r="B20">
        <v>6941750.8430986898</v>
      </c>
      <c r="C20">
        <v>19</v>
      </c>
      <c r="D20" t="s">
        <v>111</v>
      </c>
      <c r="E20" t="s">
        <v>112</v>
      </c>
      <c r="F20" t="s">
        <v>113</v>
      </c>
      <c r="G20" t="s">
        <v>114</v>
      </c>
      <c r="H20" s="3">
        <v>18415</v>
      </c>
      <c r="I20">
        <v>2</v>
      </c>
      <c r="J20" t="s">
        <v>56</v>
      </c>
      <c r="K20">
        <v>71.5</v>
      </c>
      <c r="L20">
        <v>78.8</v>
      </c>
      <c r="M20">
        <v>1</v>
      </c>
      <c r="N20" t="s">
        <v>56</v>
      </c>
      <c r="O20" t="s">
        <v>114</v>
      </c>
      <c r="P20">
        <v>92.5</v>
      </c>
      <c r="Q20">
        <v>1.2</v>
      </c>
      <c r="R20">
        <v>5</v>
      </c>
      <c r="S20">
        <v>0.6</v>
      </c>
      <c r="T20">
        <v>0.1</v>
      </c>
      <c r="U20">
        <v>0.1</v>
      </c>
      <c r="V20">
        <v>0.1</v>
      </c>
      <c r="W20">
        <v>0</v>
      </c>
      <c r="X20">
        <v>0.3</v>
      </c>
      <c r="Y20">
        <v>0.1</v>
      </c>
      <c r="Z20">
        <v>0</v>
      </c>
      <c r="AA20">
        <v>0</v>
      </c>
      <c r="AB20">
        <v>0</v>
      </c>
      <c r="AC20" t="s">
        <v>114</v>
      </c>
      <c r="AD20">
        <v>80</v>
      </c>
      <c r="AE20" t="s">
        <v>114</v>
      </c>
      <c r="AF20" s="4" t="s">
        <v>80</v>
      </c>
      <c r="AG20" s="4">
        <v>0</v>
      </c>
      <c r="AH20" s="4" t="s">
        <v>81</v>
      </c>
      <c r="AI20" s="4">
        <v>18415</v>
      </c>
      <c r="AJ20" t="s">
        <v>114</v>
      </c>
      <c r="AK20" t="s">
        <v>56</v>
      </c>
      <c r="AL20" t="s">
        <v>115</v>
      </c>
      <c r="AM20">
        <v>8</v>
      </c>
      <c r="AN20">
        <v>0</v>
      </c>
      <c r="AO20">
        <v>9</v>
      </c>
      <c r="AP20">
        <v>0</v>
      </c>
      <c r="AQ20" s="5">
        <v>2881</v>
      </c>
      <c r="AR20">
        <v>15</v>
      </c>
      <c r="AS20">
        <v>0</v>
      </c>
      <c r="AT20">
        <v>16</v>
      </c>
      <c r="AU20">
        <v>0</v>
      </c>
      <c r="AV20" s="5">
        <v>3159</v>
      </c>
      <c r="AW20" t="s">
        <v>56</v>
      </c>
      <c r="AX20" s="6">
        <v>31302</v>
      </c>
      <c r="AY20" t="s">
        <v>114</v>
      </c>
      <c r="AZ20" t="s">
        <v>56</v>
      </c>
    </row>
    <row r="21" spans="1:52" hidden="1" x14ac:dyDescent="0.45">
      <c r="A21">
        <v>513938.28733305499</v>
      </c>
      <c r="B21">
        <v>6940514.2935151299</v>
      </c>
      <c r="C21">
        <v>20</v>
      </c>
      <c r="D21" t="s">
        <v>111</v>
      </c>
      <c r="E21" t="s">
        <v>112</v>
      </c>
      <c r="F21" t="s">
        <v>116</v>
      </c>
      <c r="G21" t="s">
        <v>114</v>
      </c>
      <c r="H21" s="3">
        <v>18550</v>
      </c>
      <c r="I21">
        <v>2</v>
      </c>
      <c r="J21" t="s">
        <v>90</v>
      </c>
      <c r="K21">
        <v>64</v>
      </c>
      <c r="L21">
        <v>73.400000000000006</v>
      </c>
      <c r="M21">
        <v>1</v>
      </c>
      <c r="N21" t="s">
        <v>90</v>
      </c>
      <c r="O21" t="s">
        <v>114</v>
      </c>
      <c r="P21">
        <v>93.5</v>
      </c>
      <c r="Q21">
        <v>1.2</v>
      </c>
      <c r="R21">
        <v>4</v>
      </c>
      <c r="S21">
        <v>0.5</v>
      </c>
      <c r="T21">
        <v>0.2</v>
      </c>
      <c r="U21">
        <v>0.1</v>
      </c>
      <c r="V21">
        <v>0.1</v>
      </c>
      <c r="W21">
        <v>0</v>
      </c>
      <c r="X21">
        <v>0.3</v>
      </c>
      <c r="Y21">
        <v>0.1</v>
      </c>
      <c r="Z21">
        <v>0</v>
      </c>
      <c r="AA21">
        <v>0</v>
      </c>
      <c r="AB21">
        <v>0</v>
      </c>
      <c r="AC21" t="s">
        <v>114</v>
      </c>
      <c r="AD21">
        <v>80</v>
      </c>
      <c r="AE21" t="s">
        <v>114</v>
      </c>
      <c r="AF21" s="4" t="s">
        <v>80</v>
      </c>
      <c r="AG21" s="4">
        <v>18550</v>
      </c>
      <c r="AH21" s="4" t="s">
        <v>81</v>
      </c>
      <c r="AI21" s="4">
        <v>0</v>
      </c>
      <c r="AJ21" t="s">
        <v>114</v>
      </c>
      <c r="AK21" t="s">
        <v>90</v>
      </c>
      <c r="AL21" t="s">
        <v>117</v>
      </c>
      <c r="AM21">
        <v>7</v>
      </c>
      <c r="AN21">
        <v>0</v>
      </c>
      <c r="AO21">
        <v>8</v>
      </c>
      <c r="AP21">
        <v>0</v>
      </c>
      <c r="AQ21" s="5">
        <v>2926</v>
      </c>
      <c r="AR21">
        <v>15</v>
      </c>
      <c r="AS21">
        <v>0</v>
      </c>
      <c r="AT21">
        <v>16</v>
      </c>
      <c r="AU21">
        <v>0</v>
      </c>
      <c r="AV21" s="5">
        <v>2842</v>
      </c>
      <c r="AW21" t="s">
        <v>90</v>
      </c>
      <c r="AX21" s="6">
        <v>30313</v>
      </c>
      <c r="AY21" t="s">
        <v>114</v>
      </c>
      <c r="AZ21" t="s">
        <v>90</v>
      </c>
    </row>
    <row r="22" spans="1:52" hidden="1" x14ac:dyDescent="0.45">
      <c r="A22">
        <v>513938.28733305499</v>
      </c>
      <c r="B22">
        <v>6940514.2935151299</v>
      </c>
      <c r="C22">
        <v>21</v>
      </c>
      <c r="D22" t="s">
        <v>111</v>
      </c>
      <c r="E22" t="s">
        <v>112</v>
      </c>
      <c r="F22" t="s">
        <v>116</v>
      </c>
      <c r="G22" t="s">
        <v>114</v>
      </c>
      <c r="H22" s="3">
        <v>17467</v>
      </c>
      <c r="I22">
        <v>2</v>
      </c>
      <c r="J22" t="s">
        <v>56</v>
      </c>
      <c r="K22">
        <v>64</v>
      </c>
      <c r="L22">
        <v>73.400000000000006</v>
      </c>
      <c r="M22">
        <v>1</v>
      </c>
      <c r="N22" t="s">
        <v>56</v>
      </c>
      <c r="O22" t="s">
        <v>114</v>
      </c>
      <c r="P22">
        <v>93.5</v>
      </c>
      <c r="Q22">
        <v>1.2</v>
      </c>
      <c r="R22">
        <v>4</v>
      </c>
      <c r="S22">
        <v>0.5</v>
      </c>
      <c r="T22">
        <v>0.2</v>
      </c>
      <c r="U22">
        <v>0.1</v>
      </c>
      <c r="V22">
        <v>0.1</v>
      </c>
      <c r="W22">
        <v>0</v>
      </c>
      <c r="X22">
        <v>0.3</v>
      </c>
      <c r="Y22">
        <v>0.1</v>
      </c>
      <c r="Z22">
        <v>0</v>
      </c>
      <c r="AA22">
        <v>0</v>
      </c>
      <c r="AB22">
        <v>0</v>
      </c>
      <c r="AC22" t="s">
        <v>114</v>
      </c>
      <c r="AD22">
        <v>80</v>
      </c>
      <c r="AE22" t="s">
        <v>114</v>
      </c>
      <c r="AF22" s="4" t="s">
        <v>80</v>
      </c>
      <c r="AG22" s="4">
        <v>0</v>
      </c>
      <c r="AH22" s="4" t="s">
        <v>81</v>
      </c>
      <c r="AI22" s="4">
        <v>17467</v>
      </c>
      <c r="AJ22" t="s">
        <v>114</v>
      </c>
      <c r="AK22" t="s">
        <v>56</v>
      </c>
      <c r="AL22" t="s">
        <v>117</v>
      </c>
      <c r="AM22">
        <v>7</v>
      </c>
      <c r="AN22">
        <v>0</v>
      </c>
      <c r="AO22">
        <v>8</v>
      </c>
      <c r="AP22">
        <v>0</v>
      </c>
      <c r="AQ22" s="5">
        <v>2926</v>
      </c>
      <c r="AR22">
        <v>15</v>
      </c>
      <c r="AS22">
        <v>0</v>
      </c>
      <c r="AT22">
        <v>16</v>
      </c>
      <c r="AU22">
        <v>0</v>
      </c>
      <c r="AV22" s="5">
        <v>2842</v>
      </c>
      <c r="AW22" t="s">
        <v>56</v>
      </c>
      <c r="AX22" s="6">
        <v>30313</v>
      </c>
      <c r="AY22" t="s">
        <v>114</v>
      </c>
      <c r="AZ22" t="s">
        <v>56</v>
      </c>
    </row>
    <row r="23" spans="1:52" hidden="1" x14ac:dyDescent="0.45">
      <c r="C23">
        <v>22</v>
      </c>
      <c r="D23" t="s">
        <v>111</v>
      </c>
      <c r="E23" t="s">
        <v>112</v>
      </c>
      <c r="F23" t="s">
        <v>118</v>
      </c>
      <c r="G23" t="s">
        <v>114</v>
      </c>
      <c r="H23" s="3">
        <v>17128</v>
      </c>
      <c r="I23">
        <v>3</v>
      </c>
      <c r="J23" t="s">
        <v>56</v>
      </c>
      <c r="K23">
        <v>46.7</v>
      </c>
      <c r="L23">
        <v>58.3</v>
      </c>
      <c r="M23">
        <v>1</v>
      </c>
      <c r="N23" t="s">
        <v>56</v>
      </c>
      <c r="O23" t="s">
        <v>114</v>
      </c>
      <c r="P23">
        <v>89.6</v>
      </c>
      <c r="Q23">
        <v>1.7</v>
      </c>
      <c r="R23">
        <v>4.7</v>
      </c>
      <c r="S23">
        <v>0.9</v>
      </c>
      <c r="T23">
        <v>0.4</v>
      </c>
      <c r="U23">
        <v>0.1</v>
      </c>
      <c r="V23">
        <v>1</v>
      </c>
      <c r="W23">
        <v>0.1</v>
      </c>
      <c r="X23">
        <v>0.5</v>
      </c>
      <c r="Y23">
        <v>0.1</v>
      </c>
      <c r="Z23">
        <v>0.1</v>
      </c>
      <c r="AA23">
        <v>0</v>
      </c>
      <c r="AB23">
        <v>0.8</v>
      </c>
      <c r="AC23" t="s">
        <v>114</v>
      </c>
      <c r="AD23">
        <v>60</v>
      </c>
      <c r="AE23" t="s">
        <v>114</v>
      </c>
      <c r="AF23" s="4" t="s">
        <v>80</v>
      </c>
      <c r="AG23" s="4">
        <v>17128</v>
      </c>
      <c r="AH23" s="4" t="s">
        <v>81</v>
      </c>
      <c r="AI23" s="4">
        <v>0</v>
      </c>
      <c r="AJ23" t="s">
        <v>114</v>
      </c>
      <c r="AK23" t="s">
        <v>56</v>
      </c>
      <c r="AL23" t="s">
        <v>119</v>
      </c>
      <c r="AM23">
        <v>8</v>
      </c>
      <c r="AN23">
        <v>0</v>
      </c>
      <c r="AO23">
        <v>9</v>
      </c>
      <c r="AP23">
        <v>0</v>
      </c>
      <c r="AQ23" s="5">
        <v>2788</v>
      </c>
      <c r="AR23">
        <v>15</v>
      </c>
      <c r="AS23">
        <v>0</v>
      </c>
      <c r="AT23">
        <v>16</v>
      </c>
      <c r="AU23">
        <v>0</v>
      </c>
      <c r="AV23" s="5">
        <v>2985</v>
      </c>
      <c r="AW23" t="s">
        <v>56</v>
      </c>
      <c r="AX23" s="6">
        <v>30185</v>
      </c>
      <c r="AY23" t="s">
        <v>114</v>
      </c>
      <c r="AZ23" t="s">
        <v>56</v>
      </c>
    </row>
    <row r="24" spans="1:52" hidden="1" x14ac:dyDescent="0.45">
      <c r="C24">
        <v>23</v>
      </c>
      <c r="D24" t="s">
        <v>111</v>
      </c>
      <c r="E24" t="s">
        <v>112</v>
      </c>
      <c r="F24" t="s">
        <v>118</v>
      </c>
      <c r="G24" t="s">
        <v>114</v>
      </c>
      <c r="H24" s="3">
        <v>19224</v>
      </c>
      <c r="I24">
        <v>2</v>
      </c>
      <c r="J24" t="s">
        <v>56</v>
      </c>
      <c r="K24">
        <v>46.7</v>
      </c>
      <c r="L24">
        <v>58.3</v>
      </c>
      <c r="M24">
        <v>1</v>
      </c>
      <c r="N24" t="s">
        <v>56</v>
      </c>
      <c r="O24" t="s">
        <v>114</v>
      </c>
      <c r="P24">
        <v>89.6</v>
      </c>
      <c r="Q24">
        <v>1.7</v>
      </c>
      <c r="R24">
        <v>4.7</v>
      </c>
      <c r="S24">
        <v>0.9</v>
      </c>
      <c r="T24">
        <v>0.4</v>
      </c>
      <c r="U24">
        <v>0.1</v>
      </c>
      <c r="V24">
        <v>1</v>
      </c>
      <c r="W24">
        <v>0.1</v>
      </c>
      <c r="X24">
        <v>0.5</v>
      </c>
      <c r="Y24">
        <v>0.1</v>
      </c>
      <c r="Z24">
        <v>0.1</v>
      </c>
      <c r="AA24">
        <v>0</v>
      </c>
      <c r="AB24">
        <v>0.8</v>
      </c>
      <c r="AC24" t="s">
        <v>114</v>
      </c>
      <c r="AD24">
        <v>60</v>
      </c>
      <c r="AE24" t="s">
        <v>114</v>
      </c>
      <c r="AF24" s="4" t="s">
        <v>80</v>
      </c>
      <c r="AG24" s="4">
        <v>0</v>
      </c>
      <c r="AH24" s="4" t="s">
        <v>81</v>
      </c>
      <c r="AI24" s="4">
        <v>19224</v>
      </c>
      <c r="AJ24" t="s">
        <v>114</v>
      </c>
      <c r="AK24" t="s">
        <v>56</v>
      </c>
      <c r="AL24" t="s">
        <v>119</v>
      </c>
      <c r="AM24">
        <v>8</v>
      </c>
      <c r="AN24">
        <v>0</v>
      </c>
      <c r="AO24">
        <v>9</v>
      </c>
      <c r="AP24">
        <v>0</v>
      </c>
      <c r="AQ24" s="5">
        <v>2788</v>
      </c>
      <c r="AR24">
        <v>15</v>
      </c>
      <c r="AS24">
        <v>0</v>
      </c>
      <c r="AT24">
        <v>16</v>
      </c>
      <c r="AU24">
        <v>0</v>
      </c>
      <c r="AV24" s="5">
        <v>2985</v>
      </c>
      <c r="AW24" t="s">
        <v>56</v>
      </c>
      <c r="AX24" s="6">
        <v>30185</v>
      </c>
      <c r="AY24" t="s">
        <v>114</v>
      </c>
      <c r="AZ24" t="s">
        <v>56</v>
      </c>
    </row>
    <row r="25" spans="1:52" hidden="1" x14ac:dyDescent="0.45">
      <c r="A25">
        <v>513648.098750006</v>
      </c>
      <c r="B25">
        <v>6938826.9290421102</v>
      </c>
      <c r="C25">
        <v>24</v>
      </c>
      <c r="D25" t="s">
        <v>111</v>
      </c>
      <c r="E25" t="s">
        <v>112</v>
      </c>
      <c r="F25" t="s">
        <v>120</v>
      </c>
      <c r="G25" t="s">
        <v>114</v>
      </c>
      <c r="H25" s="3">
        <v>15425</v>
      </c>
      <c r="I25">
        <v>2</v>
      </c>
      <c r="J25" t="s">
        <v>56</v>
      </c>
      <c r="K25">
        <v>69</v>
      </c>
      <c r="L25">
        <v>74.5</v>
      </c>
      <c r="M25">
        <v>1</v>
      </c>
      <c r="N25" t="s">
        <v>56</v>
      </c>
      <c r="O25" t="s">
        <v>114</v>
      </c>
      <c r="P25">
        <v>92.9</v>
      </c>
      <c r="Q25">
        <v>1.1000000000000001</v>
      </c>
      <c r="R25">
        <v>4.7</v>
      </c>
      <c r="S25">
        <v>0.4</v>
      </c>
      <c r="T25">
        <v>0.2</v>
      </c>
      <c r="U25">
        <v>0.1</v>
      </c>
      <c r="V25">
        <v>0.2</v>
      </c>
      <c r="W25">
        <v>0</v>
      </c>
      <c r="X25">
        <v>0.2</v>
      </c>
      <c r="Y25">
        <v>0.1</v>
      </c>
      <c r="Z25">
        <v>0.1</v>
      </c>
      <c r="AA25">
        <v>0</v>
      </c>
      <c r="AB25">
        <v>0</v>
      </c>
      <c r="AC25" t="s">
        <v>114</v>
      </c>
      <c r="AD25">
        <v>70</v>
      </c>
      <c r="AE25" t="s">
        <v>114</v>
      </c>
      <c r="AF25" s="4" t="s">
        <v>80</v>
      </c>
      <c r="AG25" s="4">
        <v>15425</v>
      </c>
      <c r="AH25" s="4" t="s">
        <v>81</v>
      </c>
      <c r="AI25" s="4">
        <v>0</v>
      </c>
      <c r="AJ25" t="s">
        <v>114</v>
      </c>
      <c r="AK25" t="s">
        <v>56</v>
      </c>
      <c r="AL25" t="s">
        <v>121</v>
      </c>
      <c r="AM25">
        <v>8</v>
      </c>
      <c r="AN25">
        <v>0</v>
      </c>
      <c r="AO25">
        <v>9</v>
      </c>
      <c r="AP25">
        <v>0</v>
      </c>
      <c r="AQ25" s="5">
        <v>2436</v>
      </c>
      <c r="AR25">
        <v>16</v>
      </c>
      <c r="AS25">
        <v>0</v>
      </c>
      <c r="AT25">
        <v>17</v>
      </c>
      <c r="AU25">
        <v>0</v>
      </c>
      <c r="AV25" s="5">
        <v>2589</v>
      </c>
      <c r="AW25" t="s">
        <v>56</v>
      </c>
      <c r="AX25" s="6">
        <v>26846</v>
      </c>
      <c r="AY25" t="s">
        <v>114</v>
      </c>
      <c r="AZ25" t="s">
        <v>56</v>
      </c>
    </row>
    <row r="26" spans="1:52" hidden="1" x14ac:dyDescent="0.45">
      <c r="A26">
        <v>513648.098750006</v>
      </c>
      <c r="B26">
        <v>6938826.9290421102</v>
      </c>
      <c r="C26">
        <v>25</v>
      </c>
      <c r="D26" t="s">
        <v>111</v>
      </c>
      <c r="E26" t="s">
        <v>112</v>
      </c>
      <c r="F26" t="s">
        <v>120</v>
      </c>
      <c r="G26" t="s">
        <v>114</v>
      </c>
      <c r="H26" s="3">
        <v>15498</v>
      </c>
      <c r="I26">
        <v>2</v>
      </c>
      <c r="J26" t="s">
        <v>56</v>
      </c>
      <c r="K26">
        <v>69</v>
      </c>
      <c r="L26">
        <v>74.5</v>
      </c>
      <c r="M26">
        <v>1</v>
      </c>
      <c r="N26" t="s">
        <v>56</v>
      </c>
      <c r="O26" t="s">
        <v>114</v>
      </c>
      <c r="P26">
        <v>92.9</v>
      </c>
      <c r="Q26">
        <v>1.1000000000000001</v>
      </c>
      <c r="R26">
        <v>4.7</v>
      </c>
      <c r="S26">
        <v>0.4</v>
      </c>
      <c r="T26">
        <v>0.2</v>
      </c>
      <c r="U26">
        <v>0.1</v>
      </c>
      <c r="V26">
        <v>0.2</v>
      </c>
      <c r="W26">
        <v>0</v>
      </c>
      <c r="X26">
        <v>0.2</v>
      </c>
      <c r="Y26">
        <v>0.1</v>
      </c>
      <c r="Z26">
        <v>0.1</v>
      </c>
      <c r="AA26">
        <v>0</v>
      </c>
      <c r="AB26">
        <v>0</v>
      </c>
      <c r="AC26" t="s">
        <v>114</v>
      </c>
      <c r="AD26">
        <v>70</v>
      </c>
      <c r="AE26" t="s">
        <v>114</v>
      </c>
      <c r="AF26" s="4" t="s">
        <v>80</v>
      </c>
      <c r="AG26" s="4">
        <v>0</v>
      </c>
      <c r="AH26" s="4" t="s">
        <v>81</v>
      </c>
      <c r="AI26" s="4">
        <v>15498</v>
      </c>
      <c r="AJ26" t="s">
        <v>114</v>
      </c>
      <c r="AK26" t="s">
        <v>56</v>
      </c>
      <c r="AL26" t="s">
        <v>121</v>
      </c>
      <c r="AM26">
        <v>8</v>
      </c>
      <c r="AN26">
        <v>0</v>
      </c>
      <c r="AO26">
        <v>9</v>
      </c>
      <c r="AP26">
        <v>0</v>
      </c>
      <c r="AQ26" s="5">
        <v>2436</v>
      </c>
      <c r="AR26">
        <v>16</v>
      </c>
      <c r="AS26">
        <v>0</v>
      </c>
      <c r="AT26">
        <v>17</v>
      </c>
      <c r="AU26">
        <v>0</v>
      </c>
      <c r="AV26" s="5">
        <v>2589</v>
      </c>
      <c r="AW26" t="s">
        <v>56</v>
      </c>
      <c r="AX26" s="6">
        <v>26846</v>
      </c>
      <c r="AY26" t="s">
        <v>114</v>
      </c>
      <c r="AZ26" t="s">
        <v>56</v>
      </c>
    </row>
    <row r="27" spans="1:52" hidden="1" x14ac:dyDescent="0.45">
      <c r="C27">
        <v>26</v>
      </c>
      <c r="D27" t="s">
        <v>111</v>
      </c>
      <c r="E27" t="s">
        <v>112</v>
      </c>
      <c r="F27" t="s">
        <v>122</v>
      </c>
      <c r="G27" t="s">
        <v>114</v>
      </c>
      <c r="H27" s="3">
        <v>12988</v>
      </c>
      <c r="I27">
        <v>2</v>
      </c>
      <c r="J27" t="s">
        <v>56</v>
      </c>
      <c r="K27">
        <v>58.8</v>
      </c>
      <c r="L27">
        <v>74.2</v>
      </c>
      <c r="M27">
        <v>1</v>
      </c>
      <c r="N27" t="s">
        <v>56</v>
      </c>
      <c r="O27" t="s">
        <v>114</v>
      </c>
      <c r="P27">
        <v>92.6</v>
      </c>
      <c r="Q27">
        <v>1.3</v>
      </c>
      <c r="R27">
        <v>4.7</v>
      </c>
      <c r="S27">
        <v>0.5</v>
      </c>
      <c r="T27">
        <v>0.2</v>
      </c>
      <c r="U27">
        <v>0.1</v>
      </c>
      <c r="V27">
        <v>0.2</v>
      </c>
      <c r="W27">
        <v>0.1</v>
      </c>
      <c r="X27">
        <v>0.2</v>
      </c>
      <c r="Y27">
        <v>0.1</v>
      </c>
      <c r="Z27">
        <v>0</v>
      </c>
      <c r="AA27">
        <v>0</v>
      </c>
      <c r="AB27">
        <v>0</v>
      </c>
      <c r="AC27" t="s">
        <v>114</v>
      </c>
      <c r="AD27">
        <v>60</v>
      </c>
      <c r="AE27" t="s">
        <v>114</v>
      </c>
      <c r="AF27" s="4" t="s">
        <v>80</v>
      </c>
      <c r="AG27" s="4">
        <v>12988</v>
      </c>
      <c r="AH27" s="4" t="s">
        <v>81</v>
      </c>
      <c r="AI27" s="4">
        <v>0</v>
      </c>
      <c r="AJ27" t="s">
        <v>114</v>
      </c>
      <c r="AK27" t="s">
        <v>56</v>
      </c>
      <c r="AL27" t="s">
        <v>123</v>
      </c>
      <c r="AM27">
        <v>8</v>
      </c>
      <c r="AN27">
        <v>0</v>
      </c>
      <c r="AO27">
        <v>9</v>
      </c>
      <c r="AP27">
        <v>0</v>
      </c>
      <c r="AQ27" s="5">
        <v>2054</v>
      </c>
      <c r="AR27">
        <v>16</v>
      </c>
      <c r="AS27">
        <v>0</v>
      </c>
      <c r="AT27">
        <v>17</v>
      </c>
      <c r="AU27">
        <v>0</v>
      </c>
      <c r="AV27" s="5">
        <v>2112</v>
      </c>
      <c r="AW27" t="s">
        <v>56</v>
      </c>
      <c r="AX27" s="6">
        <v>21836</v>
      </c>
      <c r="AY27" t="s">
        <v>114</v>
      </c>
      <c r="AZ27" t="s">
        <v>56</v>
      </c>
    </row>
    <row r="28" spans="1:52" hidden="1" x14ac:dyDescent="0.45">
      <c r="C28">
        <v>27</v>
      </c>
      <c r="D28" t="s">
        <v>111</v>
      </c>
      <c r="E28" t="s">
        <v>112</v>
      </c>
      <c r="F28" t="s">
        <v>122</v>
      </c>
      <c r="G28" t="s">
        <v>114</v>
      </c>
      <c r="H28" s="3">
        <v>12479</v>
      </c>
      <c r="I28">
        <v>2</v>
      </c>
      <c r="J28" t="s">
        <v>56</v>
      </c>
      <c r="K28">
        <v>58.8</v>
      </c>
      <c r="L28">
        <v>74.2</v>
      </c>
      <c r="M28">
        <v>1</v>
      </c>
      <c r="N28" t="s">
        <v>56</v>
      </c>
      <c r="O28" t="s">
        <v>114</v>
      </c>
      <c r="P28">
        <v>92.6</v>
      </c>
      <c r="Q28">
        <v>1.3</v>
      </c>
      <c r="R28">
        <v>4.7</v>
      </c>
      <c r="S28">
        <v>0.5</v>
      </c>
      <c r="T28">
        <v>0.2</v>
      </c>
      <c r="U28">
        <v>0.1</v>
      </c>
      <c r="V28">
        <v>0.2</v>
      </c>
      <c r="W28">
        <v>0.1</v>
      </c>
      <c r="X28">
        <v>0.2</v>
      </c>
      <c r="Y28">
        <v>0.1</v>
      </c>
      <c r="Z28">
        <v>0</v>
      </c>
      <c r="AA28">
        <v>0</v>
      </c>
      <c r="AB28">
        <v>0</v>
      </c>
      <c r="AC28" t="s">
        <v>114</v>
      </c>
      <c r="AD28">
        <v>60</v>
      </c>
      <c r="AE28" t="s">
        <v>114</v>
      </c>
      <c r="AF28" s="4" t="s">
        <v>80</v>
      </c>
      <c r="AG28" s="4">
        <v>0</v>
      </c>
      <c r="AH28" s="4" t="s">
        <v>81</v>
      </c>
      <c r="AI28" s="4">
        <v>12479</v>
      </c>
      <c r="AJ28" t="s">
        <v>114</v>
      </c>
      <c r="AK28" t="s">
        <v>56</v>
      </c>
      <c r="AL28" t="s">
        <v>123</v>
      </c>
      <c r="AM28">
        <v>8</v>
      </c>
      <c r="AN28">
        <v>0</v>
      </c>
      <c r="AO28">
        <v>9</v>
      </c>
      <c r="AP28">
        <v>0</v>
      </c>
      <c r="AQ28" s="5">
        <v>2054</v>
      </c>
      <c r="AR28">
        <v>16</v>
      </c>
      <c r="AS28">
        <v>0</v>
      </c>
      <c r="AT28">
        <v>17</v>
      </c>
      <c r="AU28">
        <v>0</v>
      </c>
      <c r="AV28" s="5">
        <v>2112</v>
      </c>
      <c r="AW28" t="s">
        <v>56</v>
      </c>
      <c r="AX28" s="6">
        <v>21836</v>
      </c>
      <c r="AY28" t="s">
        <v>114</v>
      </c>
      <c r="AZ28" t="s">
        <v>56</v>
      </c>
    </row>
    <row r="29" spans="1:52" hidden="1" x14ac:dyDescent="0.45">
      <c r="C29">
        <v>28</v>
      </c>
      <c r="D29" t="s">
        <v>111</v>
      </c>
      <c r="E29" t="s">
        <v>112</v>
      </c>
      <c r="F29" t="s">
        <v>124</v>
      </c>
      <c r="G29" t="s">
        <v>114</v>
      </c>
      <c r="H29" s="3">
        <v>12544</v>
      </c>
      <c r="I29">
        <v>2</v>
      </c>
      <c r="J29" t="s">
        <v>56</v>
      </c>
      <c r="K29">
        <v>58.1</v>
      </c>
      <c r="L29">
        <v>65.2</v>
      </c>
      <c r="M29">
        <v>1</v>
      </c>
      <c r="N29" t="s">
        <v>56</v>
      </c>
      <c r="O29" t="s">
        <v>114</v>
      </c>
      <c r="P29">
        <v>92.8</v>
      </c>
      <c r="Q29">
        <v>1.3</v>
      </c>
      <c r="R29">
        <v>4.5</v>
      </c>
      <c r="S29">
        <v>0.5</v>
      </c>
      <c r="T29">
        <v>0.2</v>
      </c>
      <c r="U29">
        <v>0.1</v>
      </c>
      <c r="V29">
        <v>0.2</v>
      </c>
      <c r="W29">
        <v>0.1</v>
      </c>
      <c r="X29">
        <v>0.2</v>
      </c>
      <c r="Y29">
        <v>0.1</v>
      </c>
      <c r="Z29">
        <v>0</v>
      </c>
      <c r="AA29">
        <v>0</v>
      </c>
      <c r="AB29">
        <v>0</v>
      </c>
      <c r="AC29" t="s">
        <v>114</v>
      </c>
      <c r="AD29">
        <v>60</v>
      </c>
      <c r="AE29" t="s">
        <v>114</v>
      </c>
      <c r="AF29" s="4" t="s">
        <v>80</v>
      </c>
      <c r="AG29" s="4">
        <v>12544</v>
      </c>
      <c r="AH29" s="4" t="s">
        <v>81</v>
      </c>
      <c r="AI29" s="4">
        <v>0</v>
      </c>
      <c r="AJ29" t="s">
        <v>114</v>
      </c>
      <c r="AK29" t="s">
        <v>56</v>
      </c>
      <c r="AL29" t="s">
        <v>125</v>
      </c>
      <c r="AM29">
        <v>8</v>
      </c>
      <c r="AN29">
        <v>0</v>
      </c>
      <c r="AO29">
        <v>9</v>
      </c>
      <c r="AP29">
        <v>0</v>
      </c>
      <c r="AQ29" s="5">
        <v>1930</v>
      </c>
      <c r="AR29">
        <v>16</v>
      </c>
      <c r="AS29">
        <v>0</v>
      </c>
      <c r="AT29">
        <v>17</v>
      </c>
      <c r="AU29">
        <v>0</v>
      </c>
      <c r="AV29" s="5">
        <v>2075</v>
      </c>
      <c r="AW29" t="s">
        <v>56</v>
      </c>
      <c r="AX29" s="6">
        <v>21398</v>
      </c>
      <c r="AY29" t="s">
        <v>114</v>
      </c>
      <c r="AZ29" t="s">
        <v>56</v>
      </c>
    </row>
    <row r="30" spans="1:52" hidden="1" x14ac:dyDescent="0.45">
      <c r="C30">
        <v>29</v>
      </c>
      <c r="D30" t="s">
        <v>111</v>
      </c>
      <c r="E30" t="s">
        <v>112</v>
      </c>
      <c r="F30" t="s">
        <v>124</v>
      </c>
      <c r="G30" t="s">
        <v>114</v>
      </c>
      <c r="H30" s="3">
        <v>12184</v>
      </c>
      <c r="I30">
        <v>2</v>
      </c>
      <c r="J30" t="s">
        <v>56</v>
      </c>
      <c r="K30">
        <v>58.1</v>
      </c>
      <c r="L30">
        <v>65.2</v>
      </c>
      <c r="M30">
        <v>1</v>
      </c>
      <c r="N30" t="s">
        <v>56</v>
      </c>
      <c r="O30" t="s">
        <v>114</v>
      </c>
      <c r="P30">
        <v>92.8</v>
      </c>
      <c r="Q30">
        <v>1.3</v>
      </c>
      <c r="R30">
        <v>4.5</v>
      </c>
      <c r="S30">
        <v>0.5</v>
      </c>
      <c r="T30">
        <v>0.2</v>
      </c>
      <c r="U30">
        <v>0.1</v>
      </c>
      <c r="V30">
        <v>0.2</v>
      </c>
      <c r="W30">
        <v>0.1</v>
      </c>
      <c r="X30">
        <v>0.2</v>
      </c>
      <c r="Y30">
        <v>0.1</v>
      </c>
      <c r="Z30">
        <v>0</v>
      </c>
      <c r="AA30">
        <v>0</v>
      </c>
      <c r="AB30">
        <v>0</v>
      </c>
      <c r="AC30" t="s">
        <v>114</v>
      </c>
      <c r="AD30">
        <v>60</v>
      </c>
      <c r="AE30" t="s">
        <v>114</v>
      </c>
      <c r="AF30" s="4" t="s">
        <v>80</v>
      </c>
      <c r="AG30" s="4">
        <v>0</v>
      </c>
      <c r="AH30" s="4" t="s">
        <v>81</v>
      </c>
      <c r="AI30" s="4">
        <v>12184</v>
      </c>
      <c r="AJ30" t="s">
        <v>114</v>
      </c>
      <c r="AK30" t="s">
        <v>56</v>
      </c>
      <c r="AL30" t="s">
        <v>125</v>
      </c>
      <c r="AM30">
        <v>8</v>
      </c>
      <c r="AN30">
        <v>0</v>
      </c>
      <c r="AO30">
        <v>9</v>
      </c>
      <c r="AP30">
        <v>0</v>
      </c>
      <c r="AQ30" s="5">
        <v>1930</v>
      </c>
      <c r="AR30">
        <v>16</v>
      </c>
      <c r="AS30">
        <v>0</v>
      </c>
      <c r="AT30">
        <v>17</v>
      </c>
      <c r="AU30">
        <v>0</v>
      </c>
      <c r="AV30" s="5">
        <v>2075</v>
      </c>
      <c r="AW30" t="s">
        <v>56</v>
      </c>
      <c r="AX30" s="6">
        <v>21398</v>
      </c>
      <c r="AY30" t="s">
        <v>114</v>
      </c>
      <c r="AZ30" t="s">
        <v>56</v>
      </c>
    </row>
    <row r="31" spans="1:52" hidden="1" x14ac:dyDescent="0.45">
      <c r="A31">
        <v>499503.58450635499</v>
      </c>
      <c r="B31">
        <v>6940796.7500809999</v>
      </c>
      <c r="C31">
        <v>30</v>
      </c>
      <c r="D31" t="s">
        <v>126</v>
      </c>
      <c r="E31" t="s">
        <v>127</v>
      </c>
      <c r="F31" t="s">
        <v>128</v>
      </c>
      <c r="G31" t="s">
        <v>129</v>
      </c>
      <c r="H31" s="3">
        <v>514</v>
      </c>
      <c r="I31">
        <v>2</v>
      </c>
      <c r="J31" t="s">
        <v>56</v>
      </c>
      <c r="K31">
        <v>57.8</v>
      </c>
      <c r="L31">
        <v>67.7</v>
      </c>
      <c r="M31">
        <v>1</v>
      </c>
      <c r="N31" t="s">
        <v>56</v>
      </c>
      <c r="O31" t="s">
        <v>129</v>
      </c>
      <c r="P31">
        <v>72.3</v>
      </c>
      <c r="Q31">
        <v>1.8</v>
      </c>
      <c r="R31">
        <v>23.9</v>
      </c>
      <c r="S31">
        <v>0.9</v>
      </c>
      <c r="T31">
        <v>0.1</v>
      </c>
      <c r="U31">
        <v>0</v>
      </c>
      <c r="V31">
        <v>0.4</v>
      </c>
      <c r="W31">
        <v>0.1</v>
      </c>
      <c r="X31">
        <v>0</v>
      </c>
      <c r="Y31">
        <v>0</v>
      </c>
      <c r="Z31">
        <v>0</v>
      </c>
      <c r="AA31">
        <v>0</v>
      </c>
      <c r="AB31">
        <v>0.5</v>
      </c>
      <c r="AC31" t="s">
        <v>129</v>
      </c>
      <c r="AD31">
        <v>60</v>
      </c>
      <c r="AE31" t="s">
        <v>129</v>
      </c>
      <c r="AF31" s="4" t="s">
        <v>80</v>
      </c>
      <c r="AG31" s="4">
        <v>237</v>
      </c>
      <c r="AH31" s="4" t="s">
        <v>81</v>
      </c>
      <c r="AI31" s="4">
        <v>277</v>
      </c>
      <c r="AJ31" t="s">
        <v>129</v>
      </c>
      <c r="AK31" t="s">
        <v>56</v>
      </c>
      <c r="AL31" t="s">
        <v>128</v>
      </c>
      <c r="AM31">
        <v>8</v>
      </c>
      <c r="AN31">
        <v>0</v>
      </c>
      <c r="AO31">
        <v>9</v>
      </c>
      <c r="AP31">
        <v>0</v>
      </c>
      <c r="AQ31" s="5">
        <v>36</v>
      </c>
      <c r="AR31">
        <v>17</v>
      </c>
      <c r="AS31">
        <v>0</v>
      </c>
      <c r="AT31">
        <v>18</v>
      </c>
      <c r="AU31">
        <v>0</v>
      </c>
      <c r="AV31" s="5">
        <v>43</v>
      </c>
      <c r="AW31" t="s">
        <v>56</v>
      </c>
      <c r="AX31" s="6">
        <v>541</v>
      </c>
      <c r="AY31" t="s">
        <v>129</v>
      </c>
      <c r="AZ31" t="s">
        <v>56</v>
      </c>
    </row>
    <row r="32" spans="1:52" hidden="1" x14ac:dyDescent="0.45">
      <c r="A32">
        <v>514463.27101430902</v>
      </c>
      <c r="B32">
        <v>6939663.2991832998</v>
      </c>
      <c r="C32">
        <v>31</v>
      </c>
      <c r="D32" t="s">
        <v>130</v>
      </c>
      <c r="E32" t="s">
        <v>100</v>
      </c>
      <c r="F32" t="s">
        <v>131</v>
      </c>
      <c r="G32" t="s">
        <v>129</v>
      </c>
      <c r="H32" s="3">
        <v>2838</v>
      </c>
      <c r="I32">
        <v>2</v>
      </c>
      <c r="J32" t="s">
        <v>56</v>
      </c>
      <c r="K32">
        <v>52.2</v>
      </c>
      <c r="L32">
        <v>58.7</v>
      </c>
      <c r="M32">
        <v>1</v>
      </c>
      <c r="N32" t="s">
        <v>56</v>
      </c>
      <c r="O32" t="s">
        <v>129</v>
      </c>
      <c r="P32">
        <v>84.4</v>
      </c>
      <c r="Q32">
        <v>0.6</v>
      </c>
      <c r="R32">
        <v>14.6</v>
      </c>
      <c r="S32">
        <v>0.1</v>
      </c>
      <c r="T32">
        <v>0</v>
      </c>
      <c r="U32">
        <v>0</v>
      </c>
      <c r="V32">
        <v>0.2</v>
      </c>
      <c r="W32">
        <v>0</v>
      </c>
      <c r="X32">
        <v>0</v>
      </c>
      <c r="Y32">
        <v>0</v>
      </c>
      <c r="Z32">
        <v>0</v>
      </c>
      <c r="AA32">
        <v>0</v>
      </c>
      <c r="AB32">
        <v>0.1</v>
      </c>
      <c r="AC32" t="s">
        <v>129</v>
      </c>
      <c r="AD32">
        <v>50</v>
      </c>
      <c r="AE32" t="s">
        <v>129</v>
      </c>
      <c r="AF32" s="4" t="s">
        <v>80</v>
      </c>
      <c r="AG32" s="4">
        <v>1392</v>
      </c>
      <c r="AH32" s="4" t="s">
        <v>81</v>
      </c>
      <c r="AI32" s="4">
        <v>1446</v>
      </c>
      <c r="AJ32" t="s">
        <v>129</v>
      </c>
      <c r="AK32" t="s">
        <v>56</v>
      </c>
      <c r="AL32" t="s">
        <v>131</v>
      </c>
      <c r="AM32">
        <v>8</v>
      </c>
      <c r="AN32">
        <v>0</v>
      </c>
      <c r="AO32">
        <v>9</v>
      </c>
      <c r="AP32">
        <v>0</v>
      </c>
      <c r="AQ32" s="5">
        <v>201</v>
      </c>
      <c r="AR32">
        <v>17</v>
      </c>
      <c r="AS32">
        <v>0</v>
      </c>
      <c r="AT32">
        <v>18</v>
      </c>
      <c r="AU32">
        <v>0</v>
      </c>
      <c r="AV32" s="5">
        <v>258</v>
      </c>
      <c r="AW32" t="s">
        <v>56</v>
      </c>
      <c r="AX32" s="6">
        <v>2903</v>
      </c>
      <c r="AY32" t="s">
        <v>129</v>
      </c>
      <c r="AZ32" t="s">
        <v>56</v>
      </c>
    </row>
    <row r="33" spans="1:52" hidden="1" x14ac:dyDescent="0.45">
      <c r="A33">
        <v>505052.54038942902</v>
      </c>
      <c r="B33">
        <v>6939158.4236889202</v>
      </c>
      <c r="C33">
        <v>32</v>
      </c>
      <c r="D33" t="s">
        <v>132</v>
      </c>
      <c r="E33" t="s">
        <v>133</v>
      </c>
      <c r="F33" t="s">
        <v>134</v>
      </c>
      <c r="G33" t="s">
        <v>135</v>
      </c>
      <c r="H33" s="3">
        <v>562</v>
      </c>
      <c r="I33">
        <v>2</v>
      </c>
      <c r="J33" t="s">
        <v>56</v>
      </c>
      <c r="K33">
        <v>40.6</v>
      </c>
      <c r="L33">
        <v>47.9</v>
      </c>
      <c r="M33">
        <v>1</v>
      </c>
      <c r="N33" t="s">
        <v>56</v>
      </c>
      <c r="O33" t="s">
        <v>135</v>
      </c>
      <c r="P33">
        <v>86.5</v>
      </c>
      <c r="Q33">
        <v>0.6</v>
      </c>
      <c r="R33">
        <v>12.5</v>
      </c>
      <c r="S33">
        <v>0.1</v>
      </c>
      <c r="T33">
        <v>0</v>
      </c>
      <c r="U33">
        <v>0</v>
      </c>
      <c r="V33">
        <v>0.1</v>
      </c>
      <c r="W33">
        <v>0</v>
      </c>
      <c r="X33">
        <v>0</v>
      </c>
      <c r="Y33">
        <v>0</v>
      </c>
      <c r="Z33">
        <v>0</v>
      </c>
      <c r="AA33">
        <v>0</v>
      </c>
      <c r="AB33">
        <v>0.2</v>
      </c>
      <c r="AC33" t="s">
        <v>135</v>
      </c>
      <c r="AD33">
        <v>50</v>
      </c>
      <c r="AE33" t="s">
        <v>135</v>
      </c>
      <c r="AF33" s="4" t="s">
        <v>80</v>
      </c>
      <c r="AG33" s="4">
        <v>270</v>
      </c>
      <c r="AH33" s="4" t="s">
        <v>81</v>
      </c>
      <c r="AI33" s="4">
        <v>292</v>
      </c>
      <c r="AJ33" t="s">
        <v>135</v>
      </c>
      <c r="AK33" t="s">
        <v>56</v>
      </c>
      <c r="AL33" t="s">
        <v>134</v>
      </c>
      <c r="AM33">
        <v>8</v>
      </c>
      <c r="AN33">
        <v>0</v>
      </c>
      <c r="AO33">
        <v>9</v>
      </c>
      <c r="AP33">
        <v>0</v>
      </c>
      <c r="AQ33" s="5">
        <v>35</v>
      </c>
      <c r="AR33">
        <v>17</v>
      </c>
      <c r="AS33">
        <v>0</v>
      </c>
      <c r="AT33">
        <v>18</v>
      </c>
      <c r="AU33">
        <v>0</v>
      </c>
      <c r="AV33" s="5">
        <v>48</v>
      </c>
      <c r="AW33" t="s">
        <v>56</v>
      </c>
      <c r="AX33" s="6">
        <v>566</v>
      </c>
      <c r="AY33" t="s">
        <v>135</v>
      </c>
      <c r="AZ33" t="s">
        <v>56</v>
      </c>
    </row>
    <row r="34" spans="1:52" hidden="1" x14ac:dyDescent="0.45">
      <c r="A34">
        <v>510246.42557007301</v>
      </c>
      <c r="B34">
        <v>6944104.7905660104</v>
      </c>
      <c r="C34">
        <v>33</v>
      </c>
      <c r="D34" t="s">
        <v>136</v>
      </c>
      <c r="E34" t="s">
        <v>83</v>
      </c>
      <c r="F34" t="s">
        <v>137</v>
      </c>
      <c r="G34" t="s">
        <v>138</v>
      </c>
      <c r="H34" s="3">
        <v>3288</v>
      </c>
      <c r="I34">
        <v>2</v>
      </c>
      <c r="J34" t="s">
        <v>56</v>
      </c>
      <c r="K34">
        <v>48.7</v>
      </c>
      <c r="L34">
        <v>56.5</v>
      </c>
      <c r="M34">
        <v>1</v>
      </c>
      <c r="N34" t="s">
        <v>56</v>
      </c>
      <c r="O34" t="s">
        <v>138</v>
      </c>
      <c r="P34">
        <v>83.3</v>
      </c>
      <c r="Q34">
        <v>0.4</v>
      </c>
      <c r="R34">
        <v>15.8</v>
      </c>
      <c r="S34">
        <v>0.1</v>
      </c>
      <c r="T34">
        <v>0.1</v>
      </c>
      <c r="U34">
        <v>0</v>
      </c>
      <c r="V34">
        <v>0.2</v>
      </c>
      <c r="W34">
        <v>0</v>
      </c>
      <c r="X34">
        <v>0</v>
      </c>
      <c r="Y34">
        <v>0</v>
      </c>
      <c r="Z34">
        <v>0</v>
      </c>
      <c r="AA34">
        <v>0</v>
      </c>
      <c r="AB34">
        <v>0.1</v>
      </c>
      <c r="AC34" t="s">
        <v>138</v>
      </c>
      <c r="AD34">
        <v>60</v>
      </c>
      <c r="AE34" t="s">
        <v>138</v>
      </c>
      <c r="AF34" s="4" t="s">
        <v>80</v>
      </c>
      <c r="AG34" s="4">
        <v>1612</v>
      </c>
      <c r="AH34" s="4" t="s">
        <v>81</v>
      </c>
      <c r="AI34" s="4">
        <v>1676</v>
      </c>
      <c r="AJ34" t="s">
        <v>138</v>
      </c>
      <c r="AK34" t="s">
        <v>56</v>
      </c>
      <c r="AL34" t="s">
        <v>137</v>
      </c>
      <c r="AM34">
        <v>8</v>
      </c>
      <c r="AN34">
        <v>0</v>
      </c>
      <c r="AO34">
        <v>9</v>
      </c>
      <c r="AP34">
        <v>0</v>
      </c>
      <c r="AQ34" s="5">
        <v>225</v>
      </c>
      <c r="AR34">
        <v>16</v>
      </c>
      <c r="AS34">
        <v>0</v>
      </c>
      <c r="AT34">
        <v>17</v>
      </c>
      <c r="AU34">
        <v>0</v>
      </c>
      <c r="AV34" s="5">
        <v>297</v>
      </c>
      <c r="AW34" t="s">
        <v>56</v>
      </c>
      <c r="AX34" s="6">
        <v>3428</v>
      </c>
      <c r="AY34" t="s">
        <v>138</v>
      </c>
      <c r="AZ34" t="s">
        <v>56</v>
      </c>
    </row>
    <row r="35" spans="1:52" hidden="1" x14ac:dyDescent="0.45">
      <c r="A35">
        <v>512022.08450070099</v>
      </c>
      <c r="B35">
        <v>6941297.0426266296</v>
      </c>
      <c r="C35">
        <v>34</v>
      </c>
      <c r="D35" t="s">
        <v>139</v>
      </c>
      <c r="E35" t="s">
        <v>140</v>
      </c>
      <c r="F35" t="s">
        <v>141</v>
      </c>
      <c r="G35" t="s">
        <v>138</v>
      </c>
      <c r="H35" s="3">
        <v>2303</v>
      </c>
      <c r="I35">
        <v>2</v>
      </c>
      <c r="J35" t="s">
        <v>56</v>
      </c>
      <c r="K35">
        <v>48.4</v>
      </c>
      <c r="L35">
        <v>56.2</v>
      </c>
      <c r="M35">
        <v>1</v>
      </c>
      <c r="N35" t="s">
        <v>56</v>
      </c>
      <c r="O35" t="s">
        <v>138</v>
      </c>
      <c r="P35">
        <v>85.8</v>
      </c>
      <c r="Q35">
        <v>1</v>
      </c>
      <c r="R35">
        <v>11.9</v>
      </c>
      <c r="S35">
        <v>0.6</v>
      </c>
      <c r="T35">
        <v>0.3</v>
      </c>
      <c r="U35">
        <v>0</v>
      </c>
      <c r="V35">
        <v>0.2</v>
      </c>
      <c r="W35">
        <v>0</v>
      </c>
      <c r="X35">
        <v>0</v>
      </c>
      <c r="Y35">
        <v>0</v>
      </c>
      <c r="Z35">
        <v>0</v>
      </c>
      <c r="AA35">
        <v>0</v>
      </c>
      <c r="AB35">
        <v>0.2</v>
      </c>
      <c r="AC35" t="s">
        <v>138</v>
      </c>
      <c r="AD35">
        <v>60</v>
      </c>
      <c r="AE35" t="s">
        <v>138</v>
      </c>
      <c r="AF35" s="4" t="s">
        <v>57</v>
      </c>
      <c r="AG35" s="4">
        <v>708</v>
      </c>
      <c r="AH35" s="4" t="s">
        <v>58</v>
      </c>
      <c r="AI35" s="4">
        <v>1595</v>
      </c>
      <c r="AJ35" t="s">
        <v>138</v>
      </c>
      <c r="AK35" t="s">
        <v>56</v>
      </c>
      <c r="AL35" t="s">
        <v>141</v>
      </c>
      <c r="AM35">
        <v>8</v>
      </c>
      <c r="AN35">
        <v>0</v>
      </c>
      <c r="AO35">
        <v>9</v>
      </c>
      <c r="AP35">
        <v>0</v>
      </c>
      <c r="AQ35" s="5">
        <v>199</v>
      </c>
      <c r="AR35">
        <v>15</v>
      </c>
      <c r="AS35">
        <v>0</v>
      </c>
      <c r="AT35">
        <v>16</v>
      </c>
      <c r="AU35">
        <v>0</v>
      </c>
      <c r="AV35" s="5">
        <v>208</v>
      </c>
      <c r="AW35" t="s">
        <v>56</v>
      </c>
      <c r="AX35" s="6">
        <v>2453</v>
      </c>
      <c r="AY35" t="s">
        <v>138</v>
      </c>
      <c r="AZ35" t="s">
        <v>56</v>
      </c>
    </row>
    <row r="36" spans="1:52" hidden="1" x14ac:dyDescent="0.45">
      <c r="A36">
        <v>513316.13413634198</v>
      </c>
      <c r="B36">
        <v>6937996.6306910599</v>
      </c>
      <c r="C36">
        <v>35</v>
      </c>
      <c r="D36" t="s">
        <v>142</v>
      </c>
      <c r="E36" t="s">
        <v>112</v>
      </c>
      <c r="F36" t="s">
        <v>143</v>
      </c>
      <c r="G36" t="s">
        <v>138</v>
      </c>
      <c r="H36" s="3">
        <v>742</v>
      </c>
      <c r="I36">
        <v>2</v>
      </c>
      <c r="J36" t="s">
        <v>56</v>
      </c>
      <c r="K36">
        <v>32.9</v>
      </c>
      <c r="L36">
        <v>38.200000000000003</v>
      </c>
      <c r="M36">
        <v>1</v>
      </c>
      <c r="N36" t="s">
        <v>56</v>
      </c>
      <c r="O36" t="s">
        <v>138</v>
      </c>
      <c r="P36">
        <v>88.3</v>
      </c>
      <c r="Q36">
        <v>0.7</v>
      </c>
      <c r="R36">
        <v>10.4</v>
      </c>
      <c r="S36">
        <v>0.4</v>
      </c>
      <c r="T36">
        <v>0</v>
      </c>
      <c r="U36">
        <v>0</v>
      </c>
      <c r="V36">
        <v>0.2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 t="s">
        <v>138</v>
      </c>
      <c r="AD36">
        <v>50</v>
      </c>
      <c r="AE36" t="s">
        <v>138</v>
      </c>
      <c r="AF36" s="4" t="s">
        <v>57</v>
      </c>
      <c r="AG36" s="4">
        <v>354</v>
      </c>
      <c r="AH36" s="4" t="s">
        <v>58</v>
      </c>
      <c r="AI36" s="4">
        <v>388</v>
      </c>
      <c r="AJ36" t="s">
        <v>138</v>
      </c>
      <c r="AK36" t="s">
        <v>56</v>
      </c>
      <c r="AL36" t="s">
        <v>143</v>
      </c>
      <c r="AM36">
        <v>8</v>
      </c>
      <c r="AN36">
        <v>0</v>
      </c>
      <c r="AO36">
        <v>9</v>
      </c>
      <c r="AP36">
        <v>0</v>
      </c>
      <c r="AQ36" s="5">
        <v>50</v>
      </c>
      <c r="AR36">
        <v>17</v>
      </c>
      <c r="AS36">
        <v>0</v>
      </c>
      <c r="AT36">
        <v>18</v>
      </c>
      <c r="AU36">
        <v>0</v>
      </c>
      <c r="AV36" s="5">
        <v>69</v>
      </c>
      <c r="AW36" t="s">
        <v>56</v>
      </c>
      <c r="AX36" s="6">
        <v>750</v>
      </c>
      <c r="AY36" t="s">
        <v>138</v>
      </c>
      <c r="AZ36" t="s">
        <v>56</v>
      </c>
    </row>
    <row r="37" spans="1:52" hidden="1" x14ac:dyDescent="0.45">
      <c r="A37">
        <v>510622.336408231</v>
      </c>
      <c r="B37">
        <v>6941524.7574279001</v>
      </c>
      <c r="C37">
        <v>36</v>
      </c>
      <c r="D37" t="s">
        <v>144</v>
      </c>
      <c r="E37" t="s">
        <v>145</v>
      </c>
      <c r="F37" t="s">
        <v>146</v>
      </c>
      <c r="G37" t="s">
        <v>147</v>
      </c>
      <c r="H37" s="3">
        <v>363</v>
      </c>
      <c r="I37">
        <v>2</v>
      </c>
      <c r="J37" t="s">
        <v>56</v>
      </c>
      <c r="K37">
        <v>40.1</v>
      </c>
      <c r="L37">
        <v>49.3</v>
      </c>
      <c r="M37">
        <v>1</v>
      </c>
      <c r="N37" t="s">
        <v>56</v>
      </c>
      <c r="O37" t="s">
        <v>147</v>
      </c>
      <c r="P37">
        <v>84.9</v>
      </c>
      <c r="Q37">
        <v>1.6</v>
      </c>
      <c r="R37">
        <v>8.1999999999999993</v>
      </c>
      <c r="S37">
        <v>3.3</v>
      </c>
      <c r="T37">
        <v>0.7</v>
      </c>
      <c r="U37">
        <v>0</v>
      </c>
      <c r="V37">
        <v>0.2</v>
      </c>
      <c r="W37">
        <v>0</v>
      </c>
      <c r="X37">
        <v>0</v>
      </c>
      <c r="Y37">
        <v>0</v>
      </c>
      <c r="Z37">
        <v>0</v>
      </c>
      <c r="AA37">
        <v>0</v>
      </c>
      <c r="AB37">
        <v>1.1000000000000001</v>
      </c>
      <c r="AC37" t="s">
        <v>147</v>
      </c>
      <c r="AD37">
        <v>50</v>
      </c>
      <c r="AE37" t="s">
        <v>147</v>
      </c>
      <c r="AF37" s="4" t="s">
        <v>57</v>
      </c>
      <c r="AG37" s="4">
        <v>192</v>
      </c>
      <c r="AH37" s="4" t="s">
        <v>58</v>
      </c>
      <c r="AI37" s="4">
        <v>171</v>
      </c>
      <c r="AJ37" t="s">
        <v>147</v>
      </c>
      <c r="AK37" t="s">
        <v>56</v>
      </c>
      <c r="AL37" t="s">
        <v>146</v>
      </c>
      <c r="AM37">
        <v>10</v>
      </c>
      <c r="AN37">
        <v>0</v>
      </c>
      <c r="AO37">
        <v>11</v>
      </c>
      <c r="AP37">
        <v>0</v>
      </c>
      <c r="AQ37" s="5">
        <v>24</v>
      </c>
      <c r="AR37">
        <v>16</v>
      </c>
      <c r="AS37">
        <v>0</v>
      </c>
      <c r="AT37">
        <v>17</v>
      </c>
      <c r="AU37">
        <v>0</v>
      </c>
      <c r="AV37" s="5">
        <v>33</v>
      </c>
      <c r="AW37" t="s">
        <v>56</v>
      </c>
      <c r="AX37" s="6">
        <v>371</v>
      </c>
      <c r="AY37" t="s">
        <v>147</v>
      </c>
      <c r="AZ37" t="s">
        <v>56</v>
      </c>
    </row>
    <row r="38" spans="1:52" hidden="1" x14ac:dyDescent="0.45">
      <c r="A38">
        <v>511623.02711848699</v>
      </c>
      <c r="B38">
        <v>6937503.7773188697</v>
      </c>
      <c r="C38">
        <v>37</v>
      </c>
      <c r="D38" t="s">
        <v>148</v>
      </c>
      <c r="E38" t="s">
        <v>149</v>
      </c>
      <c r="F38" t="s">
        <v>150</v>
      </c>
      <c r="G38" t="s">
        <v>151</v>
      </c>
      <c r="H38" s="3">
        <v>270</v>
      </c>
      <c r="I38">
        <v>2</v>
      </c>
      <c r="J38" t="s">
        <v>56</v>
      </c>
      <c r="K38">
        <v>39.5</v>
      </c>
      <c r="L38">
        <v>49.7</v>
      </c>
      <c r="M38">
        <v>1</v>
      </c>
      <c r="N38" t="s">
        <v>56</v>
      </c>
      <c r="O38" t="s">
        <v>151</v>
      </c>
      <c r="P38">
        <v>89.6</v>
      </c>
      <c r="Q38">
        <v>0.8</v>
      </c>
      <c r="R38">
        <v>9</v>
      </c>
      <c r="S38">
        <v>0.1</v>
      </c>
      <c r="T38">
        <v>0.1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0.4</v>
      </c>
      <c r="AC38" t="s">
        <v>151</v>
      </c>
      <c r="AD38">
        <v>50</v>
      </c>
      <c r="AE38" t="s">
        <v>151</v>
      </c>
      <c r="AF38" s="4" t="s">
        <v>80</v>
      </c>
      <c r="AG38" s="4">
        <v>129</v>
      </c>
      <c r="AH38" s="4" t="s">
        <v>81</v>
      </c>
      <c r="AI38" s="4">
        <v>141</v>
      </c>
      <c r="AJ38" t="s">
        <v>151</v>
      </c>
      <c r="AK38" t="s">
        <v>56</v>
      </c>
      <c r="AL38" t="s">
        <v>150</v>
      </c>
      <c r="AM38">
        <v>8</v>
      </c>
      <c r="AN38">
        <v>0</v>
      </c>
      <c r="AO38">
        <v>9</v>
      </c>
      <c r="AP38">
        <v>0</v>
      </c>
      <c r="AQ38" s="5">
        <v>24</v>
      </c>
      <c r="AR38">
        <v>14</v>
      </c>
      <c r="AS38">
        <v>0</v>
      </c>
      <c r="AT38">
        <v>15</v>
      </c>
      <c r="AU38">
        <v>0</v>
      </c>
      <c r="AV38" s="5">
        <v>25</v>
      </c>
      <c r="AW38" t="s">
        <v>56</v>
      </c>
      <c r="AX38" s="6">
        <v>294</v>
      </c>
      <c r="AY38" t="s">
        <v>151</v>
      </c>
      <c r="AZ38" t="s">
        <v>56</v>
      </c>
    </row>
    <row r="39" spans="1:52" hidden="1" x14ac:dyDescent="0.45">
      <c r="A39">
        <v>499470.16332295898</v>
      </c>
      <c r="B39">
        <v>6917907.8593886597</v>
      </c>
      <c r="C39">
        <v>38</v>
      </c>
      <c r="D39" t="s">
        <v>152</v>
      </c>
      <c r="E39" t="s">
        <v>153</v>
      </c>
      <c r="F39" t="s">
        <v>154</v>
      </c>
      <c r="G39" t="s">
        <v>151</v>
      </c>
      <c r="H39" s="3">
        <v>3809</v>
      </c>
      <c r="I39">
        <v>2</v>
      </c>
      <c r="J39" t="s">
        <v>56</v>
      </c>
      <c r="K39">
        <v>67.900000000000006</v>
      </c>
      <c r="L39">
        <v>75.2</v>
      </c>
      <c r="M39">
        <v>1</v>
      </c>
      <c r="N39" t="s">
        <v>56</v>
      </c>
      <c r="O39" t="s">
        <v>151</v>
      </c>
      <c r="P39">
        <v>75.3</v>
      </c>
      <c r="Q39">
        <v>1.6</v>
      </c>
      <c r="R39">
        <v>20.8</v>
      </c>
      <c r="S39">
        <v>0.4</v>
      </c>
      <c r="T39">
        <v>0.1</v>
      </c>
      <c r="U39">
        <v>0</v>
      </c>
      <c r="V39">
        <v>1</v>
      </c>
      <c r="W39">
        <v>0.1</v>
      </c>
      <c r="X39">
        <v>0.2</v>
      </c>
      <c r="Y39">
        <v>0.2</v>
      </c>
      <c r="Z39">
        <v>0</v>
      </c>
      <c r="AA39">
        <v>0</v>
      </c>
      <c r="AB39">
        <v>0.3</v>
      </c>
      <c r="AC39" t="s">
        <v>151</v>
      </c>
      <c r="AD39">
        <v>60</v>
      </c>
      <c r="AE39" t="s">
        <v>151</v>
      </c>
      <c r="AF39" s="4" t="s">
        <v>57</v>
      </c>
      <c r="AG39" s="4">
        <v>1906</v>
      </c>
      <c r="AH39" s="4" t="s">
        <v>58</v>
      </c>
      <c r="AI39" s="4">
        <v>1903</v>
      </c>
      <c r="AJ39" t="s">
        <v>151</v>
      </c>
      <c r="AK39" t="s">
        <v>56</v>
      </c>
      <c r="AL39" t="s">
        <v>154</v>
      </c>
      <c r="AM39">
        <v>8</v>
      </c>
      <c r="AN39">
        <v>0</v>
      </c>
      <c r="AO39">
        <v>9</v>
      </c>
      <c r="AP39">
        <v>0</v>
      </c>
      <c r="AQ39" s="5">
        <v>292</v>
      </c>
      <c r="AR39">
        <v>17</v>
      </c>
      <c r="AS39">
        <v>0</v>
      </c>
      <c r="AT39">
        <v>18</v>
      </c>
      <c r="AU39">
        <v>0</v>
      </c>
      <c r="AV39" s="5">
        <v>331</v>
      </c>
      <c r="AW39" t="s">
        <v>56</v>
      </c>
      <c r="AX39" s="6">
        <v>4029</v>
      </c>
      <c r="AY39" t="s">
        <v>151</v>
      </c>
      <c r="AZ39" t="s">
        <v>56</v>
      </c>
    </row>
    <row r="40" spans="1:52" hidden="1" x14ac:dyDescent="0.45">
      <c r="A40">
        <v>498515.21741793002</v>
      </c>
      <c r="B40">
        <v>6918063.4156377399</v>
      </c>
      <c r="C40">
        <v>39</v>
      </c>
      <c r="D40" t="s">
        <v>152</v>
      </c>
      <c r="E40" t="s">
        <v>153</v>
      </c>
      <c r="F40" t="s">
        <v>155</v>
      </c>
      <c r="G40" t="s">
        <v>151</v>
      </c>
      <c r="H40" s="3">
        <v>2517</v>
      </c>
      <c r="I40">
        <v>2</v>
      </c>
      <c r="J40" t="s">
        <v>56</v>
      </c>
      <c r="K40">
        <v>63.8</v>
      </c>
      <c r="L40">
        <v>71.3</v>
      </c>
      <c r="M40">
        <v>1</v>
      </c>
      <c r="N40" t="s">
        <v>56</v>
      </c>
      <c r="O40" t="s">
        <v>151</v>
      </c>
      <c r="P40">
        <v>75</v>
      </c>
      <c r="Q40">
        <v>1.7</v>
      </c>
      <c r="R40">
        <v>20.7</v>
      </c>
      <c r="S40">
        <v>0.5</v>
      </c>
      <c r="T40">
        <v>0.1</v>
      </c>
      <c r="U40">
        <v>0</v>
      </c>
      <c r="V40">
        <v>1</v>
      </c>
      <c r="W40">
        <v>0.1</v>
      </c>
      <c r="X40">
        <v>0.3</v>
      </c>
      <c r="Y40">
        <v>0.3</v>
      </c>
      <c r="Z40">
        <v>0</v>
      </c>
      <c r="AA40">
        <v>0</v>
      </c>
      <c r="AB40">
        <v>0.3</v>
      </c>
      <c r="AC40" t="s">
        <v>151</v>
      </c>
      <c r="AD40">
        <v>60</v>
      </c>
      <c r="AE40" t="s">
        <v>151</v>
      </c>
      <c r="AF40" s="4" t="s">
        <v>57</v>
      </c>
      <c r="AG40" s="4">
        <v>1257</v>
      </c>
      <c r="AH40" s="4" t="s">
        <v>58</v>
      </c>
      <c r="AI40" s="4">
        <v>1260</v>
      </c>
      <c r="AJ40" t="s">
        <v>151</v>
      </c>
      <c r="AK40" t="s">
        <v>56</v>
      </c>
      <c r="AL40" t="s">
        <v>155</v>
      </c>
      <c r="AM40">
        <v>8</v>
      </c>
      <c r="AN40">
        <v>0</v>
      </c>
      <c r="AO40">
        <v>9</v>
      </c>
      <c r="AP40">
        <v>0</v>
      </c>
      <c r="AQ40" s="5">
        <v>181</v>
      </c>
      <c r="AR40">
        <v>17</v>
      </c>
      <c r="AS40">
        <v>0</v>
      </c>
      <c r="AT40">
        <v>18</v>
      </c>
      <c r="AU40">
        <v>0</v>
      </c>
      <c r="AV40" s="5">
        <v>224</v>
      </c>
      <c r="AW40" t="s">
        <v>56</v>
      </c>
      <c r="AX40" s="6">
        <v>2642</v>
      </c>
      <c r="AY40" t="s">
        <v>151</v>
      </c>
      <c r="AZ40" t="s">
        <v>56</v>
      </c>
    </row>
    <row r="41" spans="1:52" hidden="1" x14ac:dyDescent="0.45">
      <c r="A41">
        <v>516146.75959134899</v>
      </c>
      <c r="B41">
        <v>6932974.5076671401</v>
      </c>
      <c r="C41">
        <v>40</v>
      </c>
      <c r="D41" t="s">
        <v>156</v>
      </c>
      <c r="E41" t="s">
        <v>157</v>
      </c>
      <c r="F41" t="s">
        <v>158</v>
      </c>
      <c r="G41" t="s">
        <v>159</v>
      </c>
      <c r="H41" s="3">
        <v>2935</v>
      </c>
      <c r="I41">
        <v>2</v>
      </c>
      <c r="J41" t="s">
        <v>56</v>
      </c>
      <c r="K41">
        <v>73.400000000000006</v>
      </c>
      <c r="L41">
        <v>83.4</v>
      </c>
      <c r="M41">
        <v>1</v>
      </c>
      <c r="N41" t="s">
        <v>56</v>
      </c>
      <c r="O41" t="s">
        <v>159</v>
      </c>
      <c r="P41">
        <v>78.400000000000006</v>
      </c>
      <c r="Q41">
        <v>1.7</v>
      </c>
      <c r="R41">
        <v>17.8</v>
      </c>
      <c r="S41">
        <v>0.7</v>
      </c>
      <c r="T41">
        <v>0.1</v>
      </c>
      <c r="U41">
        <v>0</v>
      </c>
      <c r="V41">
        <v>0.8</v>
      </c>
      <c r="W41">
        <v>0.1</v>
      </c>
      <c r="X41">
        <v>0.1</v>
      </c>
      <c r="Y41">
        <v>0.1</v>
      </c>
      <c r="Z41">
        <v>0</v>
      </c>
      <c r="AA41">
        <v>0</v>
      </c>
      <c r="AB41">
        <v>0.2</v>
      </c>
      <c r="AC41" t="s">
        <v>159</v>
      </c>
      <c r="AD41">
        <v>60</v>
      </c>
      <c r="AE41" t="s">
        <v>159</v>
      </c>
      <c r="AF41" s="4" t="s">
        <v>80</v>
      </c>
      <c r="AG41" s="4">
        <v>1478</v>
      </c>
      <c r="AH41" s="4" t="s">
        <v>81</v>
      </c>
      <c r="AI41" s="4">
        <v>1457</v>
      </c>
      <c r="AJ41" t="s">
        <v>159</v>
      </c>
      <c r="AK41" t="s">
        <v>56</v>
      </c>
      <c r="AL41" t="s">
        <v>158</v>
      </c>
      <c r="AM41">
        <v>8</v>
      </c>
      <c r="AN41">
        <v>0</v>
      </c>
      <c r="AO41">
        <v>9</v>
      </c>
      <c r="AP41">
        <v>0</v>
      </c>
      <c r="AQ41" s="5">
        <v>232</v>
      </c>
      <c r="AR41">
        <v>17</v>
      </c>
      <c r="AS41">
        <v>0</v>
      </c>
      <c r="AT41">
        <v>18</v>
      </c>
      <c r="AU41">
        <v>0</v>
      </c>
      <c r="AV41" s="5">
        <v>253</v>
      </c>
      <c r="AW41" t="s">
        <v>56</v>
      </c>
      <c r="AX41" s="6">
        <v>3282</v>
      </c>
      <c r="AY41" t="s">
        <v>159</v>
      </c>
      <c r="AZ41" t="s">
        <v>56</v>
      </c>
    </row>
    <row r="42" spans="1:52" hidden="1" x14ac:dyDescent="0.45">
      <c r="A42">
        <v>513110.604959719</v>
      </c>
      <c r="B42">
        <v>6930757.9794720598</v>
      </c>
      <c r="C42">
        <v>41</v>
      </c>
      <c r="D42" t="s">
        <v>160</v>
      </c>
      <c r="E42" t="s">
        <v>161</v>
      </c>
      <c r="F42" t="s">
        <v>162</v>
      </c>
      <c r="G42" t="s">
        <v>159</v>
      </c>
      <c r="H42" s="3">
        <v>3029</v>
      </c>
      <c r="I42">
        <v>2</v>
      </c>
      <c r="J42" t="s">
        <v>56</v>
      </c>
      <c r="K42">
        <v>79.3</v>
      </c>
      <c r="L42">
        <v>86.8</v>
      </c>
      <c r="M42">
        <v>1</v>
      </c>
      <c r="N42" t="s">
        <v>56</v>
      </c>
      <c r="O42" t="s">
        <v>159</v>
      </c>
      <c r="P42">
        <v>74</v>
      </c>
      <c r="Q42">
        <v>1.7</v>
      </c>
      <c r="R42">
        <v>21.8</v>
      </c>
      <c r="S42">
        <v>0.9</v>
      </c>
      <c r="T42">
        <v>0.1</v>
      </c>
      <c r="U42">
        <v>0</v>
      </c>
      <c r="V42">
        <v>0.8</v>
      </c>
      <c r="W42">
        <v>0</v>
      </c>
      <c r="X42">
        <v>0.1</v>
      </c>
      <c r="Y42">
        <v>0.1</v>
      </c>
      <c r="Z42">
        <v>0</v>
      </c>
      <c r="AA42">
        <v>0</v>
      </c>
      <c r="AB42">
        <v>0.5</v>
      </c>
      <c r="AC42" t="s">
        <v>159</v>
      </c>
      <c r="AD42">
        <v>80</v>
      </c>
      <c r="AE42" t="s">
        <v>159</v>
      </c>
      <c r="AF42" s="4" t="s">
        <v>80</v>
      </c>
      <c r="AG42" s="4">
        <v>1514</v>
      </c>
      <c r="AH42" s="4" t="s">
        <v>81</v>
      </c>
      <c r="AI42" s="4">
        <v>1515</v>
      </c>
      <c r="AJ42" t="s">
        <v>159</v>
      </c>
      <c r="AK42" t="s">
        <v>56</v>
      </c>
      <c r="AL42" t="s">
        <v>162</v>
      </c>
      <c r="AM42">
        <v>8</v>
      </c>
      <c r="AN42">
        <v>0</v>
      </c>
      <c r="AO42">
        <v>9</v>
      </c>
      <c r="AP42">
        <v>0</v>
      </c>
      <c r="AQ42" s="5">
        <v>247</v>
      </c>
      <c r="AR42">
        <v>15</v>
      </c>
      <c r="AS42">
        <v>0</v>
      </c>
      <c r="AT42">
        <v>16</v>
      </c>
      <c r="AU42">
        <v>0</v>
      </c>
      <c r="AV42" s="5">
        <v>271</v>
      </c>
      <c r="AW42" t="s">
        <v>56</v>
      </c>
      <c r="AX42" s="6">
        <v>3380</v>
      </c>
      <c r="AY42" t="s">
        <v>159</v>
      </c>
      <c r="AZ42" t="s">
        <v>56</v>
      </c>
    </row>
    <row r="43" spans="1:52" hidden="1" x14ac:dyDescent="0.45">
      <c r="A43">
        <v>514131.9728552</v>
      </c>
      <c r="B43">
        <v>6931337.2743394403</v>
      </c>
      <c r="C43">
        <v>42</v>
      </c>
      <c r="D43" t="s">
        <v>160</v>
      </c>
      <c r="E43" t="s">
        <v>161</v>
      </c>
      <c r="F43" t="s">
        <v>163</v>
      </c>
      <c r="G43" t="s">
        <v>159</v>
      </c>
      <c r="H43" s="3">
        <v>3135</v>
      </c>
      <c r="I43">
        <v>2</v>
      </c>
      <c r="J43" t="s">
        <v>56</v>
      </c>
      <c r="K43">
        <v>67.7</v>
      </c>
      <c r="L43">
        <v>76</v>
      </c>
      <c r="M43">
        <v>1</v>
      </c>
      <c r="N43" t="s">
        <v>56</v>
      </c>
      <c r="O43" t="s">
        <v>159</v>
      </c>
      <c r="P43">
        <v>76.2</v>
      </c>
      <c r="Q43">
        <v>1.8</v>
      </c>
      <c r="R43">
        <v>20.100000000000001</v>
      </c>
      <c r="S43">
        <v>0.5</v>
      </c>
      <c r="T43">
        <v>0.1</v>
      </c>
      <c r="U43">
        <v>0</v>
      </c>
      <c r="V43">
        <v>0.8</v>
      </c>
      <c r="W43">
        <v>0</v>
      </c>
      <c r="X43">
        <v>0.1</v>
      </c>
      <c r="Y43">
        <v>0.1</v>
      </c>
      <c r="Z43">
        <v>0</v>
      </c>
      <c r="AA43">
        <v>0</v>
      </c>
      <c r="AB43">
        <v>0.3</v>
      </c>
      <c r="AC43" t="s">
        <v>159</v>
      </c>
      <c r="AD43">
        <v>80</v>
      </c>
      <c r="AE43" t="s">
        <v>159</v>
      </c>
      <c r="AF43" s="4" t="s">
        <v>80</v>
      </c>
      <c r="AG43" s="4">
        <v>1570</v>
      </c>
      <c r="AH43" s="4" t="s">
        <v>81</v>
      </c>
      <c r="AI43" s="4">
        <v>1565</v>
      </c>
      <c r="AJ43" t="s">
        <v>159</v>
      </c>
      <c r="AK43" t="s">
        <v>56</v>
      </c>
      <c r="AL43" t="s">
        <v>163</v>
      </c>
      <c r="AM43">
        <v>8</v>
      </c>
      <c r="AN43">
        <v>0</v>
      </c>
      <c r="AO43">
        <v>9</v>
      </c>
      <c r="AP43">
        <v>0</v>
      </c>
      <c r="AQ43" s="5">
        <v>255</v>
      </c>
      <c r="AR43">
        <v>15</v>
      </c>
      <c r="AS43">
        <v>0</v>
      </c>
      <c r="AT43">
        <v>16</v>
      </c>
      <c r="AU43">
        <v>0</v>
      </c>
      <c r="AV43" s="5">
        <v>280</v>
      </c>
      <c r="AW43" t="s">
        <v>56</v>
      </c>
      <c r="AX43" s="6">
        <v>3504</v>
      </c>
      <c r="AY43" t="s">
        <v>159</v>
      </c>
      <c r="AZ43" t="s">
        <v>56</v>
      </c>
    </row>
    <row r="44" spans="1:52" hidden="1" x14ac:dyDescent="0.45">
      <c r="A44">
        <v>515298.29471016699</v>
      </c>
      <c r="B44">
        <v>6931972.5732219797</v>
      </c>
      <c r="C44">
        <v>43</v>
      </c>
      <c r="D44" t="s">
        <v>160</v>
      </c>
      <c r="E44" t="s">
        <v>157</v>
      </c>
      <c r="F44" t="s">
        <v>164</v>
      </c>
      <c r="G44" t="s">
        <v>159</v>
      </c>
      <c r="H44" s="3">
        <v>2753</v>
      </c>
      <c r="I44">
        <v>2</v>
      </c>
      <c r="J44" t="s">
        <v>56</v>
      </c>
      <c r="K44">
        <v>62.4</v>
      </c>
      <c r="L44">
        <v>69.099999999999994</v>
      </c>
      <c r="M44">
        <v>1</v>
      </c>
      <c r="N44" t="s">
        <v>56</v>
      </c>
      <c r="O44" t="s">
        <v>159</v>
      </c>
      <c r="P44">
        <v>79.7</v>
      </c>
      <c r="Q44">
        <v>1.8</v>
      </c>
      <c r="R44">
        <v>16.600000000000001</v>
      </c>
      <c r="S44">
        <v>0.5</v>
      </c>
      <c r="T44">
        <v>0.1</v>
      </c>
      <c r="U44">
        <v>0</v>
      </c>
      <c r="V44">
        <v>0.7</v>
      </c>
      <c r="W44">
        <v>0.1</v>
      </c>
      <c r="X44">
        <v>0.1</v>
      </c>
      <c r="Y44">
        <v>0.1</v>
      </c>
      <c r="Z44">
        <v>0</v>
      </c>
      <c r="AA44">
        <v>0</v>
      </c>
      <c r="AB44">
        <v>0.3</v>
      </c>
      <c r="AC44" t="s">
        <v>159</v>
      </c>
      <c r="AD44">
        <v>60</v>
      </c>
      <c r="AE44" t="s">
        <v>159</v>
      </c>
      <c r="AF44" s="4" t="s">
        <v>80</v>
      </c>
      <c r="AG44" s="4">
        <v>1384</v>
      </c>
      <c r="AH44" s="4" t="s">
        <v>81</v>
      </c>
      <c r="AI44" s="4">
        <v>1369</v>
      </c>
      <c r="AJ44" t="s">
        <v>159</v>
      </c>
      <c r="AK44" t="s">
        <v>56</v>
      </c>
      <c r="AL44" t="s">
        <v>164</v>
      </c>
      <c r="AM44">
        <v>8</v>
      </c>
      <c r="AN44">
        <v>0</v>
      </c>
      <c r="AO44">
        <v>9</v>
      </c>
      <c r="AP44">
        <v>0</v>
      </c>
      <c r="AQ44" s="5">
        <v>223</v>
      </c>
      <c r="AR44">
        <v>17</v>
      </c>
      <c r="AS44">
        <v>0</v>
      </c>
      <c r="AT44">
        <v>18</v>
      </c>
      <c r="AU44">
        <v>0</v>
      </c>
      <c r="AV44" s="5">
        <v>241</v>
      </c>
      <c r="AW44" t="s">
        <v>56</v>
      </c>
      <c r="AX44" s="6">
        <v>3131</v>
      </c>
      <c r="AY44" t="s">
        <v>159</v>
      </c>
      <c r="AZ44" t="s">
        <v>56</v>
      </c>
    </row>
    <row r="45" spans="1:52" hidden="1" x14ac:dyDescent="0.45">
      <c r="A45">
        <v>509077.95135569101</v>
      </c>
      <c r="B45">
        <v>6930034.4550536796</v>
      </c>
      <c r="C45">
        <v>44</v>
      </c>
      <c r="D45" t="s">
        <v>165</v>
      </c>
      <c r="E45" t="s">
        <v>166</v>
      </c>
      <c r="F45" t="s">
        <v>167</v>
      </c>
      <c r="G45" t="s">
        <v>168</v>
      </c>
      <c r="H45" s="3">
        <v>5573</v>
      </c>
      <c r="I45">
        <v>2</v>
      </c>
      <c r="J45" t="s">
        <v>56</v>
      </c>
      <c r="K45">
        <v>61</v>
      </c>
      <c r="L45">
        <v>67.7</v>
      </c>
      <c r="M45">
        <v>1</v>
      </c>
      <c r="N45" t="s">
        <v>56</v>
      </c>
      <c r="O45" t="s">
        <v>168</v>
      </c>
      <c r="P45">
        <v>70.099999999999994</v>
      </c>
      <c r="Q45">
        <v>1.5741571593385499</v>
      </c>
      <c r="R45">
        <v>25.4352006153057</v>
      </c>
      <c r="S45">
        <v>1.0152544545571101</v>
      </c>
      <c r="T45">
        <v>0.107678502756057</v>
      </c>
      <c r="U45">
        <v>4.1020382002307398E-2</v>
      </c>
      <c r="V45">
        <v>1.07934880143571</v>
      </c>
      <c r="W45">
        <v>0.20253813613639299</v>
      </c>
      <c r="X45">
        <v>0.27688757851557499</v>
      </c>
      <c r="Y45">
        <v>0.21792077938725801</v>
      </c>
      <c r="Z45">
        <v>7.4349442379182201E-2</v>
      </c>
      <c r="AA45">
        <v>0</v>
      </c>
      <c r="AB45">
        <v>0.34610947314446899</v>
      </c>
      <c r="AC45" t="s">
        <v>168</v>
      </c>
      <c r="AD45">
        <v>60</v>
      </c>
      <c r="AE45" t="s">
        <v>168</v>
      </c>
      <c r="AF45" s="4" t="s">
        <v>80</v>
      </c>
      <c r="AG45" s="4">
        <v>2866</v>
      </c>
      <c r="AH45" s="4" t="s">
        <v>81</v>
      </c>
      <c r="AI45" s="4">
        <v>2707</v>
      </c>
      <c r="AJ45" t="s">
        <v>168</v>
      </c>
      <c r="AK45" t="s">
        <v>56</v>
      </c>
      <c r="AL45" t="s">
        <v>167</v>
      </c>
      <c r="AM45" s="1">
        <v>0.33333333333333331</v>
      </c>
      <c r="AN45">
        <v>0</v>
      </c>
      <c r="AO45" s="1">
        <v>0.375</v>
      </c>
      <c r="AP45">
        <v>0</v>
      </c>
      <c r="AQ45" s="5">
        <v>522</v>
      </c>
      <c r="AR45" s="1">
        <v>0.625</v>
      </c>
      <c r="AS45">
        <v>0</v>
      </c>
      <c r="AT45" s="1">
        <v>0.66666666666666663</v>
      </c>
      <c r="AU45">
        <v>0</v>
      </c>
      <c r="AV45" s="5">
        <v>592</v>
      </c>
      <c r="AW45" t="s">
        <v>56</v>
      </c>
      <c r="AX45" s="6">
        <v>6122</v>
      </c>
      <c r="AY45" t="s">
        <v>168</v>
      </c>
      <c r="AZ45" t="s">
        <v>56</v>
      </c>
    </row>
    <row r="46" spans="1:52" hidden="1" x14ac:dyDescent="0.45">
      <c r="A46">
        <v>496923.85343175201</v>
      </c>
      <c r="B46">
        <v>6936147.5775536904</v>
      </c>
      <c r="C46">
        <v>45</v>
      </c>
      <c r="D46" t="s">
        <v>169</v>
      </c>
      <c r="E46" t="s">
        <v>170</v>
      </c>
      <c r="F46" t="s">
        <v>171</v>
      </c>
      <c r="G46" t="s">
        <v>168</v>
      </c>
      <c r="H46" s="3">
        <v>1714</v>
      </c>
      <c r="I46">
        <v>2</v>
      </c>
      <c r="J46" t="s">
        <v>56</v>
      </c>
      <c r="K46">
        <v>76.7</v>
      </c>
      <c r="L46">
        <v>86.8</v>
      </c>
      <c r="M46">
        <v>1</v>
      </c>
      <c r="N46" t="s">
        <v>56</v>
      </c>
      <c r="O46" t="s">
        <v>168</v>
      </c>
      <c r="P46">
        <v>78.3</v>
      </c>
      <c r="Q46">
        <v>1.2589628147406999</v>
      </c>
      <c r="R46">
        <v>18.842754710688698</v>
      </c>
      <c r="S46">
        <v>0.76705019176254796</v>
      </c>
      <c r="T46">
        <v>3.3350008337502103E-2</v>
      </c>
      <c r="U46">
        <v>1.6675004168751E-2</v>
      </c>
      <c r="V46">
        <v>0.61697515424378901</v>
      </c>
      <c r="W46">
        <v>0.17508754377188601</v>
      </c>
      <c r="X46">
        <v>0.19176254794063699</v>
      </c>
      <c r="Y46">
        <v>0.108387527096882</v>
      </c>
      <c r="Z46">
        <v>3.3350008337502103E-2</v>
      </c>
      <c r="AA46">
        <v>0</v>
      </c>
      <c r="AB46">
        <v>0.150075037518759</v>
      </c>
      <c r="AC46" t="s">
        <v>168</v>
      </c>
      <c r="AD46">
        <v>80</v>
      </c>
      <c r="AE46" t="s">
        <v>168</v>
      </c>
      <c r="AF46" s="4" t="s">
        <v>57</v>
      </c>
      <c r="AG46" s="4">
        <v>870</v>
      </c>
      <c r="AH46" s="4" t="s">
        <v>58</v>
      </c>
      <c r="AI46" s="4">
        <v>844</v>
      </c>
      <c r="AJ46" t="s">
        <v>168</v>
      </c>
      <c r="AK46" t="s">
        <v>56</v>
      </c>
      <c r="AL46" t="s">
        <v>171</v>
      </c>
      <c r="AM46" s="1">
        <v>0.33333333333333331</v>
      </c>
      <c r="AN46">
        <v>0</v>
      </c>
      <c r="AO46" s="1">
        <v>0.375</v>
      </c>
      <c r="AP46">
        <v>0</v>
      </c>
      <c r="AQ46" s="5">
        <v>152</v>
      </c>
      <c r="AR46" s="1">
        <v>0.66666666666666663</v>
      </c>
      <c r="AS46">
        <v>0</v>
      </c>
      <c r="AT46" s="1">
        <v>0.70833333333333337</v>
      </c>
      <c r="AU46">
        <v>0</v>
      </c>
      <c r="AV46" s="5">
        <v>163</v>
      </c>
      <c r="AW46" t="s">
        <v>56</v>
      </c>
      <c r="AX46" s="6">
        <v>1803.6</v>
      </c>
      <c r="AY46" t="s">
        <v>168</v>
      </c>
      <c r="AZ46" t="s">
        <v>56</v>
      </c>
    </row>
    <row r="47" spans="1:52" hidden="1" x14ac:dyDescent="0.45">
      <c r="A47">
        <v>495223.97363983898</v>
      </c>
      <c r="B47">
        <v>6936430.6003862498</v>
      </c>
      <c r="C47">
        <v>46</v>
      </c>
      <c r="D47" t="s">
        <v>169</v>
      </c>
      <c r="E47" t="s">
        <v>170</v>
      </c>
      <c r="F47" t="s">
        <v>172</v>
      </c>
      <c r="G47" t="s">
        <v>168</v>
      </c>
      <c r="H47" s="3">
        <v>1330</v>
      </c>
      <c r="I47">
        <v>2</v>
      </c>
      <c r="J47" t="s">
        <v>56</v>
      </c>
      <c r="K47">
        <v>79</v>
      </c>
      <c r="L47">
        <v>87.8</v>
      </c>
      <c r="M47">
        <v>1</v>
      </c>
      <c r="N47" t="s">
        <v>56</v>
      </c>
      <c r="O47" t="s">
        <v>168</v>
      </c>
      <c r="P47">
        <v>75.8</v>
      </c>
      <c r="Q47">
        <v>1.21387904178752</v>
      </c>
      <c r="R47">
        <v>20.979697067354198</v>
      </c>
      <c r="S47">
        <v>0.934579439252336</v>
      </c>
      <c r="T47">
        <v>2.1484584810398499E-2</v>
      </c>
      <c r="U47">
        <v>0</v>
      </c>
      <c r="V47">
        <v>0.70899129874315203</v>
      </c>
      <c r="W47">
        <v>0.118165216457192</v>
      </c>
      <c r="X47">
        <v>0.31152647975077902</v>
      </c>
      <c r="Y47">
        <v>1.07422924051993E-2</v>
      </c>
      <c r="Z47">
        <v>0</v>
      </c>
      <c r="AA47">
        <v>0</v>
      </c>
      <c r="AB47">
        <v>0.19336126329358699</v>
      </c>
      <c r="AC47" t="s">
        <v>168</v>
      </c>
      <c r="AD47">
        <v>80</v>
      </c>
      <c r="AE47" t="s">
        <v>168</v>
      </c>
      <c r="AF47" s="4" t="s">
        <v>57</v>
      </c>
      <c r="AG47" s="4">
        <v>679</v>
      </c>
      <c r="AH47" s="4" t="s">
        <v>58</v>
      </c>
      <c r="AI47" s="4">
        <v>651</v>
      </c>
      <c r="AJ47" t="s">
        <v>168</v>
      </c>
      <c r="AK47" t="s">
        <v>56</v>
      </c>
      <c r="AL47" t="s">
        <v>172</v>
      </c>
      <c r="AM47" s="1">
        <v>0.33333333333333331</v>
      </c>
      <c r="AN47">
        <v>0</v>
      </c>
      <c r="AO47" s="1">
        <v>0.375</v>
      </c>
      <c r="AP47">
        <v>0</v>
      </c>
      <c r="AQ47" s="5">
        <v>108</v>
      </c>
      <c r="AR47" s="1">
        <v>0.66666666666666663</v>
      </c>
      <c r="AS47">
        <v>0</v>
      </c>
      <c r="AT47" s="1">
        <v>0.70833333333333337</v>
      </c>
      <c r="AU47">
        <v>0</v>
      </c>
      <c r="AV47" s="5">
        <v>134</v>
      </c>
      <c r="AW47" t="s">
        <v>56</v>
      </c>
      <c r="AX47" s="6">
        <v>1412.6</v>
      </c>
      <c r="AY47" t="s">
        <v>168</v>
      </c>
      <c r="AZ47" t="s">
        <v>56</v>
      </c>
    </row>
    <row r="48" spans="1:52" hidden="1" x14ac:dyDescent="0.45">
      <c r="A48">
        <v>507064.831547532</v>
      </c>
      <c r="B48">
        <v>6935377.1666117003</v>
      </c>
      <c r="C48">
        <v>47</v>
      </c>
      <c r="D48" t="s">
        <v>173</v>
      </c>
      <c r="E48" t="s">
        <v>174</v>
      </c>
      <c r="F48" t="s">
        <v>175</v>
      </c>
      <c r="G48" t="s">
        <v>176</v>
      </c>
      <c r="H48" s="3">
        <v>6932</v>
      </c>
      <c r="I48">
        <v>2</v>
      </c>
      <c r="J48" t="s">
        <v>56</v>
      </c>
      <c r="K48">
        <v>72.599999999999994</v>
      </c>
      <c r="L48">
        <v>79.599999999999994</v>
      </c>
      <c r="M48">
        <v>1</v>
      </c>
      <c r="N48" t="s">
        <v>56</v>
      </c>
      <c r="O48" t="s">
        <v>176</v>
      </c>
      <c r="P48">
        <v>78.7</v>
      </c>
      <c r="Q48">
        <v>1.1459428265215701</v>
      </c>
      <c r="R48">
        <v>18.310352645355401</v>
      </c>
      <c r="S48">
        <v>0.78319833467301503</v>
      </c>
      <c r="T48">
        <v>0.166944908180301</v>
      </c>
      <c r="U48">
        <v>3.9159916733650699E-2</v>
      </c>
      <c r="V48">
        <v>0.65747439147550402</v>
      </c>
      <c r="W48">
        <v>9.8930315958696599E-2</v>
      </c>
      <c r="X48">
        <v>0.31740143036748503</v>
      </c>
      <c r="Y48">
        <v>8.2441929965580502E-2</v>
      </c>
      <c r="Z48">
        <v>1.4427337743976599E-2</v>
      </c>
      <c r="AA48">
        <v>0</v>
      </c>
      <c r="AB48">
        <v>0.201982728415672</v>
      </c>
      <c r="AC48" t="s">
        <v>176</v>
      </c>
      <c r="AD48">
        <v>70</v>
      </c>
      <c r="AE48" t="s">
        <v>176</v>
      </c>
      <c r="AF48" s="4" t="s">
        <v>57</v>
      </c>
      <c r="AG48" s="4">
        <v>3432</v>
      </c>
      <c r="AH48" s="4" t="s">
        <v>58</v>
      </c>
      <c r="AI48" s="4">
        <v>3500</v>
      </c>
      <c r="AJ48" t="s">
        <v>176</v>
      </c>
      <c r="AK48" t="s">
        <v>56</v>
      </c>
      <c r="AL48" t="s">
        <v>175</v>
      </c>
      <c r="AM48" s="1">
        <v>0.33333333333333331</v>
      </c>
      <c r="AN48">
        <v>0</v>
      </c>
      <c r="AO48" s="1">
        <v>0.375</v>
      </c>
      <c r="AP48">
        <v>0</v>
      </c>
      <c r="AQ48" s="5">
        <v>662</v>
      </c>
      <c r="AR48" s="1">
        <v>0.625</v>
      </c>
      <c r="AS48">
        <v>0</v>
      </c>
      <c r="AT48" s="1">
        <v>0.66666666666666663</v>
      </c>
      <c r="AU48">
        <v>0</v>
      </c>
      <c r="AV48" s="5">
        <v>779</v>
      </c>
      <c r="AW48" t="s">
        <v>56</v>
      </c>
      <c r="AX48" s="6">
        <v>7507.2</v>
      </c>
      <c r="AY48" t="s">
        <v>176</v>
      </c>
      <c r="AZ48" t="s">
        <v>56</v>
      </c>
    </row>
    <row r="49" spans="1:52" hidden="1" x14ac:dyDescent="0.45">
      <c r="A49">
        <v>511378.015901534</v>
      </c>
      <c r="B49">
        <v>6934265.0781620303</v>
      </c>
      <c r="C49">
        <v>48</v>
      </c>
      <c r="D49" t="s">
        <v>177</v>
      </c>
      <c r="E49" t="s">
        <v>178</v>
      </c>
      <c r="F49" t="s">
        <v>179</v>
      </c>
      <c r="G49" t="s">
        <v>168</v>
      </c>
      <c r="H49" s="3">
        <v>2908</v>
      </c>
      <c r="I49">
        <v>2</v>
      </c>
      <c r="J49" t="s">
        <v>56</v>
      </c>
      <c r="K49">
        <v>63.5</v>
      </c>
      <c r="L49">
        <v>73.400000000000006</v>
      </c>
      <c r="M49">
        <v>1</v>
      </c>
      <c r="N49" t="s">
        <v>56</v>
      </c>
      <c r="O49" t="s">
        <v>168</v>
      </c>
      <c r="P49">
        <v>74</v>
      </c>
      <c r="Q49">
        <v>1.4351009976900799</v>
      </c>
      <c r="R49">
        <v>22.1605150636457</v>
      </c>
      <c r="S49">
        <v>1.0419226421585499</v>
      </c>
      <c r="T49">
        <v>0.103209318327026</v>
      </c>
      <c r="U49">
        <v>9.8294588882881992E-3</v>
      </c>
      <c r="V49">
        <v>0.95837224160809997</v>
      </c>
      <c r="W49">
        <v>0.13269769499189099</v>
      </c>
      <c r="X49">
        <v>0.12778296554774701</v>
      </c>
      <c r="Y49">
        <v>0.12778296554774701</v>
      </c>
      <c r="Z49">
        <v>9.8294588882881992E-3</v>
      </c>
      <c r="AA49">
        <v>0</v>
      </c>
      <c r="AB49">
        <v>0.21624809554234001</v>
      </c>
      <c r="AC49" t="s">
        <v>168</v>
      </c>
      <c r="AD49">
        <v>60</v>
      </c>
      <c r="AE49" t="s">
        <v>168</v>
      </c>
      <c r="AF49" s="4" t="s">
        <v>80</v>
      </c>
      <c r="AG49" s="4">
        <v>1441</v>
      </c>
      <c r="AH49" s="4" t="s">
        <v>81</v>
      </c>
      <c r="AI49" s="4">
        <v>1467</v>
      </c>
      <c r="AJ49" t="s">
        <v>168</v>
      </c>
      <c r="AK49" t="s">
        <v>56</v>
      </c>
      <c r="AL49" t="s">
        <v>179</v>
      </c>
      <c r="AM49" s="1">
        <v>0.29166666666666669</v>
      </c>
      <c r="AN49">
        <v>0</v>
      </c>
      <c r="AO49" s="1">
        <v>0.33333333333333331</v>
      </c>
      <c r="AP49">
        <v>0</v>
      </c>
      <c r="AQ49" s="5">
        <v>266</v>
      </c>
      <c r="AR49" s="1">
        <v>0.625</v>
      </c>
      <c r="AS49">
        <v>0</v>
      </c>
      <c r="AT49" s="1">
        <v>0.66666666666666663</v>
      </c>
      <c r="AU49">
        <v>0</v>
      </c>
      <c r="AV49" s="5">
        <v>312</v>
      </c>
      <c r="AW49" t="s">
        <v>56</v>
      </c>
      <c r="AX49" s="6">
        <v>3157.2</v>
      </c>
      <c r="AY49" t="s">
        <v>168</v>
      </c>
      <c r="AZ49" t="s">
        <v>56</v>
      </c>
    </row>
    <row r="50" spans="1:52" hidden="1" x14ac:dyDescent="0.45">
      <c r="A50">
        <v>498480.62794710998</v>
      </c>
      <c r="B50">
        <v>6912869.1411778498</v>
      </c>
      <c r="C50">
        <v>49</v>
      </c>
      <c r="D50" t="s">
        <v>180</v>
      </c>
      <c r="E50" t="s">
        <v>181</v>
      </c>
      <c r="F50" t="s">
        <v>182</v>
      </c>
      <c r="G50" t="s">
        <v>183</v>
      </c>
      <c r="H50" s="3">
        <v>127</v>
      </c>
      <c r="I50">
        <v>2</v>
      </c>
      <c r="J50" t="s">
        <v>56</v>
      </c>
      <c r="K50">
        <v>51.2</v>
      </c>
      <c r="L50">
        <v>63.7</v>
      </c>
      <c r="M50">
        <v>1</v>
      </c>
      <c r="N50" t="s">
        <v>56</v>
      </c>
      <c r="O50" t="s">
        <v>183</v>
      </c>
      <c r="P50">
        <v>70.8</v>
      </c>
      <c r="Q50">
        <v>1.13250283125708</v>
      </c>
      <c r="R50">
        <v>24.0090600226501</v>
      </c>
      <c r="S50">
        <v>2.4915062287655698</v>
      </c>
      <c r="T50">
        <v>0</v>
      </c>
      <c r="U50">
        <v>0</v>
      </c>
      <c r="V50">
        <v>1.58550396375991</v>
      </c>
      <c r="W50">
        <v>0.11325028312570801</v>
      </c>
      <c r="X50">
        <v>0</v>
      </c>
      <c r="Y50">
        <v>0</v>
      </c>
      <c r="Z50">
        <v>0</v>
      </c>
      <c r="AA50">
        <v>0</v>
      </c>
      <c r="AB50">
        <v>0.11325028312570801</v>
      </c>
      <c r="AC50" t="s">
        <v>183</v>
      </c>
      <c r="AD50">
        <v>60</v>
      </c>
      <c r="AE50" t="s">
        <v>183</v>
      </c>
      <c r="AF50" s="4" t="s">
        <v>80</v>
      </c>
      <c r="AG50" s="4">
        <v>64</v>
      </c>
      <c r="AH50" s="4" t="s">
        <v>81</v>
      </c>
      <c r="AI50" s="4">
        <v>63</v>
      </c>
      <c r="AJ50" t="s">
        <v>183</v>
      </c>
      <c r="AK50" t="s">
        <v>56</v>
      </c>
      <c r="AL50" t="s">
        <v>182</v>
      </c>
      <c r="AM50" s="1">
        <v>0.33333333333333331</v>
      </c>
      <c r="AN50">
        <v>0</v>
      </c>
      <c r="AO50" s="1">
        <v>0.375</v>
      </c>
      <c r="AP50">
        <v>0</v>
      </c>
      <c r="AQ50" s="5">
        <v>23</v>
      </c>
      <c r="AR50" s="1">
        <v>0.625</v>
      </c>
      <c r="AS50">
        <v>0</v>
      </c>
      <c r="AT50" s="1">
        <v>0.66666666666666663</v>
      </c>
      <c r="AU50">
        <v>0</v>
      </c>
      <c r="AV50" s="5">
        <v>16</v>
      </c>
      <c r="AW50" t="s">
        <v>56</v>
      </c>
      <c r="AX50" s="6">
        <v>137.6</v>
      </c>
      <c r="AY50" t="s">
        <v>183</v>
      </c>
      <c r="AZ50" t="s">
        <v>56</v>
      </c>
    </row>
    <row r="51" spans="1:52" hidden="1" x14ac:dyDescent="0.45">
      <c r="A51">
        <v>509723.256930542</v>
      </c>
      <c r="B51">
        <v>6928601.6800207803</v>
      </c>
      <c r="C51">
        <v>50</v>
      </c>
      <c r="D51" t="s">
        <v>184</v>
      </c>
      <c r="E51" t="s">
        <v>166</v>
      </c>
      <c r="F51" t="s">
        <v>185</v>
      </c>
      <c r="G51" t="s">
        <v>186</v>
      </c>
      <c r="H51" s="3">
        <v>5454</v>
      </c>
      <c r="I51">
        <v>2</v>
      </c>
      <c r="J51" t="s">
        <v>56</v>
      </c>
      <c r="K51">
        <v>73.3</v>
      </c>
      <c r="L51">
        <v>80.599999999999994</v>
      </c>
      <c r="M51">
        <v>1</v>
      </c>
      <c r="N51" t="s">
        <v>56</v>
      </c>
      <c r="O51" t="s">
        <v>186</v>
      </c>
      <c r="P51">
        <v>72.3</v>
      </c>
      <c r="Q51">
        <v>1.67924132872262</v>
      </c>
      <c r="R51">
        <v>23.260505082259201</v>
      </c>
      <c r="S51">
        <v>1.04526878340145</v>
      </c>
      <c r="T51">
        <v>0.112648014251284</v>
      </c>
      <c r="U51">
        <v>2.6197212616577599E-2</v>
      </c>
      <c r="V51">
        <v>1.06098711097139</v>
      </c>
      <c r="W51">
        <v>0.20957770093262101</v>
      </c>
      <c r="X51">
        <v>0.29078906004401101</v>
      </c>
      <c r="Y51">
        <v>0.23839463481085599</v>
      </c>
      <c r="Z51">
        <v>4.19155401865242E-2</v>
      </c>
      <c r="AA51">
        <v>0</v>
      </c>
      <c r="AB51">
        <v>0.26459184742743402</v>
      </c>
      <c r="AC51" t="s">
        <v>186</v>
      </c>
      <c r="AD51">
        <v>80</v>
      </c>
      <c r="AE51" t="s">
        <v>186</v>
      </c>
      <c r="AF51" s="4" t="s">
        <v>57</v>
      </c>
      <c r="AG51" s="4">
        <v>2648</v>
      </c>
      <c r="AH51" s="4" t="s">
        <v>58</v>
      </c>
      <c r="AI51" s="4">
        <v>2806</v>
      </c>
      <c r="AJ51" t="s">
        <v>186</v>
      </c>
      <c r="AK51" t="s">
        <v>56</v>
      </c>
      <c r="AL51" t="s">
        <v>185</v>
      </c>
      <c r="AM51" s="1">
        <v>0.33333333333333331</v>
      </c>
      <c r="AN51">
        <v>0</v>
      </c>
      <c r="AO51" s="1">
        <v>0.375</v>
      </c>
      <c r="AP51">
        <v>0</v>
      </c>
      <c r="AQ51" s="5">
        <v>554</v>
      </c>
      <c r="AR51" s="1">
        <v>0.625</v>
      </c>
      <c r="AS51">
        <v>0</v>
      </c>
      <c r="AT51" s="1">
        <v>0.66666666666666663</v>
      </c>
      <c r="AU51">
        <v>0</v>
      </c>
      <c r="AV51" s="5">
        <v>616</v>
      </c>
      <c r="AW51" t="s">
        <v>56</v>
      </c>
      <c r="AX51" s="6">
        <v>5988.8</v>
      </c>
      <c r="AY51" t="s">
        <v>186</v>
      </c>
      <c r="AZ51" t="s">
        <v>56</v>
      </c>
    </row>
    <row r="52" spans="1:52" hidden="1" x14ac:dyDescent="0.45">
      <c r="A52">
        <v>517765.91321172297</v>
      </c>
      <c r="B52">
        <v>6931531.3314724704</v>
      </c>
      <c r="C52">
        <v>51</v>
      </c>
      <c r="D52" t="s">
        <v>187</v>
      </c>
      <c r="E52" t="s">
        <v>188</v>
      </c>
      <c r="F52" t="s">
        <v>189</v>
      </c>
      <c r="G52" t="s">
        <v>168</v>
      </c>
      <c r="H52" s="3">
        <v>1912</v>
      </c>
      <c r="I52">
        <v>2</v>
      </c>
      <c r="J52" t="s">
        <v>56</v>
      </c>
      <c r="K52">
        <v>67.099999999999994</v>
      </c>
      <c r="L52">
        <v>74.5</v>
      </c>
      <c r="M52">
        <v>1</v>
      </c>
      <c r="N52" t="s">
        <v>56</v>
      </c>
      <c r="O52" t="s">
        <v>168</v>
      </c>
      <c r="P52">
        <v>76.900000000000006</v>
      </c>
      <c r="Q52">
        <v>1.2183272292398499</v>
      </c>
      <c r="R52">
        <v>21.1151805067643</v>
      </c>
      <c r="S52">
        <v>0.38866880932805098</v>
      </c>
      <c r="T52">
        <v>2.2423200538156801E-2</v>
      </c>
      <c r="U52">
        <v>2.2423200538156801E-2</v>
      </c>
      <c r="V52">
        <v>0.32139920771358099</v>
      </c>
      <c r="W52">
        <v>1.49488003587712E-2</v>
      </c>
      <c r="X52">
        <v>4.4846401076313602E-2</v>
      </c>
      <c r="Y52">
        <v>7.4744001793856001E-3</v>
      </c>
      <c r="Z52">
        <v>0</v>
      </c>
      <c r="AA52">
        <v>0</v>
      </c>
      <c r="AB52">
        <v>0.24665520591972501</v>
      </c>
      <c r="AC52" t="s">
        <v>168</v>
      </c>
      <c r="AD52">
        <v>60</v>
      </c>
      <c r="AE52" t="s">
        <v>168</v>
      </c>
      <c r="AF52" s="4" t="s">
        <v>57</v>
      </c>
      <c r="AG52" s="4">
        <v>933</v>
      </c>
      <c r="AH52" s="4" t="s">
        <v>58</v>
      </c>
      <c r="AI52" s="4">
        <v>979</v>
      </c>
      <c r="AJ52" t="s">
        <v>168</v>
      </c>
      <c r="AK52" t="s">
        <v>56</v>
      </c>
      <c r="AL52" t="s">
        <v>189</v>
      </c>
      <c r="AM52" s="1">
        <v>0.33333333333333331</v>
      </c>
      <c r="AN52">
        <v>0</v>
      </c>
      <c r="AO52" s="1">
        <v>0.375</v>
      </c>
      <c r="AP52">
        <v>0</v>
      </c>
      <c r="AQ52" s="5">
        <v>261</v>
      </c>
      <c r="AR52" s="1">
        <v>0.625</v>
      </c>
      <c r="AS52">
        <v>0</v>
      </c>
      <c r="AT52" s="1">
        <v>0.66666666666666663</v>
      </c>
      <c r="AU52">
        <v>0</v>
      </c>
      <c r="AV52" s="5">
        <v>233</v>
      </c>
      <c r="AW52" t="s">
        <v>56</v>
      </c>
      <c r="AX52" s="6">
        <v>2066.8000000000002</v>
      </c>
      <c r="AY52" t="s">
        <v>168</v>
      </c>
      <c r="AZ52" t="s">
        <v>56</v>
      </c>
    </row>
    <row r="53" spans="1:52" hidden="1" x14ac:dyDescent="0.45">
      <c r="A53">
        <v>505909.433337275</v>
      </c>
      <c r="B53">
        <v>6923364.8545439802</v>
      </c>
      <c r="C53">
        <v>52</v>
      </c>
      <c r="D53" t="s">
        <v>190</v>
      </c>
      <c r="E53" t="s">
        <v>191</v>
      </c>
      <c r="F53" t="s">
        <v>192</v>
      </c>
      <c r="G53" t="s">
        <v>193</v>
      </c>
      <c r="H53" s="3">
        <v>254</v>
      </c>
      <c r="I53">
        <v>2</v>
      </c>
      <c r="J53" t="s">
        <v>56</v>
      </c>
      <c r="K53">
        <v>53.1</v>
      </c>
      <c r="L53">
        <v>67.3</v>
      </c>
      <c r="M53">
        <v>1</v>
      </c>
      <c r="N53" t="s">
        <v>56</v>
      </c>
      <c r="O53" t="s">
        <v>193</v>
      </c>
      <c r="P53">
        <v>76.400000000000006</v>
      </c>
      <c r="Q53">
        <v>2.1444695259593698</v>
      </c>
      <c r="R53">
        <v>18.002257336343099</v>
      </c>
      <c r="S53">
        <v>2.9345372460496599</v>
      </c>
      <c r="T53">
        <v>0</v>
      </c>
      <c r="U53">
        <v>0</v>
      </c>
      <c r="V53">
        <v>0.67720090293453705</v>
      </c>
      <c r="W53">
        <v>0</v>
      </c>
      <c r="X53">
        <v>5.6433408577878097E-2</v>
      </c>
      <c r="Y53">
        <v>5.6433408577878097E-2</v>
      </c>
      <c r="Z53">
        <v>0</v>
      </c>
      <c r="AA53">
        <v>0</v>
      </c>
      <c r="AB53">
        <v>0</v>
      </c>
      <c r="AC53" t="s">
        <v>193</v>
      </c>
      <c r="AD53">
        <v>60</v>
      </c>
      <c r="AE53" t="s">
        <v>193</v>
      </c>
      <c r="AF53" s="4" t="s">
        <v>57</v>
      </c>
      <c r="AG53" s="4">
        <v>131</v>
      </c>
      <c r="AH53" s="4" t="s">
        <v>58</v>
      </c>
      <c r="AI53" s="4">
        <v>123</v>
      </c>
      <c r="AJ53" t="s">
        <v>193</v>
      </c>
      <c r="AK53" t="s">
        <v>56</v>
      </c>
      <c r="AL53" t="s">
        <v>192</v>
      </c>
      <c r="AM53" s="1">
        <v>0.33333333333333331</v>
      </c>
      <c r="AN53">
        <v>0</v>
      </c>
      <c r="AO53" s="1">
        <v>0.375</v>
      </c>
      <c r="AP53">
        <v>0</v>
      </c>
      <c r="AQ53" s="5">
        <v>33</v>
      </c>
      <c r="AR53" s="1">
        <v>0.66666666666666663</v>
      </c>
      <c r="AS53">
        <v>0</v>
      </c>
      <c r="AT53" s="1">
        <v>0.70833333333333337</v>
      </c>
      <c r="AU53">
        <v>0</v>
      </c>
      <c r="AV53" s="5">
        <v>29</v>
      </c>
      <c r="AW53" t="s">
        <v>56</v>
      </c>
      <c r="AX53" s="6">
        <v>272.39999999999998</v>
      </c>
      <c r="AY53" t="s">
        <v>193</v>
      </c>
      <c r="AZ53" t="s">
        <v>56</v>
      </c>
    </row>
    <row r="54" spans="1:52" hidden="1" x14ac:dyDescent="0.45">
      <c r="A54">
        <v>527233.33268769505</v>
      </c>
      <c r="B54">
        <v>6939864.8470515897</v>
      </c>
      <c r="C54">
        <v>53</v>
      </c>
      <c r="D54" t="s">
        <v>194</v>
      </c>
      <c r="E54" t="s">
        <v>195</v>
      </c>
      <c r="F54" t="s">
        <v>196</v>
      </c>
      <c r="G54" t="s">
        <v>197</v>
      </c>
      <c r="H54" s="3">
        <v>468</v>
      </c>
      <c r="I54">
        <v>2</v>
      </c>
      <c r="J54" t="s">
        <v>56</v>
      </c>
      <c r="K54">
        <v>60</v>
      </c>
      <c r="L54">
        <v>69.8</v>
      </c>
      <c r="M54">
        <v>1</v>
      </c>
      <c r="N54" t="s">
        <v>56</v>
      </c>
      <c r="O54" t="s">
        <v>197</v>
      </c>
      <c r="P54">
        <v>73.8</v>
      </c>
      <c r="Q54">
        <v>1.92778457772338</v>
      </c>
      <c r="R54">
        <v>20.0122399020808</v>
      </c>
      <c r="S54">
        <v>1.1933904528763799</v>
      </c>
      <c r="T54">
        <v>0.36719706242350098</v>
      </c>
      <c r="U54">
        <v>0</v>
      </c>
      <c r="V54">
        <v>2.05018359853121</v>
      </c>
      <c r="W54">
        <v>9.1799265605875202E-2</v>
      </c>
      <c r="X54">
        <v>0.428396572827417</v>
      </c>
      <c r="Y54">
        <v>9.1799265605875202E-2</v>
      </c>
      <c r="Z54">
        <v>0</v>
      </c>
      <c r="AA54">
        <v>0</v>
      </c>
      <c r="AB54">
        <v>0.52019583843329298</v>
      </c>
      <c r="AC54" t="s">
        <v>197</v>
      </c>
      <c r="AD54">
        <v>70</v>
      </c>
      <c r="AE54" t="s">
        <v>197</v>
      </c>
      <c r="AF54" s="4" t="s">
        <v>80</v>
      </c>
      <c r="AG54" s="4">
        <v>235</v>
      </c>
      <c r="AH54" s="4" t="s">
        <v>81</v>
      </c>
      <c r="AI54" s="4">
        <v>233</v>
      </c>
      <c r="AJ54" t="s">
        <v>197</v>
      </c>
      <c r="AK54" t="s">
        <v>56</v>
      </c>
      <c r="AL54" t="s">
        <v>196</v>
      </c>
      <c r="AM54" s="1">
        <v>0.29166666666666669</v>
      </c>
      <c r="AN54">
        <v>0</v>
      </c>
      <c r="AO54" s="1">
        <v>0.33333333333333331</v>
      </c>
      <c r="AP54">
        <v>0</v>
      </c>
      <c r="AQ54" s="5">
        <v>50</v>
      </c>
      <c r="AR54" s="1">
        <v>0.70833333333333337</v>
      </c>
      <c r="AS54">
        <v>0</v>
      </c>
      <c r="AT54" s="1">
        <v>0.75</v>
      </c>
      <c r="AU54">
        <v>0</v>
      </c>
      <c r="AV54" s="5">
        <v>57</v>
      </c>
      <c r="AW54" t="s">
        <v>56</v>
      </c>
      <c r="AX54" s="6">
        <v>492.4</v>
      </c>
      <c r="AY54" t="s">
        <v>197</v>
      </c>
      <c r="AZ54" t="s">
        <v>56</v>
      </c>
    </row>
    <row r="55" spans="1:52" hidden="1" x14ac:dyDescent="0.45">
      <c r="A55">
        <v>512798.07851029601</v>
      </c>
      <c r="B55">
        <v>6928217.7681344897</v>
      </c>
      <c r="C55">
        <v>54</v>
      </c>
      <c r="D55" t="s">
        <v>198</v>
      </c>
      <c r="E55" t="s">
        <v>199</v>
      </c>
      <c r="F55" t="s">
        <v>200</v>
      </c>
      <c r="G55" t="s">
        <v>176</v>
      </c>
      <c r="H55" s="3">
        <v>357</v>
      </c>
      <c r="I55">
        <v>2</v>
      </c>
      <c r="J55" t="s">
        <v>56</v>
      </c>
      <c r="K55">
        <v>62.7</v>
      </c>
      <c r="L55">
        <v>73.099999999999994</v>
      </c>
      <c r="M55">
        <v>1</v>
      </c>
      <c r="N55" t="s">
        <v>56</v>
      </c>
      <c r="O55" t="s">
        <v>176</v>
      </c>
      <c r="P55">
        <v>72.099999999999994</v>
      </c>
      <c r="Q55">
        <v>1.48237179487179</v>
      </c>
      <c r="R55">
        <v>24.759615384615401</v>
      </c>
      <c r="S55">
        <v>0.60096153846153899</v>
      </c>
      <c r="T55">
        <v>0.44070512820512803</v>
      </c>
      <c r="U55">
        <v>0.16025641025640999</v>
      </c>
      <c r="V55">
        <v>0.40064102564102599</v>
      </c>
      <c r="W55">
        <v>8.0128205128205093E-2</v>
      </c>
      <c r="X55">
        <v>0.200320512820513</v>
      </c>
      <c r="Y55">
        <v>0</v>
      </c>
      <c r="Z55">
        <v>0</v>
      </c>
      <c r="AA55">
        <v>0</v>
      </c>
      <c r="AB55">
        <v>0.16025641025640999</v>
      </c>
      <c r="AC55" t="s">
        <v>176</v>
      </c>
      <c r="AD55">
        <v>60</v>
      </c>
      <c r="AE55" t="s">
        <v>176</v>
      </c>
      <c r="AF55" s="4" t="s">
        <v>80</v>
      </c>
      <c r="AG55" s="4">
        <v>182</v>
      </c>
      <c r="AH55" s="4" t="s">
        <v>81</v>
      </c>
      <c r="AI55" s="4">
        <v>175</v>
      </c>
      <c r="AJ55" t="s">
        <v>176</v>
      </c>
      <c r="AK55" t="s">
        <v>56</v>
      </c>
      <c r="AL55" t="s">
        <v>200</v>
      </c>
      <c r="AM55" s="1">
        <v>0.29166666666666669</v>
      </c>
      <c r="AN55">
        <v>0</v>
      </c>
      <c r="AO55" s="1">
        <v>0.33333333333333331</v>
      </c>
      <c r="AP55">
        <v>0</v>
      </c>
      <c r="AQ55" s="5">
        <v>32</v>
      </c>
      <c r="AR55" s="1">
        <v>0.625</v>
      </c>
      <c r="AS55">
        <v>0</v>
      </c>
      <c r="AT55" s="1">
        <v>0.66666666666666663</v>
      </c>
      <c r="AU55">
        <v>0</v>
      </c>
      <c r="AV55" s="5">
        <v>38</v>
      </c>
      <c r="AW55" t="s">
        <v>56</v>
      </c>
      <c r="AX55" s="6">
        <v>356.8</v>
      </c>
      <c r="AY55" t="s">
        <v>176</v>
      </c>
      <c r="AZ55" t="s">
        <v>56</v>
      </c>
    </row>
    <row r="56" spans="1:52" hidden="1" x14ac:dyDescent="0.45">
      <c r="A56">
        <v>501587.48553632502</v>
      </c>
      <c r="B56">
        <v>6914494.1803046996</v>
      </c>
      <c r="C56">
        <v>55</v>
      </c>
      <c r="D56" t="s">
        <v>201</v>
      </c>
      <c r="E56" t="s">
        <v>202</v>
      </c>
      <c r="F56" t="s">
        <v>203</v>
      </c>
      <c r="G56" t="s">
        <v>176</v>
      </c>
      <c r="H56" s="3">
        <v>537</v>
      </c>
      <c r="I56">
        <v>2</v>
      </c>
      <c r="J56" t="s">
        <v>56</v>
      </c>
      <c r="K56">
        <v>77.3</v>
      </c>
      <c r="L56">
        <v>87.8</v>
      </c>
      <c r="M56">
        <v>1</v>
      </c>
      <c r="N56" t="s">
        <v>56</v>
      </c>
      <c r="O56" t="s">
        <v>176</v>
      </c>
      <c r="P56">
        <v>75.2</v>
      </c>
      <c r="Q56">
        <v>1.4921396216360201</v>
      </c>
      <c r="R56">
        <v>22.088995470290399</v>
      </c>
      <c r="S56">
        <v>0.29309885424993298</v>
      </c>
      <c r="T56">
        <v>0</v>
      </c>
      <c r="U56">
        <v>0</v>
      </c>
      <c r="V56">
        <v>0.58619770849986697</v>
      </c>
      <c r="W56">
        <v>5.3290700772715201E-2</v>
      </c>
      <c r="X56">
        <v>0.53290700772715205</v>
      </c>
      <c r="Y56">
        <v>0</v>
      </c>
      <c r="Z56">
        <v>0</v>
      </c>
      <c r="AA56">
        <v>0</v>
      </c>
      <c r="AB56">
        <v>0.213162803090861</v>
      </c>
      <c r="AC56" t="s">
        <v>176</v>
      </c>
      <c r="AD56">
        <v>70</v>
      </c>
      <c r="AE56" t="s">
        <v>176</v>
      </c>
      <c r="AF56" s="4" t="s">
        <v>80</v>
      </c>
      <c r="AG56" s="4">
        <v>268</v>
      </c>
      <c r="AH56" s="4" t="s">
        <v>81</v>
      </c>
      <c r="AI56" s="4">
        <v>269</v>
      </c>
      <c r="AJ56" t="s">
        <v>176</v>
      </c>
      <c r="AK56" t="s">
        <v>56</v>
      </c>
      <c r="AL56" t="s">
        <v>203</v>
      </c>
      <c r="AM56" s="1">
        <v>0.33333333333333331</v>
      </c>
      <c r="AN56">
        <v>0</v>
      </c>
      <c r="AO56" s="1">
        <v>0.375</v>
      </c>
      <c r="AP56">
        <v>0</v>
      </c>
      <c r="AQ56" s="5">
        <v>64</v>
      </c>
      <c r="AR56" s="1">
        <v>0.625</v>
      </c>
      <c r="AS56">
        <v>0</v>
      </c>
      <c r="AT56" s="1">
        <v>0.66666666666666663</v>
      </c>
      <c r="AU56">
        <v>0</v>
      </c>
      <c r="AV56" s="5">
        <v>64</v>
      </c>
      <c r="AW56" t="s">
        <v>56</v>
      </c>
      <c r="AX56" s="6">
        <v>585.79999999999995</v>
      </c>
      <c r="AY56" t="s">
        <v>176</v>
      </c>
      <c r="AZ56" t="s">
        <v>56</v>
      </c>
    </row>
    <row r="57" spans="1:52" hidden="1" x14ac:dyDescent="0.45">
      <c r="A57">
        <v>509140.70475050202</v>
      </c>
      <c r="B57">
        <v>6940096.8082192503</v>
      </c>
      <c r="C57">
        <v>56</v>
      </c>
      <c r="D57" t="s">
        <v>204</v>
      </c>
      <c r="E57" t="s">
        <v>205</v>
      </c>
      <c r="F57" t="s">
        <v>206</v>
      </c>
      <c r="G57" t="s">
        <v>176</v>
      </c>
      <c r="H57" s="3">
        <v>5343</v>
      </c>
      <c r="I57">
        <v>2</v>
      </c>
      <c r="J57" t="s">
        <v>56</v>
      </c>
      <c r="K57">
        <v>56.8</v>
      </c>
      <c r="L57">
        <v>63</v>
      </c>
      <c r="M57">
        <v>1</v>
      </c>
      <c r="N57" t="s">
        <v>56</v>
      </c>
      <c r="O57" t="s">
        <v>176</v>
      </c>
      <c r="P57">
        <v>91</v>
      </c>
      <c r="Q57">
        <v>0.71388465549049496</v>
      </c>
      <c r="R57">
        <v>7.8741210128071399</v>
      </c>
      <c r="S57">
        <v>0.37966899280767902</v>
      </c>
      <c r="T57">
        <v>5.0800780727788E-2</v>
      </c>
      <c r="U57">
        <v>5.3474506029250598E-3</v>
      </c>
      <c r="V57">
        <v>0.19250822170530199</v>
      </c>
      <c r="W57">
        <v>1.6042351808775199E-2</v>
      </c>
      <c r="X57">
        <v>8.0211759043875806E-3</v>
      </c>
      <c r="Y57">
        <v>5.3474506029250598E-3</v>
      </c>
      <c r="Z57">
        <v>8.0211759043875806E-3</v>
      </c>
      <c r="AA57">
        <v>0</v>
      </c>
      <c r="AB57">
        <v>0.195181947006765</v>
      </c>
      <c r="AC57" t="s">
        <v>176</v>
      </c>
      <c r="AD57">
        <v>70</v>
      </c>
      <c r="AE57" t="s">
        <v>176</v>
      </c>
      <c r="AF57" s="4" t="s">
        <v>57</v>
      </c>
      <c r="AG57" s="4">
        <v>2631</v>
      </c>
      <c r="AH57" s="4" t="s">
        <v>58</v>
      </c>
      <c r="AI57" s="4">
        <v>2712</v>
      </c>
      <c r="AJ57" t="s">
        <v>176</v>
      </c>
      <c r="AK57" t="s">
        <v>56</v>
      </c>
      <c r="AL57" t="s">
        <v>206</v>
      </c>
      <c r="AM57" s="1">
        <v>0.33333333333333331</v>
      </c>
      <c r="AN57">
        <v>0</v>
      </c>
      <c r="AO57" s="1">
        <v>0.375</v>
      </c>
      <c r="AP57">
        <v>0</v>
      </c>
      <c r="AQ57" s="5">
        <v>565</v>
      </c>
      <c r="AR57" s="1">
        <v>0.70833333333333337</v>
      </c>
      <c r="AS57">
        <v>0</v>
      </c>
      <c r="AT57" s="1">
        <v>0.75</v>
      </c>
      <c r="AU57">
        <v>0</v>
      </c>
      <c r="AV57" s="5">
        <v>548</v>
      </c>
      <c r="AW57" t="s">
        <v>56</v>
      </c>
      <c r="AX57" s="6">
        <v>5845.6</v>
      </c>
      <c r="AY57" t="s">
        <v>176</v>
      </c>
      <c r="AZ57" t="s">
        <v>56</v>
      </c>
    </row>
    <row r="58" spans="1:52" hidden="1" x14ac:dyDescent="0.45">
      <c r="A58">
        <v>502529.43649422802</v>
      </c>
      <c r="B58">
        <v>6919612.8426704099</v>
      </c>
      <c r="C58">
        <v>57</v>
      </c>
      <c r="D58" t="s">
        <v>207</v>
      </c>
      <c r="E58" t="s">
        <v>191</v>
      </c>
      <c r="F58" t="s">
        <v>208</v>
      </c>
      <c r="G58" t="s">
        <v>209</v>
      </c>
      <c r="H58" s="3">
        <v>1574</v>
      </c>
      <c r="I58">
        <v>2</v>
      </c>
      <c r="J58" t="s">
        <v>56</v>
      </c>
      <c r="K58">
        <v>79.400000000000006</v>
      </c>
      <c r="L58">
        <v>88.9</v>
      </c>
      <c r="M58">
        <v>1</v>
      </c>
      <c r="N58" t="s">
        <v>56</v>
      </c>
      <c r="O58" t="s">
        <v>209</v>
      </c>
      <c r="P58">
        <v>68.5</v>
      </c>
      <c r="Q58">
        <v>2.5249772933696599</v>
      </c>
      <c r="R58">
        <v>26.466848319709399</v>
      </c>
      <c r="S58">
        <v>0.60853769300635796</v>
      </c>
      <c r="T58">
        <v>0.21798365122615801</v>
      </c>
      <c r="U58">
        <v>0.154405086285195</v>
      </c>
      <c r="V58">
        <v>1.00817438692098</v>
      </c>
      <c r="W58">
        <v>3.6330608537693002E-2</v>
      </c>
      <c r="X58">
        <v>0.18165304268846499</v>
      </c>
      <c r="Y58">
        <v>0.21798365122615801</v>
      </c>
      <c r="Z58">
        <v>9.0826521344232504E-3</v>
      </c>
      <c r="AA58">
        <v>9.0826521344232504E-3</v>
      </c>
      <c r="AB58">
        <v>0.40871934604904597</v>
      </c>
      <c r="AC58" t="s">
        <v>209</v>
      </c>
      <c r="AD58">
        <v>80</v>
      </c>
      <c r="AE58" t="s">
        <v>209</v>
      </c>
      <c r="AF58" s="4" t="s">
        <v>57</v>
      </c>
      <c r="AG58" s="4">
        <v>780</v>
      </c>
      <c r="AH58" s="4" t="s">
        <v>58</v>
      </c>
      <c r="AI58" s="4">
        <v>794</v>
      </c>
      <c r="AJ58" t="s">
        <v>209</v>
      </c>
      <c r="AK58" t="s">
        <v>56</v>
      </c>
      <c r="AL58" t="s">
        <v>208</v>
      </c>
      <c r="AM58" s="1">
        <v>0.33333333333333331</v>
      </c>
      <c r="AN58">
        <v>0</v>
      </c>
      <c r="AO58" s="1">
        <v>0.375</v>
      </c>
      <c r="AP58">
        <v>0</v>
      </c>
      <c r="AQ58" s="5">
        <v>141</v>
      </c>
      <c r="AR58" s="1">
        <v>0.70833333333333337</v>
      </c>
      <c r="AS58">
        <v>0</v>
      </c>
      <c r="AT58" s="1">
        <v>0.75</v>
      </c>
      <c r="AU58">
        <v>0</v>
      </c>
      <c r="AV58" s="5">
        <v>189</v>
      </c>
      <c r="AW58" t="s">
        <v>56</v>
      </c>
      <c r="AX58" s="6">
        <v>1561</v>
      </c>
      <c r="AY58" t="s">
        <v>209</v>
      </c>
      <c r="AZ58" t="s">
        <v>56</v>
      </c>
    </row>
    <row r="59" spans="1:52" hidden="1" x14ac:dyDescent="0.45">
      <c r="A59">
        <v>505075.33536940097</v>
      </c>
      <c r="B59">
        <v>6918955.1585337697</v>
      </c>
      <c r="C59">
        <v>58</v>
      </c>
      <c r="D59" t="s">
        <v>207</v>
      </c>
      <c r="E59" t="s">
        <v>191</v>
      </c>
      <c r="F59" t="s">
        <v>210</v>
      </c>
      <c r="G59" t="s">
        <v>176</v>
      </c>
      <c r="H59" s="3">
        <v>1389</v>
      </c>
      <c r="I59">
        <v>2</v>
      </c>
      <c r="J59" t="s">
        <v>56</v>
      </c>
      <c r="K59">
        <v>65.3</v>
      </c>
      <c r="L59">
        <v>73.400000000000006</v>
      </c>
      <c r="M59">
        <v>1</v>
      </c>
      <c r="N59" t="s">
        <v>56</v>
      </c>
      <c r="O59" t="s">
        <v>176</v>
      </c>
      <c r="P59">
        <v>69</v>
      </c>
      <c r="Q59">
        <v>2.6351003602676299</v>
      </c>
      <c r="R59">
        <v>25.527534740092602</v>
      </c>
      <c r="S59">
        <v>0.710241893978384</v>
      </c>
      <c r="T59">
        <v>0.16469377251672701</v>
      </c>
      <c r="U59">
        <v>0.185280494081318</v>
      </c>
      <c r="V59">
        <v>1.3690169840452899</v>
      </c>
      <c r="W59">
        <v>4.1173443129181697E-2</v>
      </c>
      <c r="X59">
        <v>0.24704065877508999</v>
      </c>
      <c r="Y59">
        <v>0.226453937210499</v>
      </c>
      <c r="Z59">
        <v>5.1466803911477101E-2</v>
      </c>
      <c r="AA59">
        <v>0</v>
      </c>
      <c r="AB59">
        <v>0.370560988162635</v>
      </c>
      <c r="AC59" t="s">
        <v>176</v>
      </c>
      <c r="AD59">
        <v>80</v>
      </c>
      <c r="AE59" t="s">
        <v>176</v>
      </c>
      <c r="AF59" s="4" t="s">
        <v>57</v>
      </c>
      <c r="AG59" s="4">
        <v>688</v>
      </c>
      <c r="AH59" s="4" t="s">
        <v>58</v>
      </c>
      <c r="AI59" s="4">
        <v>701</v>
      </c>
      <c r="AJ59" t="s">
        <v>176</v>
      </c>
      <c r="AK59" t="s">
        <v>56</v>
      </c>
      <c r="AL59" t="s">
        <v>210</v>
      </c>
      <c r="AM59" s="1">
        <v>0.33333333333333331</v>
      </c>
      <c r="AN59">
        <v>0</v>
      </c>
      <c r="AO59" s="1">
        <v>0.375</v>
      </c>
      <c r="AP59">
        <v>0</v>
      </c>
      <c r="AQ59" s="5">
        <v>122</v>
      </c>
      <c r="AR59" s="1">
        <v>0.625</v>
      </c>
      <c r="AS59">
        <v>0</v>
      </c>
      <c r="AT59" s="1">
        <v>0.66666666666666663</v>
      </c>
      <c r="AU59">
        <v>0</v>
      </c>
      <c r="AV59" s="5">
        <v>152</v>
      </c>
      <c r="AW59" t="s">
        <v>56</v>
      </c>
      <c r="AX59" s="6">
        <v>1431.8</v>
      </c>
      <c r="AY59" t="s">
        <v>176</v>
      </c>
      <c r="AZ59" t="s">
        <v>56</v>
      </c>
    </row>
    <row r="60" spans="1:52" hidden="1" x14ac:dyDescent="0.45">
      <c r="A60">
        <v>517353.28693263198</v>
      </c>
      <c r="B60">
        <v>6922136.2342515597</v>
      </c>
      <c r="C60">
        <v>59</v>
      </c>
      <c r="D60" t="s">
        <v>211</v>
      </c>
      <c r="E60" t="s">
        <v>212</v>
      </c>
      <c r="F60" t="s">
        <v>213</v>
      </c>
      <c r="G60" t="s">
        <v>193</v>
      </c>
      <c r="H60" s="3">
        <v>718</v>
      </c>
      <c r="I60">
        <v>2</v>
      </c>
      <c r="J60" t="s">
        <v>56</v>
      </c>
      <c r="K60">
        <v>63.1</v>
      </c>
      <c r="L60">
        <v>73.099999999999994</v>
      </c>
      <c r="M60">
        <v>1</v>
      </c>
      <c r="N60" t="s">
        <v>56</v>
      </c>
      <c r="O60" t="s">
        <v>193</v>
      </c>
      <c r="P60">
        <v>76.099999999999994</v>
      </c>
      <c r="Q60">
        <v>1.6135458167330701</v>
      </c>
      <c r="R60">
        <v>19.482071713147398</v>
      </c>
      <c r="S60">
        <v>1.1752988047808799</v>
      </c>
      <c r="T60">
        <v>0.51792828685258996</v>
      </c>
      <c r="U60">
        <v>1.9920318725099601E-2</v>
      </c>
      <c r="V60">
        <v>0.856573705179283</v>
      </c>
      <c r="W60">
        <v>1.9920318725099601E-2</v>
      </c>
      <c r="X60">
        <v>0.159362549800797</v>
      </c>
      <c r="Y60">
        <v>0.21912350597609601</v>
      </c>
      <c r="Z60">
        <v>3.9840637450199202E-2</v>
      </c>
      <c r="AA60">
        <v>0</v>
      </c>
      <c r="AB60">
        <v>0.29880478087649398</v>
      </c>
      <c r="AC60" t="s">
        <v>193</v>
      </c>
      <c r="AD60">
        <v>80</v>
      </c>
      <c r="AE60" t="s">
        <v>193</v>
      </c>
      <c r="AF60" s="4" t="s">
        <v>57</v>
      </c>
      <c r="AG60" s="4">
        <v>358</v>
      </c>
      <c r="AH60" s="4" t="s">
        <v>58</v>
      </c>
      <c r="AI60" s="4">
        <v>360</v>
      </c>
      <c r="AJ60" t="s">
        <v>193</v>
      </c>
      <c r="AK60" t="s">
        <v>56</v>
      </c>
      <c r="AL60" t="s">
        <v>213</v>
      </c>
      <c r="AM60" s="1">
        <v>0.33333333333333331</v>
      </c>
      <c r="AN60">
        <v>0</v>
      </c>
      <c r="AO60" s="1">
        <v>0.375</v>
      </c>
      <c r="AP60">
        <v>0</v>
      </c>
      <c r="AQ60" s="5">
        <v>81</v>
      </c>
      <c r="AR60" s="1">
        <v>0.625</v>
      </c>
      <c r="AS60">
        <v>0</v>
      </c>
      <c r="AT60" s="1">
        <v>0.66666666666666663</v>
      </c>
      <c r="AU60">
        <v>0</v>
      </c>
      <c r="AV60" s="5">
        <v>100</v>
      </c>
      <c r="AW60" t="s">
        <v>56</v>
      </c>
      <c r="AX60" s="6">
        <v>784.2</v>
      </c>
      <c r="AY60" t="s">
        <v>193</v>
      </c>
      <c r="AZ60" t="s">
        <v>56</v>
      </c>
    </row>
    <row r="61" spans="1:52" hidden="1" x14ac:dyDescent="0.45">
      <c r="A61">
        <v>501968.79073327401</v>
      </c>
      <c r="B61">
        <v>6917108.3725192901</v>
      </c>
      <c r="C61">
        <v>60</v>
      </c>
      <c r="D61" t="s">
        <v>214</v>
      </c>
      <c r="E61" t="s">
        <v>202</v>
      </c>
      <c r="F61" t="s">
        <v>215</v>
      </c>
      <c r="G61" t="s">
        <v>183</v>
      </c>
      <c r="H61" s="3">
        <v>884</v>
      </c>
      <c r="I61">
        <v>2</v>
      </c>
      <c r="J61" t="s">
        <v>56</v>
      </c>
      <c r="K61">
        <v>64.2</v>
      </c>
      <c r="L61">
        <v>73.8</v>
      </c>
      <c r="M61">
        <v>1</v>
      </c>
      <c r="N61" t="s">
        <v>56</v>
      </c>
      <c r="O61" t="s">
        <v>183</v>
      </c>
      <c r="P61">
        <v>75.8</v>
      </c>
      <c r="Q61">
        <v>1.63377547719185</v>
      </c>
      <c r="R61">
        <v>21.594953089615</v>
      </c>
      <c r="S61">
        <v>0.48527984471044999</v>
      </c>
      <c r="T61">
        <v>9.7055968942089899E-2</v>
      </c>
      <c r="U61">
        <v>0</v>
      </c>
      <c r="V61">
        <v>0.50145583953413098</v>
      </c>
      <c r="W61">
        <v>9.7055968942089899E-2</v>
      </c>
      <c r="X61">
        <v>0.14558395341313499</v>
      </c>
      <c r="Y61">
        <v>0</v>
      </c>
      <c r="Z61">
        <v>0</v>
      </c>
      <c r="AA61">
        <v>0</v>
      </c>
      <c r="AB61">
        <v>0.129407958589453</v>
      </c>
      <c r="AC61" t="s">
        <v>183</v>
      </c>
      <c r="AD61">
        <v>60</v>
      </c>
      <c r="AE61" t="s">
        <v>183</v>
      </c>
      <c r="AF61" s="4" t="s">
        <v>57</v>
      </c>
      <c r="AG61" s="4">
        <v>444</v>
      </c>
      <c r="AH61" s="4" t="s">
        <v>58</v>
      </c>
      <c r="AI61" s="4">
        <v>440</v>
      </c>
      <c r="AJ61" t="s">
        <v>183</v>
      </c>
      <c r="AK61" t="s">
        <v>56</v>
      </c>
      <c r="AL61" t="s">
        <v>215</v>
      </c>
      <c r="AM61" s="1">
        <v>0.33333333333333331</v>
      </c>
      <c r="AN61">
        <v>0</v>
      </c>
      <c r="AO61" s="1">
        <v>0.375</v>
      </c>
      <c r="AP61">
        <v>0</v>
      </c>
      <c r="AQ61" s="5">
        <v>70</v>
      </c>
      <c r="AR61" s="1">
        <v>0.625</v>
      </c>
      <c r="AS61">
        <v>0</v>
      </c>
      <c r="AT61" s="1">
        <v>0.66666666666666663</v>
      </c>
      <c r="AU61">
        <v>0</v>
      </c>
      <c r="AV61" s="5">
        <v>91</v>
      </c>
      <c r="AW61" t="s">
        <v>56</v>
      </c>
      <c r="AX61" s="6">
        <v>862.4</v>
      </c>
      <c r="AY61" t="s">
        <v>183</v>
      </c>
      <c r="AZ61" t="s">
        <v>56</v>
      </c>
    </row>
    <row r="62" spans="1:52" hidden="1" x14ac:dyDescent="0.45">
      <c r="A62">
        <v>510169.367118517</v>
      </c>
      <c r="B62">
        <v>6931833.6211108901</v>
      </c>
      <c r="C62">
        <v>61</v>
      </c>
      <c r="D62" t="s">
        <v>216</v>
      </c>
      <c r="E62" t="s">
        <v>178</v>
      </c>
      <c r="F62" t="s">
        <v>217</v>
      </c>
      <c r="G62" t="s">
        <v>168</v>
      </c>
      <c r="H62" s="3">
        <v>640</v>
      </c>
      <c r="I62">
        <v>2</v>
      </c>
      <c r="J62" t="s">
        <v>56</v>
      </c>
      <c r="K62">
        <v>67</v>
      </c>
      <c r="L62">
        <v>78.5</v>
      </c>
      <c r="M62">
        <v>1</v>
      </c>
      <c r="N62" t="s">
        <v>56</v>
      </c>
      <c r="O62" t="s">
        <v>168</v>
      </c>
      <c r="P62">
        <v>68.5</v>
      </c>
      <c r="Q62">
        <v>1.3652641002685799</v>
      </c>
      <c r="R62">
        <v>27.976723366159401</v>
      </c>
      <c r="S62">
        <v>1.0519247985675899</v>
      </c>
      <c r="T62">
        <v>0.156669650850492</v>
      </c>
      <c r="U62">
        <v>0</v>
      </c>
      <c r="V62">
        <v>0.71620411817367902</v>
      </c>
      <c r="W62">
        <v>0.17905102954342</v>
      </c>
      <c r="X62">
        <v>0</v>
      </c>
      <c r="Y62">
        <v>0.223813786929275</v>
      </c>
      <c r="Z62">
        <v>2.23813786929275E-2</v>
      </c>
      <c r="AA62">
        <v>0</v>
      </c>
      <c r="AB62">
        <v>0.24619516562220201</v>
      </c>
      <c r="AC62" t="s">
        <v>168</v>
      </c>
      <c r="AD62">
        <v>60</v>
      </c>
      <c r="AE62" t="s">
        <v>168</v>
      </c>
      <c r="AF62" s="4" t="s">
        <v>80</v>
      </c>
      <c r="AG62" s="4">
        <v>331</v>
      </c>
      <c r="AH62" s="4" t="s">
        <v>81</v>
      </c>
      <c r="AI62" s="4">
        <v>309</v>
      </c>
      <c r="AJ62" t="s">
        <v>168</v>
      </c>
      <c r="AK62" t="s">
        <v>56</v>
      </c>
      <c r="AL62" t="s">
        <v>217</v>
      </c>
      <c r="AM62" s="1">
        <v>0.29166666666666669</v>
      </c>
      <c r="AN62">
        <v>0</v>
      </c>
      <c r="AO62" s="1">
        <v>0.33333333333333331</v>
      </c>
      <c r="AP62">
        <v>0</v>
      </c>
      <c r="AQ62" s="5">
        <v>57</v>
      </c>
      <c r="AR62" s="1">
        <v>0.70833333333333337</v>
      </c>
      <c r="AS62">
        <v>0</v>
      </c>
      <c r="AT62" s="1">
        <v>0.75</v>
      </c>
      <c r="AU62">
        <v>0</v>
      </c>
      <c r="AV62" s="5">
        <v>76</v>
      </c>
      <c r="AW62" t="s">
        <v>56</v>
      </c>
      <c r="AX62" s="6">
        <v>688.2</v>
      </c>
      <c r="AY62" t="s">
        <v>168</v>
      </c>
      <c r="AZ62" t="s">
        <v>56</v>
      </c>
    </row>
    <row r="63" spans="1:52" hidden="1" x14ac:dyDescent="0.45">
      <c r="A63">
        <v>510591.51820958202</v>
      </c>
      <c r="B63">
        <v>6934455.2075309297</v>
      </c>
      <c r="C63">
        <v>62</v>
      </c>
      <c r="D63" t="s">
        <v>216</v>
      </c>
      <c r="E63" t="s">
        <v>178</v>
      </c>
      <c r="F63" t="s">
        <v>218</v>
      </c>
      <c r="G63" t="s">
        <v>197</v>
      </c>
      <c r="H63" s="3">
        <v>236</v>
      </c>
      <c r="I63">
        <v>2</v>
      </c>
      <c r="J63" t="s">
        <v>56</v>
      </c>
      <c r="K63">
        <v>58.7</v>
      </c>
      <c r="L63">
        <v>68.8</v>
      </c>
      <c r="M63">
        <v>1</v>
      </c>
      <c r="N63" t="s">
        <v>56</v>
      </c>
      <c r="O63" t="s">
        <v>197</v>
      </c>
      <c r="P63">
        <v>82.9</v>
      </c>
      <c r="Q63">
        <v>0.72727272727272696</v>
      </c>
      <c r="R63">
        <v>15.575757575757599</v>
      </c>
      <c r="S63">
        <v>0.54545454545454597</v>
      </c>
      <c r="T63">
        <v>0</v>
      </c>
      <c r="U63">
        <v>0</v>
      </c>
      <c r="V63">
        <v>0.12121212121212099</v>
      </c>
      <c r="W63">
        <v>0</v>
      </c>
      <c r="X63">
        <v>0</v>
      </c>
      <c r="Y63">
        <v>0</v>
      </c>
      <c r="Z63">
        <v>0</v>
      </c>
      <c r="AA63">
        <v>0</v>
      </c>
      <c r="AB63">
        <v>0.36363636363636398</v>
      </c>
      <c r="AC63" t="s">
        <v>197</v>
      </c>
      <c r="AD63">
        <v>60</v>
      </c>
      <c r="AE63" t="s">
        <v>197</v>
      </c>
      <c r="AF63" s="4" t="s">
        <v>80</v>
      </c>
      <c r="AG63" s="4">
        <v>118</v>
      </c>
      <c r="AH63" s="4" t="s">
        <v>81</v>
      </c>
      <c r="AI63" s="4">
        <v>118</v>
      </c>
      <c r="AJ63" t="s">
        <v>197</v>
      </c>
      <c r="AK63" t="s">
        <v>56</v>
      </c>
      <c r="AL63" t="s">
        <v>218</v>
      </c>
      <c r="AM63" s="1">
        <v>0.29166666666666669</v>
      </c>
      <c r="AN63">
        <v>0</v>
      </c>
      <c r="AO63" s="1">
        <v>0.33333333333333331</v>
      </c>
      <c r="AP63">
        <v>0</v>
      </c>
      <c r="AQ63" s="5">
        <v>28</v>
      </c>
      <c r="AR63" s="1">
        <v>0.70833333333333337</v>
      </c>
      <c r="AS63">
        <v>0</v>
      </c>
      <c r="AT63" s="1">
        <v>0.75</v>
      </c>
      <c r="AU63">
        <v>0</v>
      </c>
      <c r="AV63" s="5">
        <v>28</v>
      </c>
      <c r="AW63" t="s">
        <v>56</v>
      </c>
      <c r="AX63" s="6">
        <v>237</v>
      </c>
      <c r="AY63" t="s">
        <v>197</v>
      </c>
      <c r="AZ63" t="s">
        <v>56</v>
      </c>
    </row>
    <row r="64" spans="1:52" hidden="1" x14ac:dyDescent="0.45">
      <c r="A64">
        <v>513585.52138398599</v>
      </c>
      <c r="B64">
        <v>6928383.0684086503</v>
      </c>
      <c r="C64">
        <v>63</v>
      </c>
      <c r="D64" t="s">
        <v>219</v>
      </c>
      <c r="E64" t="s">
        <v>191</v>
      </c>
      <c r="F64" t="s">
        <v>220</v>
      </c>
      <c r="G64" t="s">
        <v>209</v>
      </c>
      <c r="H64" s="3">
        <v>1127</v>
      </c>
      <c r="I64">
        <v>2</v>
      </c>
      <c r="J64" t="s">
        <v>56</v>
      </c>
      <c r="K64">
        <v>62.2</v>
      </c>
      <c r="L64">
        <v>70.900000000000006</v>
      </c>
      <c r="M64">
        <v>1</v>
      </c>
      <c r="N64" t="s">
        <v>56</v>
      </c>
      <c r="O64" t="s">
        <v>209</v>
      </c>
      <c r="P64">
        <v>76.900000000000006</v>
      </c>
      <c r="Q64">
        <v>1.4967021816336901</v>
      </c>
      <c r="R64">
        <v>19.6854388635211</v>
      </c>
      <c r="S64">
        <v>0.78640284119736203</v>
      </c>
      <c r="T64">
        <v>3.8051750380517502E-2</v>
      </c>
      <c r="U64">
        <v>1.2683916793505799E-2</v>
      </c>
      <c r="V64">
        <v>0.93860984271943204</v>
      </c>
      <c r="W64">
        <v>1.2683916793505799E-2</v>
      </c>
      <c r="X64">
        <v>0.20294266869609301</v>
      </c>
      <c r="Y64">
        <v>6.3419583967529197E-2</v>
      </c>
      <c r="Z64">
        <v>1.2683916793505799E-2</v>
      </c>
      <c r="AA64">
        <v>0</v>
      </c>
      <c r="AB64">
        <v>0.34246575342465801</v>
      </c>
      <c r="AC64" t="s">
        <v>209</v>
      </c>
      <c r="AD64">
        <v>80</v>
      </c>
      <c r="AE64" t="s">
        <v>209</v>
      </c>
      <c r="AF64" s="4" t="s">
        <v>80</v>
      </c>
      <c r="AG64" s="4">
        <v>557</v>
      </c>
      <c r="AH64" s="4" t="s">
        <v>81</v>
      </c>
      <c r="AI64" s="4">
        <v>570</v>
      </c>
      <c r="AJ64" t="s">
        <v>209</v>
      </c>
      <c r="AK64" t="s">
        <v>56</v>
      </c>
      <c r="AL64" t="s">
        <v>220</v>
      </c>
      <c r="AM64" s="1">
        <v>0.33333333333333331</v>
      </c>
      <c r="AN64">
        <v>0</v>
      </c>
      <c r="AO64" s="1">
        <v>0.375</v>
      </c>
      <c r="AP64">
        <v>0</v>
      </c>
      <c r="AQ64" s="5">
        <v>93</v>
      </c>
      <c r="AR64" s="1">
        <v>0.625</v>
      </c>
      <c r="AS64">
        <v>0</v>
      </c>
      <c r="AT64" s="1">
        <v>0.66666666666666663</v>
      </c>
      <c r="AU64">
        <v>0</v>
      </c>
      <c r="AV64" s="5">
        <v>122</v>
      </c>
      <c r="AW64" t="s">
        <v>56</v>
      </c>
      <c r="AX64" s="6">
        <v>1169.4000000000001</v>
      </c>
      <c r="AY64" t="s">
        <v>209</v>
      </c>
      <c r="AZ64" t="s">
        <v>56</v>
      </c>
    </row>
    <row r="65" spans="1:52" hidden="1" x14ac:dyDescent="0.45">
      <c r="A65">
        <v>510495.85089369898</v>
      </c>
      <c r="B65">
        <v>6920759.4758332204</v>
      </c>
      <c r="C65">
        <v>64</v>
      </c>
      <c r="D65" t="s">
        <v>221</v>
      </c>
      <c r="E65" t="s">
        <v>222</v>
      </c>
      <c r="F65" t="s">
        <v>223</v>
      </c>
      <c r="G65" t="s">
        <v>197</v>
      </c>
      <c r="H65" s="3">
        <v>570</v>
      </c>
      <c r="I65">
        <v>2</v>
      </c>
      <c r="J65" t="s">
        <v>56</v>
      </c>
      <c r="K65">
        <v>65.2</v>
      </c>
      <c r="L65">
        <v>74.5</v>
      </c>
      <c r="M65">
        <v>1</v>
      </c>
      <c r="N65" t="s">
        <v>56</v>
      </c>
      <c r="O65" t="s">
        <v>197</v>
      </c>
      <c r="P65">
        <v>75.900000000000006</v>
      </c>
      <c r="Q65">
        <v>1.8569636135508201</v>
      </c>
      <c r="R65">
        <v>20.100376411543301</v>
      </c>
      <c r="S65">
        <v>0.55207026348807997</v>
      </c>
      <c r="T65">
        <v>0</v>
      </c>
      <c r="U65">
        <v>0</v>
      </c>
      <c r="V65">
        <v>1.6813048933500601</v>
      </c>
      <c r="W65">
        <v>0</v>
      </c>
      <c r="X65">
        <v>7.5282308657465505E-2</v>
      </c>
      <c r="Y65">
        <v>0</v>
      </c>
      <c r="Z65">
        <v>0</v>
      </c>
      <c r="AA65">
        <v>0</v>
      </c>
      <c r="AB65">
        <v>0.15056461731493101</v>
      </c>
      <c r="AC65" t="s">
        <v>197</v>
      </c>
      <c r="AD65">
        <v>70</v>
      </c>
      <c r="AE65" t="s">
        <v>197</v>
      </c>
      <c r="AF65" s="4" t="s">
        <v>57</v>
      </c>
      <c r="AG65" s="4">
        <v>283</v>
      </c>
      <c r="AH65" s="4" t="s">
        <v>58</v>
      </c>
      <c r="AI65" s="4">
        <v>287</v>
      </c>
      <c r="AJ65" t="s">
        <v>197</v>
      </c>
      <c r="AK65" t="s">
        <v>56</v>
      </c>
      <c r="AL65" t="s">
        <v>223</v>
      </c>
      <c r="AM65" s="1">
        <v>0.29166666666666669</v>
      </c>
      <c r="AN65">
        <v>0</v>
      </c>
      <c r="AO65" s="1">
        <v>0.33333333333333331</v>
      </c>
      <c r="AP65">
        <v>0</v>
      </c>
      <c r="AQ65" s="5">
        <v>48</v>
      </c>
      <c r="AR65" s="1">
        <v>0.625</v>
      </c>
      <c r="AS65">
        <v>0</v>
      </c>
      <c r="AT65" s="1">
        <v>0.66666666666666663</v>
      </c>
      <c r="AU65">
        <v>0</v>
      </c>
      <c r="AV65" s="5">
        <v>60</v>
      </c>
      <c r="AW65" t="s">
        <v>56</v>
      </c>
      <c r="AX65" s="6">
        <v>591.79999999999995</v>
      </c>
      <c r="AY65" t="s">
        <v>197</v>
      </c>
      <c r="AZ65" t="s">
        <v>56</v>
      </c>
    </row>
    <row r="66" spans="1:52" hidden="1" x14ac:dyDescent="0.45">
      <c r="A66">
        <v>497313.01599893102</v>
      </c>
      <c r="B66">
        <v>6915243.9211339103</v>
      </c>
      <c r="C66">
        <v>65</v>
      </c>
      <c r="D66" t="s">
        <v>224</v>
      </c>
      <c r="E66" t="s">
        <v>225</v>
      </c>
      <c r="F66" t="s">
        <v>226</v>
      </c>
      <c r="G66" t="s">
        <v>176</v>
      </c>
      <c r="H66" s="3">
        <v>289</v>
      </c>
      <c r="I66">
        <v>2</v>
      </c>
      <c r="J66" t="s">
        <v>56</v>
      </c>
      <c r="K66">
        <v>59.1</v>
      </c>
      <c r="L66">
        <v>68</v>
      </c>
      <c r="M66">
        <v>1</v>
      </c>
      <c r="N66" t="s">
        <v>56</v>
      </c>
      <c r="O66" t="s">
        <v>176</v>
      </c>
      <c r="P66">
        <v>60.8</v>
      </c>
      <c r="Q66">
        <v>1.4384920634920599</v>
      </c>
      <c r="R66">
        <v>30.753968253968299</v>
      </c>
      <c r="S66">
        <v>1.5376984126984099</v>
      </c>
      <c r="T66">
        <v>4.96031746031746E-2</v>
      </c>
      <c r="U66">
        <v>4.96031746031746E-2</v>
      </c>
      <c r="V66">
        <v>2.6785714285714302</v>
      </c>
      <c r="W66">
        <v>0.248015873015873</v>
      </c>
      <c r="X66">
        <v>1.14087301587302</v>
      </c>
      <c r="Y66">
        <v>1.0912698412698401</v>
      </c>
      <c r="Z66">
        <v>0.34722222222222199</v>
      </c>
      <c r="AA66">
        <v>0</v>
      </c>
      <c r="AB66">
        <v>0.49603174603174599</v>
      </c>
      <c r="AC66" t="s">
        <v>176</v>
      </c>
      <c r="AD66">
        <v>80</v>
      </c>
      <c r="AE66" t="s">
        <v>176</v>
      </c>
      <c r="AF66" s="4" t="s">
        <v>80</v>
      </c>
      <c r="AG66" s="4">
        <v>139</v>
      </c>
      <c r="AH66" s="4" t="s">
        <v>81</v>
      </c>
      <c r="AI66" s="4">
        <v>150</v>
      </c>
      <c r="AJ66" t="s">
        <v>176</v>
      </c>
      <c r="AK66" t="s">
        <v>56</v>
      </c>
      <c r="AL66" t="s">
        <v>226</v>
      </c>
      <c r="AM66" s="1">
        <v>0.33333333333333331</v>
      </c>
      <c r="AN66">
        <v>0</v>
      </c>
      <c r="AO66" s="1">
        <v>0.375</v>
      </c>
      <c r="AP66">
        <v>0</v>
      </c>
      <c r="AQ66" s="5">
        <v>45</v>
      </c>
      <c r="AR66" s="1">
        <v>0.625</v>
      </c>
      <c r="AS66">
        <v>0</v>
      </c>
      <c r="AT66" s="1">
        <v>0.66666666666666663</v>
      </c>
      <c r="AU66">
        <v>0</v>
      </c>
      <c r="AV66" s="5">
        <v>37</v>
      </c>
      <c r="AW66" t="s">
        <v>56</v>
      </c>
      <c r="AX66" s="6">
        <v>320.8</v>
      </c>
      <c r="AY66" t="s">
        <v>176</v>
      </c>
      <c r="AZ66" t="s">
        <v>56</v>
      </c>
    </row>
    <row r="67" spans="1:52" hidden="1" x14ac:dyDescent="0.45">
      <c r="A67">
        <v>496004.68029010098</v>
      </c>
      <c r="B67">
        <v>6916077.6813723696</v>
      </c>
      <c r="C67">
        <v>66</v>
      </c>
      <c r="D67" t="s">
        <v>224</v>
      </c>
      <c r="E67" t="s">
        <v>225</v>
      </c>
      <c r="F67" t="s">
        <v>227</v>
      </c>
      <c r="G67" t="s">
        <v>176</v>
      </c>
      <c r="H67" s="3">
        <v>276</v>
      </c>
      <c r="I67">
        <v>2</v>
      </c>
      <c r="J67" t="s">
        <v>56</v>
      </c>
      <c r="K67">
        <v>80.2</v>
      </c>
      <c r="L67">
        <v>93.6</v>
      </c>
      <c r="M67">
        <v>1</v>
      </c>
      <c r="N67" t="s">
        <v>56</v>
      </c>
      <c r="O67" t="s">
        <v>176</v>
      </c>
      <c r="P67">
        <v>67.099999999999994</v>
      </c>
      <c r="Q67">
        <v>1.71428571428571</v>
      </c>
      <c r="R67">
        <v>23.6883116883117</v>
      </c>
      <c r="S67">
        <v>1.66233766233766</v>
      </c>
      <c r="T67">
        <v>0.15584415584415601</v>
      </c>
      <c r="U67">
        <v>5.1948051948052E-2</v>
      </c>
      <c r="V67">
        <v>2.8571428571428599</v>
      </c>
      <c r="W67">
        <v>0.31168831168831201</v>
      </c>
      <c r="X67">
        <v>1.2987012987013</v>
      </c>
      <c r="Y67">
        <v>1.5064935064935101</v>
      </c>
      <c r="Z67">
        <v>5.1948051948052E-2</v>
      </c>
      <c r="AA67">
        <v>0</v>
      </c>
      <c r="AB67">
        <v>0.15584415584415601</v>
      </c>
      <c r="AC67" t="s">
        <v>176</v>
      </c>
      <c r="AD67">
        <v>80</v>
      </c>
      <c r="AE67" t="s">
        <v>176</v>
      </c>
      <c r="AF67" s="4" t="s">
        <v>57</v>
      </c>
      <c r="AG67" s="4">
        <v>143</v>
      </c>
      <c r="AH67" s="4" t="s">
        <v>58</v>
      </c>
      <c r="AI67" s="4">
        <v>133</v>
      </c>
      <c r="AJ67" t="s">
        <v>176</v>
      </c>
      <c r="AK67" t="s">
        <v>56</v>
      </c>
      <c r="AL67" t="s">
        <v>227</v>
      </c>
      <c r="AM67" s="1">
        <v>0.33333333333333331</v>
      </c>
      <c r="AN67">
        <v>0</v>
      </c>
      <c r="AO67" s="1">
        <v>0.375</v>
      </c>
      <c r="AP67">
        <v>0</v>
      </c>
      <c r="AQ67" s="5">
        <v>48</v>
      </c>
      <c r="AR67" s="1">
        <v>0.625</v>
      </c>
      <c r="AS67">
        <v>0</v>
      </c>
      <c r="AT67" s="1">
        <v>0.66666666666666663</v>
      </c>
      <c r="AU67">
        <v>0</v>
      </c>
      <c r="AV67" s="5">
        <v>39</v>
      </c>
      <c r="AW67" t="s">
        <v>56</v>
      </c>
      <c r="AX67" s="6">
        <v>304</v>
      </c>
      <c r="AY67" t="s">
        <v>176</v>
      </c>
      <c r="AZ67" t="s">
        <v>56</v>
      </c>
    </row>
    <row r="68" spans="1:52" hidden="1" x14ac:dyDescent="0.45">
      <c r="A68">
        <v>503523.45803257503</v>
      </c>
      <c r="B68">
        <v>6918159.2543291096</v>
      </c>
      <c r="C68">
        <v>67</v>
      </c>
      <c r="D68" t="s">
        <v>228</v>
      </c>
      <c r="E68" t="s">
        <v>191</v>
      </c>
      <c r="F68" t="s">
        <v>229</v>
      </c>
      <c r="G68" t="s">
        <v>176</v>
      </c>
      <c r="H68" s="3">
        <v>626</v>
      </c>
      <c r="I68">
        <v>2</v>
      </c>
      <c r="J68" t="s">
        <v>56</v>
      </c>
      <c r="K68">
        <v>60.7</v>
      </c>
      <c r="L68">
        <v>69.8</v>
      </c>
      <c r="M68">
        <v>1</v>
      </c>
      <c r="N68" t="s">
        <v>56</v>
      </c>
      <c r="O68" t="s">
        <v>176</v>
      </c>
      <c r="P68">
        <v>75.900000000000006</v>
      </c>
      <c r="Q68">
        <v>1.0509481379940599</v>
      </c>
      <c r="R68">
        <v>22.2298377884396</v>
      </c>
      <c r="S68">
        <v>0.228466986520448</v>
      </c>
      <c r="T68">
        <v>4.5693397304089597E-2</v>
      </c>
      <c r="U68">
        <v>0</v>
      </c>
      <c r="V68">
        <v>0.61686086360520898</v>
      </c>
      <c r="W68">
        <v>6.8540095956134306E-2</v>
      </c>
      <c r="X68">
        <v>4.5693397304089597E-2</v>
      </c>
      <c r="Y68">
        <v>0</v>
      </c>
      <c r="Z68">
        <v>0</v>
      </c>
      <c r="AA68">
        <v>0</v>
      </c>
      <c r="AB68">
        <v>0.159926890564313</v>
      </c>
      <c r="AC68" t="s">
        <v>176</v>
      </c>
      <c r="AD68">
        <v>60</v>
      </c>
      <c r="AE68" t="s">
        <v>176</v>
      </c>
      <c r="AF68" s="4" t="s">
        <v>80</v>
      </c>
      <c r="AG68" s="4">
        <v>313</v>
      </c>
      <c r="AH68" s="4" t="s">
        <v>81</v>
      </c>
      <c r="AI68" s="4">
        <v>313</v>
      </c>
      <c r="AJ68" t="s">
        <v>176</v>
      </c>
      <c r="AK68" t="s">
        <v>56</v>
      </c>
      <c r="AL68" t="s">
        <v>229</v>
      </c>
      <c r="AM68" s="1">
        <v>0.29166666666666669</v>
      </c>
      <c r="AN68">
        <v>0</v>
      </c>
      <c r="AO68" s="1">
        <v>0.33333333333333331</v>
      </c>
      <c r="AP68">
        <v>0</v>
      </c>
      <c r="AQ68" s="5">
        <v>48</v>
      </c>
      <c r="AR68" s="1">
        <v>0.625</v>
      </c>
      <c r="AS68">
        <v>0</v>
      </c>
      <c r="AT68" s="1">
        <v>0.66666666666666663</v>
      </c>
      <c r="AU68">
        <v>0</v>
      </c>
      <c r="AV68" s="5">
        <v>69</v>
      </c>
      <c r="AW68" t="s">
        <v>56</v>
      </c>
      <c r="AX68" s="6">
        <v>654</v>
      </c>
      <c r="AY68" t="s">
        <v>176</v>
      </c>
      <c r="AZ68" t="s">
        <v>56</v>
      </c>
    </row>
    <row r="69" spans="1:52" hidden="1" x14ac:dyDescent="0.45">
      <c r="A69">
        <v>507134.00559323002</v>
      </c>
      <c r="B69">
        <v>6932297.7004594896</v>
      </c>
      <c r="C69">
        <v>68</v>
      </c>
      <c r="D69" t="s">
        <v>230</v>
      </c>
      <c r="E69" t="s">
        <v>166</v>
      </c>
      <c r="F69" t="s">
        <v>231</v>
      </c>
      <c r="G69" t="s">
        <v>183</v>
      </c>
      <c r="H69" s="3">
        <v>432</v>
      </c>
      <c r="I69">
        <v>2</v>
      </c>
      <c r="J69" t="s">
        <v>56</v>
      </c>
      <c r="K69">
        <v>57.6</v>
      </c>
      <c r="L69">
        <v>66.2</v>
      </c>
      <c r="M69">
        <v>1</v>
      </c>
      <c r="N69" t="s">
        <v>56</v>
      </c>
      <c r="O69" t="s">
        <v>183</v>
      </c>
      <c r="P69">
        <v>77.5</v>
      </c>
      <c r="Q69">
        <v>1.5920398009950201</v>
      </c>
      <c r="R69">
        <v>18.407960199005</v>
      </c>
      <c r="S69">
        <v>0.59701492537313405</v>
      </c>
      <c r="T69">
        <v>3.3167495854062999E-2</v>
      </c>
      <c r="U69">
        <v>0</v>
      </c>
      <c r="V69">
        <v>1.72470978441128</v>
      </c>
      <c r="W69">
        <v>0</v>
      </c>
      <c r="X69">
        <v>9.9502487562189004E-2</v>
      </c>
      <c r="Y69">
        <v>0</v>
      </c>
      <c r="Z69">
        <v>0</v>
      </c>
      <c r="AA69">
        <v>0</v>
      </c>
      <c r="AB69">
        <v>0.46434494195688197</v>
      </c>
      <c r="AC69" t="s">
        <v>183</v>
      </c>
      <c r="AD69">
        <v>60</v>
      </c>
      <c r="AE69" t="s">
        <v>183</v>
      </c>
      <c r="AF69" s="4" t="s">
        <v>57</v>
      </c>
      <c r="AG69" s="4">
        <v>216</v>
      </c>
      <c r="AH69" s="4" t="s">
        <v>58</v>
      </c>
      <c r="AI69" s="4">
        <v>216</v>
      </c>
      <c r="AJ69" t="s">
        <v>183</v>
      </c>
      <c r="AK69" t="s">
        <v>56</v>
      </c>
      <c r="AL69" t="s">
        <v>231</v>
      </c>
      <c r="AM69" s="1">
        <v>0.29166666666666669</v>
      </c>
      <c r="AN69">
        <v>0</v>
      </c>
      <c r="AO69" s="1">
        <v>0.33333333333333331</v>
      </c>
      <c r="AP69">
        <v>0</v>
      </c>
      <c r="AQ69" s="5">
        <v>43</v>
      </c>
      <c r="AR69" s="1">
        <v>0.66666666666666663</v>
      </c>
      <c r="AS69">
        <v>0</v>
      </c>
      <c r="AT69" s="1">
        <v>0.70833333333333337</v>
      </c>
      <c r="AU69">
        <v>0</v>
      </c>
      <c r="AV69" s="5">
        <v>48</v>
      </c>
      <c r="AW69" t="s">
        <v>56</v>
      </c>
      <c r="AX69" s="6">
        <v>452.8</v>
      </c>
      <c r="AY69" t="s">
        <v>183</v>
      </c>
      <c r="AZ69" t="s">
        <v>56</v>
      </c>
    </row>
    <row r="70" spans="1:52" hidden="1" x14ac:dyDescent="0.45">
      <c r="A70">
        <v>496668.08280662698</v>
      </c>
      <c r="B70">
        <v>6923300.2622103198</v>
      </c>
      <c r="C70">
        <v>69</v>
      </c>
      <c r="D70" t="s">
        <v>232</v>
      </c>
      <c r="E70" t="s">
        <v>191</v>
      </c>
      <c r="F70" t="s">
        <v>233</v>
      </c>
      <c r="G70" t="s">
        <v>176</v>
      </c>
      <c r="H70" s="3">
        <v>6364</v>
      </c>
      <c r="I70">
        <v>2</v>
      </c>
      <c r="J70" t="s">
        <v>56</v>
      </c>
      <c r="K70">
        <v>63.3</v>
      </c>
      <c r="L70">
        <v>69.5</v>
      </c>
      <c r="M70">
        <v>1</v>
      </c>
      <c r="N70" t="s">
        <v>56</v>
      </c>
      <c r="O70" t="s">
        <v>176</v>
      </c>
      <c r="P70">
        <v>84.2</v>
      </c>
      <c r="Q70">
        <v>1.3606664121965999</v>
      </c>
      <c r="R70">
        <v>13.7099490311426</v>
      </c>
      <c r="S70">
        <v>0.21106046657835101</v>
      </c>
      <c r="T70">
        <v>6.0623751038462403E-2</v>
      </c>
      <c r="U70">
        <v>2.9189213462963399E-2</v>
      </c>
      <c r="V70">
        <v>0.60174686215955298</v>
      </c>
      <c r="W70">
        <v>3.3679861688034697E-2</v>
      </c>
      <c r="X70">
        <v>7.6341019826211901E-2</v>
      </c>
      <c r="Y70">
        <v>6.2869075150998002E-2</v>
      </c>
      <c r="Z70">
        <v>1.79625929002852E-2</v>
      </c>
      <c r="AA70">
        <v>0</v>
      </c>
      <c r="AB70">
        <v>9.2058288613961398E-2</v>
      </c>
      <c r="AC70" t="s">
        <v>176</v>
      </c>
      <c r="AD70">
        <v>70</v>
      </c>
      <c r="AE70" t="s">
        <v>176</v>
      </c>
      <c r="AF70" s="4" t="s">
        <v>57</v>
      </c>
      <c r="AG70" s="4">
        <v>3180</v>
      </c>
      <c r="AH70" s="4" t="s">
        <v>58</v>
      </c>
      <c r="AI70" s="4">
        <v>3184</v>
      </c>
      <c r="AJ70" t="s">
        <v>176</v>
      </c>
      <c r="AK70" t="s">
        <v>56</v>
      </c>
      <c r="AL70" t="s">
        <v>233</v>
      </c>
      <c r="AM70" s="1">
        <v>0.33333333333333331</v>
      </c>
      <c r="AN70">
        <v>0</v>
      </c>
      <c r="AO70" s="1">
        <v>0.375</v>
      </c>
      <c r="AP70">
        <v>0</v>
      </c>
      <c r="AQ70" s="5">
        <v>814</v>
      </c>
      <c r="AR70" s="1">
        <v>0.625</v>
      </c>
      <c r="AS70">
        <v>0</v>
      </c>
      <c r="AT70" s="1">
        <v>0.66666666666666663</v>
      </c>
      <c r="AU70">
        <v>0</v>
      </c>
      <c r="AV70" s="5">
        <v>862</v>
      </c>
      <c r="AW70" t="s">
        <v>56</v>
      </c>
      <c r="AX70" s="6">
        <v>7002.8</v>
      </c>
      <c r="AY70" t="s">
        <v>176</v>
      </c>
      <c r="AZ70" t="s">
        <v>56</v>
      </c>
    </row>
    <row r="71" spans="1:52" hidden="1" x14ac:dyDescent="0.45">
      <c r="A71">
        <v>513855.50037112599</v>
      </c>
      <c r="B71">
        <v>6930971.49398332</v>
      </c>
      <c r="C71">
        <v>70</v>
      </c>
      <c r="D71" t="s">
        <v>234</v>
      </c>
      <c r="E71" t="s">
        <v>235</v>
      </c>
      <c r="F71" t="s">
        <v>236</v>
      </c>
      <c r="G71" t="s">
        <v>176</v>
      </c>
      <c r="H71" s="3">
        <v>3126</v>
      </c>
      <c r="I71">
        <v>2</v>
      </c>
      <c r="J71" t="s">
        <v>56</v>
      </c>
      <c r="K71">
        <v>70.400000000000006</v>
      </c>
      <c r="L71">
        <v>77.8</v>
      </c>
      <c r="M71">
        <v>1</v>
      </c>
      <c r="N71" t="s">
        <v>56</v>
      </c>
      <c r="O71" t="s">
        <v>176</v>
      </c>
      <c r="P71">
        <v>73</v>
      </c>
      <c r="Q71">
        <v>1.45364783324191</v>
      </c>
      <c r="R71">
        <v>23.907478515267901</v>
      </c>
      <c r="S71">
        <v>0.55311757176814802</v>
      </c>
      <c r="T71">
        <v>7.7710733223624096E-2</v>
      </c>
      <c r="U71">
        <v>3.1998537209727597E-2</v>
      </c>
      <c r="V71">
        <v>0.92338635948070902</v>
      </c>
      <c r="W71">
        <v>2.2856098006948301E-2</v>
      </c>
      <c r="X71">
        <v>9.1424392027792997E-2</v>
      </c>
      <c r="Y71">
        <v>8.2281952825013702E-2</v>
      </c>
      <c r="Z71">
        <v>1.8284878405558602E-2</v>
      </c>
      <c r="AA71">
        <v>0</v>
      </c>
      <c r="AB71">
        <v>0.39312488571950999</v>
      </c>
      <c r="AC71" t="s">
        <v>176</v>
      </c>
      <c r="AD71">
        <v>80</v>
      </c>
      <c r="AE71" t="s">
        <v>176</v>
      </c>
      <c r="AF71" s="4" t="s">
        <v>57</v>
      </c>
      <c r="AG71" s="4">
        <v>1559</v>
      </c>
      <c r="AH71" s="4" t="s">
        <v>58</v>
      </c>
      <c r="AI71" s="4">
        <v>1567</v>
      </c>
      <c r="AJ71" t="s">
        <v>176</v>
      </c>
      <c r="AK71" t="s">
        <v>56</v>
      </c>
      <c r="AL71" t="s">
        <v>236</v>
      </c>
      <c r="AM71" s="1">
        <v>0.33333333333333331</v>
      </c>
      <c r="AN71">
        <v>0</v>
      </c>
      <c r="AO71" s="1">
        <v>0.375</v>
      </c>
      <c r="AP71">
        <v>0</v>
      </c>
      <c r="AQ71" s="5">
        <v>266</v>
      </c>
      <c r="AR71" s="1">
        <v>0.625</v>
      </c>
      <c r="AS71">
        <v>0</v>
      </c>
      <c r="AT71" s="1">
        <v>0.66666666666666663</v>
      </c>
      <c r="AU71">
        <v>0</v>
      </c>
      <c r="AV71" s="5">
        <v>334</v>
      </c>
      <c r="AW71" t="s">
        <v>56</v>
      </c>
      <c r="AX71" s="6">
        <v>3380</v>
      </c>
      <c r="AY71" t="s">
        <v>176</v>
      </c>
      <c r="AZ71" t="s">
        <v>56</v>
      </c>
    </row>
    <row r="72" spans="1:52" hidden="1" x14ac:dyDescent="0.45">
      <c r="A72">
        <v>502215.27868125302</v>
      </c>
      <c r="B72">
        <v>6919228.52305678</v>
      </c>
      <c r="C72">
        <v>71</v>
      </c>
      <c r="D72" t="s">
        <v>237</v>
      </c>
      <c r="E72" t="s">
        <v>191</v>
      </c>
      <c r="F72" t="s">
        <v>238</v>
      </c>
      <c r="G72" t="s">
        <v>176</v>
      </c>
      <c r="H72" s="3">
        <v>2022</v>
      </c>
      <c r="I72">
        <v>2</v>
      </c>
      <c r="J72" t="s">
        <v>56</v>
      </c>
      <c r="K72">
        <v>63.7</v>
      </c>
      <c r="L72">
        <v>71.3</v>
      </c>
      <c r="M72">
        <v>1</v>
      </c>
      <c r="N72" t="s">
        <v>56</v>
      </c>
      <c r="O72" t="s">
        <v>176</v>
      </c>
      <c r="P72">
        <v>69.400000000000006</v>
      </c>
      <c r="Q72">
        <v>1.61837455830389</v>
      </c>
      <c r="R72">
        <v>27.7173144876325</v>
      </c>
      <c r="S72">
        <v>0.33922261484098898</v>
      </c>
      <c r="T72">
        <v>0.11307420494699599</v>
      </c>
      <c r="U72">
        <v>2.1201413427561801E-2</v>
      </c>
      <c r="V72">
        <v>0.65724381625441697</v>
      </c>
      <c r="W72">
        <v>4.2402826855123699E-2</v>
      </c>
      <c r="X72">
        <v>0.17667844522968201</v>
      </c>
      <c r="Y72">
        <v>1.41342756183746E-2</v>
      </c>
      <c r="Z72">
        <v>7.0671378091872799E-3</v>
      </c>
      <c r="AA72">
        <v>0</v>
      </c>
      <c r="AB72">
        <v>0.21908127208480599</v>
      </c>
      <c r="AC72" t="s">
        <v>176</v>
      </c>
      <c r="AD72">
        <v>60</v>
      </c>
      <c r="AE72" t="s">
        <v>176</v>
      </c>
      <c r="AF72" s="4" t="s">
        <v>57</v>
      </c>
      <c r="AG72" s="4">
        <v>1013</v>
      </c>
      <c r="AH72" s="4" t="s">
        <v>58</v>
      </c>
      <c r="AI72" s="4">
        <v>1009</v>
      </c>
      <c r="AJ72" t="s">
        <v>176</v>
      </c>
      <c r="AK72" t="s">
        <v>56</v>
      </c>
      <c r="AL72" t="s">
        <v>238</v>
      </c>
      <c r="AM72" s="1">
        <v>0.29166666666666669</v>
      </c>
      <c r="AN72">
        <v>0</v>
      </c>
      <c r="AO72" s="1">
        <v>0.33333333333333331</v>
      </c>
      <c r="AP72">
        <v>0</v>
      </c>
      <c r="AQ72" s="5">
        <v>170</v>
      </c>
      <c r="AR72" s="1">
        <v>0.66666666666666663</v>
      </c>
      <c r="AS72">
        <v>0</v>
      </c>
      <c r="AT72" s="1">
        <v>0.70833333333333337</v>
      </c>
      <c r="AU72">
        <v>0</v>
      </c>
      <c r="AV72" s="5">
        <v>220</v>
      </c>
      <c r="AW72" t="s">
        <v>56</v>
      </c>
      <c r="AX72" s="6">
        <v>2100</v>
      </c>
      <c r="AY72" t="s">
        <v>176</v>
      </c>
      <c r="AZ72" t="s">
        <v>56</v>
      </c>
    </row>
    <row r="73" spans="1:52" hidden="1" x14ac:dyDescent="0.45">
      <c r="A73">
        <v>502754.80317861499</v>
      </c>
      <c r="B73">
        <v>6919145.3324540202</v>
      </c>
      <c r="C73">
        <v>72</v>
      </c>
      <c r="D73" t="s">
        <v>237</v>
      </c>
      <c r="E73" t="s">
        <v>191</v>
      </c>
      <c r="F73" t="s">
        <v>239</v>
      </c>
      <c r="G73" t="s">
        <v>176</v>
      </c>
      <c r="H73" s="3">
        <v>1971</v>
      </c>
      <c r="I73">
        <v>2</v>
      </c>
      <c r="J73" t="s">
        <v>56</v>
      </c>
      <c r="K73">
        <v>71.099999999999994</v>
      </c>
      <c r="L73">
        <v>80.599999999999994</v>
      </c>
      <c r="M73">
        <v>1</v>
      </c>
      <c r="N73" t="s">
        <v>56</v>
      </c>
      <c r="O73" t="s">
        <v>176</v>
      </c>
      <c r="P73">
        <v>75.3</v>
      </c>
      <c r="Q73">
        <v>1.73301428467841</v>
      </c>
      <c r="R73">
        <v>21.949097237328701</v>
      </c>
      <c r="S73">
        <v>0.32629976071350902</v>
      </c>
      <c r="T73">
        <v>8.7013269523602305E-2</v>
      </c>
      <c r="U73">
        <v>2.17533173809006E-2</v>
      </c>
      <c r="V73">
        <v>0.60909288666521599</v>
      </c>
      <c r="W73">
        <v>5.0757740555434701E-2</v>
      </c>
      <c r="X73">
        <v>0.188528750634472</v>
      </c>
      <c r="Y73">
        <v>1.45022115872671E-2</v>
      </c>
      <c r="Z73">
        <v>1.45022115872671E-2</v>
      </c>
      <c r="AA73">
        <v>0</v>
      </c>
      <c r="AB73">
        <v>0.188528750634472</v>
      </c>
      <c r="AC73" t="s">
        <v>176</v>
      </c>
      <c r="AD73">
        <v>60</v>
      </c>
      <c r="AE73" t="s">
        <v>176</v>
      </c>
      <c r="AF73" s="4" t="s">
        <v>57</v>
      </c>
      <c r="AG73" s="4">
        <v>986</v>
      </c>
      <c r="AH73" s="4" t="s">
        <v>58</v>
      </c>
      <c r="AI73" s="4">
        <v>985</v>
      </c>
      <c r="AJ73" t="s">
        <v>176</v>
      </c>
      <c r="AK73" t="s">
        <v>56</v>
      </c>
      <c r="AL73" t="s">
        <v>239</v>
      </c>
      <c r="AM73" s="1">
        <v>0.29166666666666669</v>
      </c>
      <c r="AN73">
        <v>0</v>
      </c>
      <c r="AO73" s="1">
        <v>0.33333333333333331</v>
      </c>
      <c r="AP73">
        <v>0</v>
      </c>
      <c r="AQ73" s="5">
        <v>167</v>
      </c>
      <c r="AR73" s="1">
        <v>0.66666666666666663</v>
      </c>
      <c r="AS73">
        <v>0</v>
      </c>
      <c r="AT73" s="1">
        <v>0.70833333333333337</v>
      </c>
      <c r="AU73">
        <v>0</v>
      </c>
      <c r="AV73" s="5">
        <v>214</v>
      </c>
      <c r="AW73" t="s">
        <v>56</v>
      </c>
      <c r="AX73" s="6">
        <v>2046</v>
      </c>
      <c r="AY73" t="s">
        <v>176</v>
      </c>
      <c r="AZ73" t="s">
        <v>56</v>
      </c>
    </row>
    <row r="74" spans="1:52" hidden="1" x14ac:dyDescent="0.45">
      <c r="A74">
        <v>508396.60395070398</v>
      </c>
      <c r="B74">
        <v>6932301.3233608399</v>
      </c>
      <c r="C74">
        <v>73</v>
      </c>
      <c r="D74" t="s">
        <v>240</v>
      </c>
      <c r="E74" t="s">
        <v>166</v>
      </c>
      <c r="F74" t="s">
        <v>241</v>
      </c>
      <c r="G74" t="s">
        <v>183</v>
      </c>
      <c r="H74" s="3">
        <v>493</v>
      </c>
      <c r="I74">
        <v>2</v>
      </c>
      <c r="J74" t="s">
        <v>56</v>
      </c>
      <c r="K74">
        <v>73.400000000000006</v>
      </c>
      <c r="L74">
        <v>82.8</v>
      </c>
      <c r="M74">
        <v>1</v>
      </c>
      <c r="N74" t="s">
        <v>56</v>
      </c>
      <c r="O74" t="s">
        <v>183</v>
      </c>
      <c r="P74">
        <v>77.400000000000006</v>
      </c>
      <c r="Q74">
        <v>1.0443864229765001</v>
      </c>
      <c r="R74">
        <v>19.727299100667199</v>
      </c>
      <c r="S74">
        <v>0.58021467943139005</v>
      </c>
      <c r="T74">
        <v>0</v>
      </c>
      <c r="U74">
        <v>0</v>
      </c>
      <c r="V74">
        <v>1.3344937626922</v>
      </c>
      <c r="W74">
        <v>2.9010733971569499E-2</v>
      </c>
      <c r="X74">
        <v>8.7032201914708396E-2</v>
      </c>
      <c r="Y74">
        <v>0</v>
      </c>
      <c r="Z74">
        <v>0</v>
      </c>
      <c r="AA74">
        <v>0</v>
      </c>
      <c r="AB74">
        <v>0.17406440382941701</v>
      </c>
      <c r="AC74" t="s">
        <v>183</v>
      </c>
      <c r="AD74">
        <v>70</v>
      </c>
      <c r="AE74" t="s">
        <v>183</v>
      </c>
      <c r="AF74" s="4" t="s">
        <v>57</v>
      </c>
      <c r="AG74" s="4">
        <v>247</v>
      </c>
      <c r="AH74" s="4" t="s">
        <v>58</v>
      </c>
      <c r="AI74" s="4">
        <v>246</v>
      </c>
      <c r="AJ74" t="s">
        <v>183</v>
      </c>
      <c r="AK74" t="s">
        <v>56</v>
      </c>
      <c r="AL74" t="s">
        <v>241</v>
      </c>
      <c r="AM74" s="1">
        <v>0.33333333333333331</v>
      </c>
      <c r="AN74">
        <v>0</v>
      </c>
      <c r="AO74" s="1">
        <v>0.375</v>
      </c>
      <c r="AP74">
        <v>0</v>
      </c>
      <c r="AQ74" s="5">
        <v>43</v>
      </c>
      <c r="AR74" s="1">
        <v>0.625</v>
      </c>
      <c r="AS74">
        <v>0</v>
      </c>
      <c r="AT74" s="1">
        <v>0.66666666666666663</v>
      </c>
      <c r="AU74">
        <v>0</v>
      </c>
      <c r="AV74" s="5">
        <v>56</v>
      </c>
      <c r="AW74" t="s">
        <v>56</v>
      </c>
      <c r="AX74" s="6">
        <v>502</v>
      </c>
      <c r="AY74" t="s">
        <v>183</v>
      </c>
      <c r="AZ74" t="s">
        <v>56</v>
      </c>
    </row>
    <row r="75" spans="1:52" hidden="1" x14ac:dyDescent="0.45">
      <c r="A75">
        <v>511189.90907166398</v>
      </c>
      <c r="B75">
        <v>6937672.5544698602</v>
      </c>
      <c r="C75">
        <v>74</v>
      </c>
      <c r="D75" t="s">
        <v>242</v>
      </c>
      <c r="E75" t="s">
        <v>243</v>
      </c>
      <c r="F75" t="s">
        <v>244</v>
      </c>
      <c r="G75" t="s">
        <v>245</v>
      </c>
      <c r="H75" s="3">
        <v>11645</v>
      </c>
      <c r="I75">
        <v>2</v>
      </c>
      <c r="J75" t="s">
        <v>56</v>
      </c>
      <c r="K75">
        <v>49.3</v>
      </c>
      <c r="L75">
        <v>55.1</v>
      </c>
      <c r="M75">
        <v>1</v>
      </c>
      <c r="N75" t="s">
        <v>56</v>
      </c>
      <c r="O75" t="s">
        <v>245</v>
      </c>
      <c r="P75">
        <v>80.599999999999994</v>
      </c>
      <c r="Q75">
        <v>1.0146367796631</v>
      </c>
      <c r="R75">
        <v>17.5371440489774</v>
      </c>
      <c r="S75">
        <v>0.42818408234875499</v>
      </c>
      <c r="T75">
        <v>5.0302428012317997E-2</v>
      </c>
      <c r="U75">
        <v>2.5764658250211601E-2</v>
      </c>
      <c r="V75">
        <v>0.336167445740857</v>
      </c>
      <c r="W75">
        <v>2.3310881274001001E-2</v>
      </c>
      <c r="X75">
        <v>3.5579766155054197E-2</v>
      </c>
      <c r="Y75">
        <v>4.9075539524212602E-3</v>
      </c>
      <c r="Z75">
        <v>1.34957733691585E-2</v>
      </c>
      <c r="AA75">
        <v>0</v>
      </c>
      <c r="AB75">
        <v>0.22206681634706199</v>
      </c>
      <c r="AC75" t="s">
        <v>245</v>
      </c>
      <c r="AD75">
        <v>60</v>
      </c>
      <c r="AE75" t="s">
        <v>245</v>
      </c>
      <c r="AF75" s="4" t="s">
        <v>57</v>
      </c>
      <c r="AG75" s="4">
        <v>6028</v>
      </c>
      <c r="AH75" s="4" t="s">
        <v>58</v>
      </c>
      <c r="AI75" s="4">
        <v>5617</v>
      </c>
      <c r="AJ75" t="s">
        <v>245</v>
      </c>
      <c r="AK75" t="s">
        <v>56</v>
      </c>
      <c r="AL75" t="s">
        <v>244</v>
      </c>
      <c r="AM75" s="1">
        <v>0.33333333333333331</v>
      </c>
      <c r="AN75">
        <v>0</v>
      </c>
      <c r="AO75" s="1">
        <v>0.375</v>
      </c>
      <c r="AP75">
        <v>0</v>
      </c>
      <c r="AQ75" s="5">
        <v>1120</v>
      </c>
      <c r="AR75" s="1">
        <v>0.625</v>
      </c>
      <c r="AS75">
        <v>0</v>
      </c>
      <c r="AT75" s="1">
        <v>0.66666666666666663</v>
      </c>
      <c r="AU75">
        <v>0</v>
      </c>
      <c r="AV75" s="5">
        <v>1127</v>
      </c>
      <c r="AW75" t="s">
        <v>56</v>
      </c>
      <c r="AX75" s="6">
        <v>12579.8</v>
      </c>
      <c r="AY75" t="s">
        <v>245</v>
      </c>
      <c r="AZ75" t="s">
        <v>56</v>
      </c>
    </row>
    <row r="76" spans="1:52" hidden="1" x14ac:dyDescent="0.45">
      <c r="A76">
        <v>519028.883708507</v>
      </c>
      <c r="B76">
        <v>6934331.93215835</v>
      </c>
      <c r="C76">
        <v>75</v>
      </c>
      <c r="D76" t="s">
        <v>246</v>
      </c>
      <c r="E76" t="s">
        <v>247</v>
      </c>
      <c r="F76" t="s">
        <v>248</v>
      </c>
      <c r="G76" t="s">
        <v>176</v>
      </c>
      <c r="H76" s="3">
        <v>1129</v>
      </c>
      <c r="I76">
        <v>2</v>
      </c>
      <c r="J76" t="s">
        <v>56</v>
      </c>
      <c r="K76">
        <v>40.799999999999997</v>
      </c>
      <c r="L76">
        <v>47.9</v>
      </c>
      <c r="M76">
        <v>1</v>
      </c>
      <c r="N76" t="s">
        <v>56</v>
      </c>
      <c r="O76" t="s">
        <v>176</v>
      </c>
      <c r="P76">
        <v>82.1</v>
      </c>
      <c r="Q76">
        <v>1.4687262598126101</v>
      </c>
      <c r="R76">
        <v>14.269435300075999</v>
      </c>
      <c r="S76">
        <v>1.2281590276019201</v>
      </c>
      <c r="T76">
        <v>0.21524436566219299</v>
      </c>
      <c r="U76">
        <v>7.5968599645479903E-2</v>
      </c>
      <c r="V76">
        <v>0.51911876424411196</v>
      </c>
      <c r="W76">
        <v>2.5322866548493299E-2</v>
      </c>
      <c r="X76">
        <v>0</v>
      </c>
      <c r="Y76">
        <v>5.0645733096986598E-2</v>
      </c>
      <c r="Z76">
        <v>1.2661433274246601E-2</v>
      </c>
      <c r="AA76">
        <v>1.2661433274246601E-2</v>
      </c>
      <c r="AB76">
        <v>0.46847303114712602</v>
      </c>
      <c r="AC76" t="s">
        <v>176</v>
      </c>
      <c r="AD76">
        <v>60</v>
      </c>
      <c r="AE76" t="s">
        <v>176</v>
      </c>
      <c r="AF76" s="4" t="s">
        <v>80</v>
      </c>
      <c r="AG76" s="4">
        <v>1049</v>
      </c>
      <c r="AH76" s="4" t="s">
        <v>81</v>
      </c>
      <c r="AI76" s="4">
        <v>80</v>
      </c>
      <c r="AJ76" t="s">
        <v>176</v>
      </c>
      <c r="AK76" t="s">
        <v>56</v>
      </c>
      <c r="AL76" t="s">
        <v>248</v>
      </c>
      <c r="AM76" s="1">
        <v>0.41666666666666669</v>
      </c>
      <c r="AN76">
        <v>0</v>
      </c>
      <c r="AO76" s="1">
        <v>0.45833333333333331</v>
      </c>
      <c r="AP76">
        <v>0</v>
      </c>
      <c r="AQ76" s="5">
        <v>106</v>
      </c>
      <c r="AR76" s="1">
        <v>0.625</v>
      </c>
      <c r="AS76">
        <v>0</v>
      </c>
      <c r="AT76" s="1">
        <v>0.66666666666666663</v>
      </c>
      <c r="AU76">
        <v>0</v>
      </c>
      <c r="AV76" s="5">
        <v>123</v>
      </c>
      <c r="AW76" t="s">
        <v>56</v>
      </c>
      <c r="AX76" s="6">
        <v>1228.5999999999999</v>
      </c>
      <c r="AY76" t="s">
        <v>176</v>
      </c>
      <c r="AZ76" t="s">
        <v>56</v>
      </c>
    </row>
    <row r="77" spans="1:52" hidden="1" x14ac:dyDescent="0.45">
      <c r="A77">
        <v>500857.17573512101</v>
      </c>
      <c r="B77">
        <v>6927716.0558708403</v>
      </c>
      <c r="C77">
        <v>76</v>
      </c>
      <c r="D77" t="s">
        <v>249</v>
      </c>
      <c r="E77" t="s">
        <v>250</v>
      </c>
      <c r="F77" t="s">
        <v>251</v>
      </c>
      <c r="G77" t="s">
        <v>252</v>
      </c>
      <c r="H77" s="3">
        <v>173</v>
      </c>
      <c r="I77">
        <v>2</v>
      </c>
      <c r="J77" t="s">
        <v>56</v>
      </c>
      <c r="K77">
        <v>47</v>
      </c>
      <c r="L77">
        <v>56.2</v>
      </c>
      <c r="M77">
        <v>1</v>
      </c>
      <c r="N77" t="s">
        <v>56</v>
      </c>
      <c r="O77" t="s">
        <v>252</v>
      </c>
      <c r="P77">
        <v>71.8</v>
      </c>
      <c r="Q77">
        <v>1.6608391608391599</v>
      </c>
      <c r="R77">
        <v>0</v>
      </c>
      <c r="S77">
        <v>0</v>
      </c>
      <c r="T77">
        <v>9.4558999999999997</v>
      </c>
      <c r="U77">
        <v>0</v>
      </c>
      <c r="V77">
        <v>0</v>
      </c>
      <c r="W77">
        <v>9.2076899999999995</v>
      </c>
      <c r="X77">
        <v>8</v>
      </c>
      <c r="Y77">
        <v>0</v>
      </c>
      <c r="Z77">
        <v>0</v>
      </c>
      <c r="AA77">
        <v>0</v>
      </c>
      <c r="AB77">
        <v>0</v>
      </c>
      <c r="AC77" t="s">
        <v>252</v>
      </c>
      <c r="AD77">
        <v>60</v>
      </c>
      <c r="AE77" t="s">
        <v>252</v>
      </c>
      <c r="AF77" s="4" t="s">
        <v>80</v>
      </c>
      <c r="AG77" s="4">
        <v>86</v>
      </c>
      <c r="AH77" s="4" t="s">
        <v>81</v>
      </c>
      <c r="AI77" s="4">
        <v>87</v>
      </c>
      <c r="AJ77" t="s">
        <v>252</v>
      </c>
      <c r="AK77" t="s">
        <v>56</v>
      </c>
      <c r="AL77" t="s">
        <v>251</v>
      </c>
      <c r="AM77" s="1">
        <v>0.33333333333333331</v>
      </c>
      <c r="AN77">
        <v>0</v>
      </c>
      <c r="AO77" s="1">
        <v>0.375</v>
      </c>
      <c r="AP77">
        <v>0</v>
      </c>
      <c r="AQ77" s="5">
        <v>16</v>
      </c>
      <c r="AR77" s="1">
        <v>0.75</v>
      </c>
      <c r="AS77">
        <v>0</v>
      </c>
      <c r="AT77" s="1">
        <v>0.79166666666666663</v>
      </c>
      <c r="AU77">
        <v>0</v>
      </c>
      <c r="AV77" s="5">
        <v>30</v>
      </c>
      <c r="AW77" t="s">
        <v>56</v>
      </c>
      <c r="AX77" s="6">
        <v>191.2</v>
      </c>
      <c r="AY77" t="s">
        <v>252</v>
      </c>
      <c r="AZ77" t="s">
        <v>56</v>
      </c>
    </row>
    <row r="78" spans="1:52" hidden="1" x14ac:dyDescent="0.45">
      <c r="A78">
        <v>515412.94252058002</v>
      </c>
      <c r="B78">
        <v>6936649.9536947403</v>
      </c>
      <c r="C78">
        <v>77</v>
      </c>
      <c r="D78" t="s">
        <v>253</v>
      </c>
      <c r="E78" t="s">
        <v>254</v>
      </c>
      <c r="F78" t="s">
        <v>255</v>
      </c>
      <c r="G78" t="s">
        <v>176</v>
      </c>
      <c r="H78" s="3">
        <v>1459</v>
      </c>
      <c r="I78">
        <v>2</v>
      </c>
      <c r="J78" t="s">
        <v>56</v>
      </c>
      <c r="K78">
        <v>43.7</v>
      </c>
      <c r="L78">
        <v>52.9</v>
      </c>
      <c r="M78">
        <v>1</v>
      </c>
      <c r="N78" t="s">
        <v>56</v>
      </c>
      <c r="O78" t="s">
        <v>176</v>
      </c>
      <c r="P78">
        <v>86.4</v>
      </c>
      <c r="Q78">
        <v>0.82304526748971196</v>
      </c>
      <c r="R78">
        <v>12.4632569077014</v>
      </c>
      <c r="S78">
        <v>0.27434842249657099</v>
      </c>
      <c r="T78">
        <v>6.8587105624142705E-2</v>
      </c>
      <c r="U78">
        <v>2.93944738389183E-2</v>
      </c>
      <c r="V78">
        <v>0.12737605330197899</v>
      </c>
      <c r="W78">
        <v>9.7981579463060908E-3</v>
      </c>
      <c r="X78">
        <v>9.7981579463060908E-3</v>
      </c>
      <c r="Y78">
        <v>0</v>
      </c>
      <c r="Z78">
        <v>0</v>
      </c>
      <c r="AA78">
        <v>0</v>
      </c>
      <c r="AB78">
        <v>0.12737605330197899</v>
      </c>
      <c r="AC78" t="s">
        <v>176</v>
      </c>
      <c r="AD78">
        <v>50</v>
      </c>
      <c r="AE78" t="s">
        <v>176</v>
      </c>
      <c r="AF78" s="4" t="s">
        <v>80</v>
      </c>
      <c r="AG78" s="4">
        <v>729</v>
      </c>
      <c r="AH78" s="4" t="s">
        <v>81</v>
      </c>
      <c r="AI78" s="4">
        <v>730</v>
      </c>
      <c r="AJ78" t="s">
        <v>176</v>
      </c>
      <c r="AK78" t="s">
        <v>56</v>
      </c>
      <c r="AL78" t="s">
        <v>255</v>
      </c>
      <c r="AM78" s="1">
        <v>0.33333333333333331</v>
      </c>
      <c r="AN78">
        <v>0</v>
      </c>
      <c r="AO78" s="1">
        <v>0.375</v>
      </c>
      <c r="AP78">
        <v>0</v>
      </c>
      <c r="AQ78" s="5">
        <v>289</v>
      </c>
      <c r="AR78" s="1">
        <v>0.625</v>
      </c>
      <c r="AS78">
        <v>0</v>
      </c>
      <c r="AT78" s="1">
        <v>0.66666666666666663</v>
      </c>
      <c r="AU78">
        <v>0</v>
      </c>
      <c r="AV78" s="5">
        <v>246</v>
      </c>
      <c r="AW78" t="s">
        <v>56</v>
      </c>
      <c r="AX78" s="6">
        <v>1669.6</v>
      </c>
      <c r="AY78" t="s">
        <v>176</v>
      </c>
      <c r="AZ78" t="s">
        <v>56</v>
      </c>
    </row>
    <row r="79" spans="1:52" hidden="1" x14ac:dyDescent="0.45">
      <c r="A79">
        <v>496046.75540055602</v>
      </c>
      <c r="B79">
        <v>6931913.6707758503</v>
      </c>
      <c r="C79">
        <v>78</v>
      </c>
      <c r="D79" t="s">
        <v>256</v>
      </c>
      <c r="E79" t="s">
        <v>257</v>
      </c>
      <c r="F79" t="s">
        <v>258</v>
      </c>
      <c r="G79" t="s">
        <v>102</v>
      </c>
      <c r="H79" s="3">
        <v>2009</v>
      </c>
      <c r="I79">
        <v>2</v>
      </c>
      <c r="J79" t="s">
        <v>56</v>
      </c>
      <c r="K79">
        <v>64.7</v>
      </c>
      <c r="L79">
        <v>72</v>
      </c>
      <c r="M79">
        <v>1</v>
      </c>
      <c r="N79" t="s">
        <v>56</v>
      </c>
      <c r="O79" t="s">
        <v>102</v>
      </c>
      <c r="P79">
        <v>80.2</v>
      </c>
      <c r="Q79">
        <v>1.6861126920887901</v>
      </c>
      <c r="R79">
        <v>16.725953329538999</v>
      </c>
      <c r="S79">
        <v>0.68298235628912896</v>
      </c>
      <c r="T79">
        <v>0.184974388161639</v>
      </c>
      <c r="U79">
        <v>2.8457598178713701E-2</v>
      </c>
      <c r="V79">
        <v>0.64029595902105896</v>
      </c>
      <c r="W79">
        <v>2.1343198634035301E-2</v>
      </c>
      <c r="X79">
        <v>8.5372794536141106E-2</v>
      </c>
      <c r="Y79">
        <v>1.4228799089356901E-2</v>
      </c>
      <c r="Z79">
        <v>0</v>
      </c>
      <c r="AA79">
        <v>0</v>
      </c>
      <c r="AB79">
        <v>0.23477518497438801</v>
      </c>
      <c r="AC79" t="s">
        <v>102</v>
      </c>
      <c r="AD79">
        <v>60</v>
      </c>
      <c r="AE79" t="s">
        <v>102</v>
      </c>
      <c r="AF79" s="4" t="s">
        <v>80</v>
      </c>
      <c r="AG79" s="4">
        <v>1014</v>
      </c>
      <c r="AH79" s="4" t="s">
        <v>81</v>
      </c>
      <c r="AI79" s="4">
        <v>995</v>
      </c>
      <c r="AJ79" t="s">
        <v>102</v>
      </c>
      <c r="AK79" t="s">
        <v>56</v>
      </c>
      <c r="AL79" t="s">
        <v>258</v>
      </c>
      <c r="AM79" s="1">
        <v>0.29166666666666669</v>
      </c>
      <c r="AN79">
        <v>0</v>
      </c>
      <c r="AO79" s="1">
        <v>0.33333333333333331</v>
      </c>
      <c r="AP79">
        <v>0</v>
      </c>
      <c r="AQ79" s="5">
        <v>185</v>
      </c>
      <c r="AR79" s="1">
        <v>0.66666666666666663</v>
      </c>
      <c r="AS79">
        <v>0</v>
      </c>
      <c r="AT79" s="1">
        <v>0.70833333333333337</v>
      </c>
      <c r="AU79">
        <v>0</v>
      </c>
      <c r="AV79" s="5">
        <v>202</v>
      </c>
      <c r="AW79" t="s">
        <v>56</v>
      </c>
      <c r="AX79" s="6">
        <v>2072.4</v>
      </c>
      <c r="AY79" t="s">
        <v>102</v>
      </c>
      <c r="AZ79" t="s">
        <v>56</v>
      </c>
    </row>
    <row r="80" spans="1:52" hidden="1" x14ac:dyDescent="0.45">
      <c r="A80">
        <v>508826.79433677701</v>
      </c>
      <c r="B80">
        <v>6939713.7761320099</v>
      </c>
      <c r="C80">
        <v>79</v>
      </c>
      <c r="D80" t="s">
        <v>259</v>
      </c>
      <c r="E80" t="s">
        <v>205</v>
      </c>
      <c r="F80" t="s">
        <v>260</v>
      </c>
      <c r="G80" t="s">
        <v>176</v>
      </c>
      <c r="H80" s="3">
        <v>4678</v>
      </c>
      <c r="I80">
        <v>2</v>
      </c>
      <c r="J80" t="s">
        <v>56</v>
      </c>
      <c r="K80">
        <v>61.5</v>
      </c>
      <c r="L80">
        <v>68.400000000000006</v>
      </c>
      <c r="M80">
        <v>1</v>
      </c>
      <c r="N80" t="s">
        <v>56</v>
      </c>
      <c r="O80" t="s">
        <v>176</v>
      </c>
      <c r="P80">
        <v>85.9</v>
      </c>
      <c r="Q80">
        <v>1.0416348474203501</v>
      </c>
      <c r="R80">
        <v>12.8600665913187</v>
      </c>
      <c r="S80">
        <v>0.164950972905275</v>
      </c>
      <c r="T80">
        <v>2.44371811711519E-2</v>
      </c>
      <c r="U80">
        <v>9.1639429391819592E-3</v>
      </c>
      <c r="V80">
        <v>0.155787029966093</v>
      </c>
      <c r="W80">
        <v>1.52732382319699E-2</v>
      </c>
      <c r="X80">
        <v>6.1092952927879803E-3</v>
      </c>
      <c r="Y80">
        <v>0</v>
      </c>
      <c r="Z80">
        <v>1.2218590585576001E-2</v>
      </c>
      <c r="AA80">
        <v>0</v>
      </c>
      <c r="AB80">
        <v>0.13134984879494099</v>
      </c>
      <c r="AC80" t="s">
        <v>176</v>
      </c>
      <c r="AD80">
        <v>60</v>
      </c>
      <c r="AE80" t="s">
        <v>176</v>
      </c>
      <c r="AF80" s="4" t="s">
        <v>80</v>
      </c>
      <c r="AG80" s="4">
        <v>2220</v>
      </c>
      <c r="AH80" s="4" t="s">
        <v>81</v>
      </c>
      <c r="AI80" s="4">
        <v>2458</v>
      </c>
      <c r="AJ80" t="s">
        <v>176</v>
      </c>
      <c r="AK80" t="s">
        <v>56</v>
      </c>
      <c r="AL80" t="s">
        <v>260</v>
      </c>
      <c r="AM80" s="1">
        <v>0.29166666666666669</v>
      </c>
      <c r="AN80">
        <v>0</v>
      </c>
      <c r="AO80" s="1">
        <v>0.33333333333333331</v>
      </c>
      <c r="AP80">
        <v>0</v>
      </c>
      <c r="AQ80" s="5">
        <v>371</v>
      </c>
      <c r="AR80" s="1">
        <v>0.625</v>
      </c>
      <c r="AS80">
        <v>0</v>
      </c>
      <c r="AT80" s="1">
        <v>0.66666666666666663</v>
      </c>
      <c r="AU80">
        <v>0</v>
      </c>
      <c r="AV80" s="5">
        <v>538</v>
      </c>
      <c r="AW80" t="s">
        <v>56</v>
      </c>
      <c r="AX80" s="6">
        <v>5245.6</v>
      </c>
      <c r="AY80" t="s">
        <v>176</v>
      </c>
      <c r="AZ80" t="s">
        <v>56</v>
      </c>
    </row>
    <row r="81" spans="1:52" hidden="1" x14ac:dyDescent="0.45">
      <c r="A81">
        <v>513893.54152665503</v>
      </c>
      <c r="B81">
        <v>6934932.62445834</v>
      </c>
      <c r="C81">
        <v>80</v>
      </c>
      <c r="D81" t="s">
        <v>261</v>
      </c>
      <c r="E81" t="s">
        <v>262</v>
      </c>
      <c r="F81" t="s">
        <v>263</v>
      </c>
      <c r="G81" t="s">
        <v>176</v>
      </c>
      <c r="H81" s="3">
        <v>1199</v>
      </c>
      <c r="I81">
        <v>2</v>
      </c>
      <c r="J81" t="s">
        <v>56</v>
      </c>
      <c r="K81">
        <v>64.599999999999994</v>
      </c>
      <c r="L81">
        <v>72</v>
      </c>
      <c r="M81">
        <v>1</v>
      </c>
      <c r="N81" t="s">
        <v>56</v>
      </c>
      <c r="O81" t="s">
        <v>176</v>
      </c>
      <c r="P81">
        <v>78.2</v>
      </c>
      <c r="Q81">
        <v>1.4186933714830701</v>
      </c>
      <c r="R81">
        <v>18.574153552694298</v>
      </c>
      <c r="S81">
        <v>0.56032427277062502</v>
      </c>
      <c r="T81">
        <v>5.9608965188364303E-2</v>
      </c>
      <c r="U81">
        <v>5.9608965188364303E-2</v>
      </c>
      <c r="V81">
        <v>0.89413447782546496</v>
      </c>
      <c r="W81">
        <v>2.3843586075345698E-2</v>
      </c>
      <c r="X81">
        <v>0.17882689556509301</v>
      </c>
      <c r="Y81">
        <v>0.23843586075345699</v>
      </c>
      <c r="Z81">
        <v>1.1921793037672899E-2</v>
      </c>
      <c r="AA81">
        <v>0</v>
      </c>
      <c r="AB81">
        <v>0.34573199809251298</v>
      </c>
      <c r="AC81" t="s">
        <v>176</v>
      </c>
      <c r="AD81">
        <v>60</v>
      </c>
      <c r="AE81" t="s">
        <v>176</v>
      </c>
      <c r="AF81" s="4" t="s">
        <v>80</v>
      </c>
      <c r="AG81" s="4">
        <v>607</v>
      </c>
      <c r="AH81" s="4" t="s">
        <v>81</v>
      </c>
      <c r="AI81" s="4">
        <v>592</v>
      </c>
      <c r="AJ81" t="s">
        <v>176</v>
      </c>
      <c r="AK81" t="s">
        <v>56</v>
      </c>
      <c r="AL81" t="s">
        <v>263</v>
      </c>
      <c r="AM81" s="1">
        <v>0.33333333333333331</v>
      </c>
      <c r="AN81">
        <v>0</v>
      </c>
      <c r="AO81" s="1">
        <v>0.375</v>
      </c>
      <c r="AP81">
        <v>0</v>
      </c>
      <c r="AQ81" s="5">
        <v>107</v>
      </c>
      <c r="AR81" s="1">
        <v>0.75</v>
      </c>
      <c r="AS81">
        <v>0</v>
      </c>
      <c r="AT81" s="1">
        <v>0.79166666666666663</v>
      </c>
      <c r="AU81">
        <v>0</v>
      </c>
      <c r="AV81" s="5">
        <v>106</v>
      </c>
      <c r="AW81" t="s">
        <v>56</v>
      </c>
      <c r="AX81" s="6">
        <v>1284.8</v>
      </c>
      <c r="AY81" t="s">
        <v>176</v>
      </c>
      <c r="AZ81" t="s">
        <v>56</v>
      </c>
    </row>
    <row r="82" spans="1:52" hidden="1" x14ac:dyDescent="0.45">
      <c r="A82">
        <v>502805.07747178501</v>
      </c>
      <c r="B82">
        <v>6915176.3225034801</v>
      </c>
      <c r="C82">
        <v>81</v>
      </c>
      <c r="D82" t="s">
        <v>214</v>
      </c>
      <c r="E82" t="s">
        <v>202</v>
      </c>
      <c r="F82" t="s">
        <v>264</v>
      </c>
      <c r="G82" t="s">
        <v>176</v>
      </c>
      <c r="H82" s="3">
        <v>226</v>
      </c>
      <c r="I82">
        <v>2</v>
      </c>
      <c r="J82" t="s">
        <v>56</v>
      </c>
      <c r="K82">
        <v>63.7</v>
      </c>
      <c r="L82">
        <v>73.8</v>
      </c>
      <c r="M82">
        <v>1</v>
      </c>
      <c r="N82" t="s">
        <v>56</v>
      </c>
      <c r="O82" t="s">
        <v>176</v>
      </c>
      <c r="P82">
        <v>73.599999999999994</v>
      </c>
      <c r="Q82">
        <v>1.2706480304955501</v>
      </c>
      <c r="R82">
        <v>23.506988564167699</v>
      </c>
      <c r="S82">
        <v>0.88945362134688699</v>
      </c>
      <c r="T82">
        <v>0.25412960609911101</v>
      </c>
      <c r="U82">
        <v>0</v>
      </c>
      <c r="V82">
        <v>0.444726810673443</v>
      </c>
      <c r="W82">
        <v>6.3532401524777599E-2</v>
      </c>
      <c r="X82">
        <v>0</v>
      </c>
      <c r="Y82">
        <v>0</v>
      </c>
      <c r="Z82">
        <v>0</v>
      </c>
      <c r="AA82">
        <v>0</v>
      </c>
      <c r="AB82">
        <v>0.38119440914866598</v>
      </c>
      <c r="AC82" t="s">
        <v>176</v>
      </c>
      <c r="AD82">
        <v>60</v>
      </c>
      <c r="AE82" t="s">
        <v>176</v>
      </c>
      <c r="AF82" s="4" t="s">
        <v>80</v>
      </c>
      <c r="AG82" s="4">
        <v>110</v>
      </c>
      <c r="AH82" s="4" t="s">
        <v>81</v>
      </c>
      <c r="AI82" s="4">
        <v>116</v>
      </c>
      <c r="AJ82" t="s">
        <v>176</v>
      </c>
      <c r="AK82" t="s">
        <v>56</v>
      </c>
      <c r="AL82" t="s">
        <v>264</v>
      </c>
      <c r="AM82" s="1">
        <v>0.45833333333333331</v>
      </c>
      <c r="AN82">
        <v>0</v>
      </c>
      <c r="AO82" s="1">
        <v>0.5</v>
      </c>
      <c r="AP82">
        <v>0</v>
      </c>
      <c r="AQ82" s="5">
        <v>14</v>
      </c>
      <c r="AR82" s="1">
        <v>0.625</v>
      </c>
      <c r="AS82">
        <v>0</v>
      </c>
      <c r="AT82" s="1">
        <v>0.66666666666666663</v>
      </c>
      <c r="AU82">
        <v>0</v>
      </c>
      <c r="AV82" s="5">
        <v>27</v>
      </c>
      <c r="AW82" t="s">
        <v>56</v>
      </c>
      <c r="AX82" s="6">
        <v>177.8</v>
      </c>
      <c r="AY82" t="s">
        <v>176</v>
      </c>
      <c r="AZ82" t="s">
        <v>56</v>
      </c>
    </row>
    <row r="83" spans="1:52" hidden="1" x14ac:dyDescent="0.45">
      <c r="A83">
        <v>516575.77314365603</v>
      </c>
      <c r="B83">
        <v>6923209.6052912604</v>
      </c>
      <c r="C83">
        <v>82</v>
      </c>
      <c r="D83" t="s">
        <v>265</v>
      </c>
      <c r="E83" t="s">
        <v>212</v>
      </c>
      <c r="F83" t="s">
        <v>266</v>
      </c>
      <c r="G83" t="s">
        <v>176</v>
      </c>
      <c r="H83" s="3">
        <v>399</v>
      </c>
      <c r="I83">
        <v>2</v>
      </c>
      <c r="J83" t="s">
        <v>56</v>
      </c>
      <c r="K83">
        <v>57.1</v>
      </c>
      <c r="L83">
        <v>66.599999999999994</v>
      </c>
      <c r="M83">
        <v>1</v>
      </c>
      <c r="N83" t="s">
        <v>56</v>
      </c>
      <c r="O83" t="s">
        <v>176</v>
      </c>
      <c r="P83">
        <v>71.400000000000006</v>
      </c>
      <c r="Q83">
        <v>1.6152189519023701</v>
      </c>
      <c r="R83">
        <v>23.474515434314402</v>
      </c>
      <c r="S83">
        <v>1.22038765254846</v>
      </c>
      <c r="T83">
        <v>3.5893754486719297E-2</v>
      </c>
      <c r="U83">
        <v>0.17946877243359699</v>
      </c>
      <c r="V83">
        <v>1.54343144292893</v>
      </c>
      <c r="W83">
        <v>3.5893754486719297E-2</v>
      </c>
      <c r="X83">
        <v>0.10768126346015799</v>
      </c>
      <c r="Y83">
        <v>0.46661880832735098</v>
      </c>
      <c r="Z83">
        <v>0</v>
      </c>
      <c r="AA83">
        <v>0</v>
      </c>
      <c r="AB83">
        <v>0.35893754486719298</v>
      </c>
      <c r="AC83" t="s">
        <v>176</v>
      </c>
      <c r="AD83">
        <v>80</v>
      </c>
      <c r="AE83" t="s">
        <v>176</v>
      </c>
      <c r="AF83" s="4" t="s">
        <v>80</v>
      </c>
      <c r="AG83" s="4">
        <v>201</v>
      </c>
      <c r="AH83" s="4" t="s">
        <v>81</v>
      </c>
      <c r="AI83" s="4">
        <v>198</v>
      </c>
      <c r="AJ83" t="s">
        <v>176</v>
      </c>
      <c r="AK83" t="s">
        <v>56</v>
      </c>
      <c r="AL83" t="s">
        <v>266</v>
      </c>
      <c r="AM83" s="1">
        <v>0.33333333333333331</v>
      </c>
      <c r="AN83">
        <v>0</v>
      </c>
      <c r="AO83" s="1">
        <v>0.375</v>
      </c>
      <c r="AP83">
        <v>0</v>
      </c>
      <c r="AQ83" s="5">
        <v>58</v>
      </c>
      <c r="AR83" s="1">
        <v>0.66666666666666663</v>
      </c>
      <c r="AS83">
        <v>0</v>
      </c>
      <c r="AT83" s="1">
        <v>0.70833333333333337</v>
      </c>
      <c r="AU83">
        <v>0</v>
      </c>
      <c r="AV83" s="5">
        <v>53</v>
      </c>
      <c r="AW83" t="s">
        <v>56</v>
      </c>
      <c r="AX83" s="6">
        <v>425.4</v>
      </c>
      <c r="AY83" t="s">
        <v>176</v>
      </c>
      <c r="AZ83" t="s">
        <v>56</v>
      </c>
    </row>
    <row r="84" spans="1:52" hidden="1" x14ac:dyDescent="0.45">
      <c r="A84">
        <v>502330.70007698302</v>
      </c>
      <c r="B84">
        <v>6930635.7935835104</v>
      </c>
      <c r="C84">
        <v>83</v>
      </c>
      <c r="D84" t="s">
        <v>267</v>
      </c>
      <c r="E84" t="s">
        <v>268</v>
      </c>
      <c r="F84" t="s">
        <v>269</v>
      </c>
      <c r="G84" t="s">
        <v>176</v>
      </c>
      <c r="H84" s="3">
        <v>538</v>
      </c>
      <c r="I84">
        <v>2</v>
      </c>
      <c r="J84" t="s">
        <v>56</v>
      </c>
      <c r="K84">
        <v>49.6</v>
      </c>
      <c r="L84">
        <v>60.8</v>
      </c>
      <c r="M84">
        <v>1</v>
      </c>
      <c r="N84" t="s">
        <v>56</v>
      </c>
      <c r="O84" t="s">
        <v>176</v>
      </c>
      <c r="P84">
        <v>85.6</v>
      </c>
      <c r="Q84">
        <v>1.0361317747077601</v>
      </c>
      <c r="R84">
        <v>12.8586609989373</v>
      </c>
      <c r="S84">
        <v>0.18597236981934101</v>
      </c>
      <c r="T84">
        <v>5.3134962805526001E-2</v>
      </c>
      <c r="U84">
        <v>0</v>
      </c>
      <c r="V84">
        <v>0.34537725823591903</v>
      </c>
      <c r="W84">
        <v>5.3134962805526001E-2</v>
      </c>
      <c r="X84">
        <v>0</v>
      </c>
      <c r="Y84">
        <v>0</v>
      </c>
      <c r="Z84">
        <v>0</v>
      </c>
      <c r="AA84">
        <v>0</v>
      </c>
      <c r="AB84">
        <v>0.239107332624867</v>
      </c>
      <c r="AC84" t="s">
        <v>176</v>
      </c>
      <c r="AD84">
        <v>60</v>
      </c>
      <c r="AE84" t="s">
        <v>176</v>
      </c>
      <c r="AF84" s="4" t="s">
        <v>57</v>
      </c>
      <c r="AG84" s="4">
        <v>250</v>
      </c>
      <c r="AH84" s="4" t="s">
        <v>58</v>
      </c>
      <c r="AI84" s="4">
        <v>288</v>
      </c>
      <c r="AJ84" t="s">
        <v>176</v>
      </c>
      <c r="AK84" t="s">
        <v>56</v>
      </c>
      <c r="AL84" t="s">
        <v>269</v>
      </c>
      <c r="AM84" s="1">
        <v>0.33333333333333331</v>
      </c>
      <c r="AN84">
        <v>0</v>
      </c>
      <c r="AO84" s="1">
        <v>0.375</v>
      </c>
      <c r="AP84">
        <v>0</v>
      </c>
      <c r="AQ84" s="5">
        <v>49</v>
      </c>
      <c r="AR84" s="1">
        <v>0.70833333333333337</v>
      </c>
      <c r="AS84">
        <v>0</v>
      </c>
      <c r="AT84" s="1">
        <v>0.75</v>
      </c>
      <c r="AU84">
        <v>0</v>
      </c>
      <c r="AV84" s="5">
        <v>68</v>
      </c>
      <c r="AW84" t="s">
        <v>56</v>
      </c>
      <c r="AX84" s="6">
        <v>578.6</v>
      </c>
      <c r="AY84" t="s">
        <v>176</v>
      </c>
      <c r="AZ84" t="s">
        <v>56</v>
      </c>
    </row>
    <row r="85" spans="1:52" hidden="1" x14ac:dyDescent="0.45">
      <c r="A85">
        <v>504143.36169751798</v>
      </c>
      <c r="B85">
        <v>6925845.5517932596</v>
      </c>
      <c r="C85">
        <v>84</v>
      </c>
      <c r="D85" t="s">
        <v>270</v>
      </c>
      <c r="E85" t="s">
        <v>191</v>
      </c>
      <c r="F85" t="s">
        <v>271</v>
      </c>
      <c r="G85" t="s">
        <v>176</v>
      </c>
      <c r="H85" s="3">
        <v>701</v>
      </c>
      <c r="I85">
        <v>2</v>
      </c>
      <c r="J85" t="s">
        <v>56</v>
      </c>
      <c r="K85">
        <v>66.8</v>
      </c>
      <c r="L85">
        <v>77</v>
      </c>
      <c r="M85">
        <v>1</v>
      </c>
      <c r="N85" t="s">
        <v>56</v>
      </c>
      <c r="O85" t="s">
        <v>176</v>
      </c>
      <c r="P85">
        <v>69.900000000000006</v>
      </c>
      <c r="Q85">
        <v>0.89814247805674596</v>
      </c>
      <c r="R85">
        <v>25.4745866503368</v>
      </c>
      <c r="S85">
        <v>1.2043274137579101</v>
      </c>
      <c r="T85">
        <v>0.265360277607675</v>
      </c>
      <c r="U85">
        <v>2.0412329046744199E-2</v>
      </c>
      <c r="V85">
        <v>1.9391712594407</v>
      </c>
      <c r="W85">
        <v>6.12369871402327E-2</v>
      </c>
      <c r="X85">
        <v>0.36742192284139602</v>
      </c>
      <c r="Y85">
        <v>2.0412329046744199E-2</v>
      </c>
      <c r="Z85">
        <v>4.0824658093488501E-2</v>
      </c>
      <c r="AA85">
        <v>0</v>
      </c>
      <c r="AB85">
        <v>0.32659726474790801</v>
      </c>
      <c r="AC85" t="s">
        <v>176</v>
      </c>
      <c r="AD85">
        <v>80</v>
      </c>
      <c r="AE85" t="s">
        <v>176</v>
      </c>
      <c r="AF85" s="4" t="s">
        <v>80</v>
      </c>
      <c r="AG85" s="4">
        <v>354</v>
      </c>
      <c r="AH85" s="4" t="s">
        <v>81</v>
      </c>
      <c r="AI85" s="4">
        <v>347</v>
      </c>
      <c r="AJ85" t="s">
        <v>176</v>
      </c>
      <c r="AK85" t="s">
        <v>56</v>
      </c>
      <c r="AL85" t="s">
        <v>271</v>
      </c>
      <c r="AM85" s="1">
        <v>0.33333333333333331</v>
      </c>
      <c r="AN85">
        <v>0</v>
      </c>
      <c r="AO85" s="1">
        <v>0.375</v>
      </c>
      <c r="AP85">
        <v>0</v>
      </c>
      <c r="AQ85" s="5">
        <v>70</v>
      </c>
      <c r="AR85" s="1">
        <v>0.66666666666666663</v>
      </c>
      <c r="AS85">
        <v>0</v>
      </c>
      <c r="AT85" s="1">
        <v>0.70833333333333337</v>
      </c>
      <c r="AU85">
        <v>0</v>
      </c>
      <c r="AV85" s="5">
        <v>72</v>
      </c>
      <c r="AW85" t="s">
        <v>56</v>
      </c>
      <c r="AX85" s="6">
        <v>747.4</v>
      </c>
      <c r="AY85" t="s">
        <v>176</v>
      </c>
      <c r="AZ85" t="s">
        <v>56</v>
      </c>
    </row>
    <row r="86" spans="1:52" hidden="1" x14ac:dyDescent="0.45">
      <c r="A86">
        <v>517543.708551499</v>
      </c>
      <c r="B86">
        <v>6946264.1213489398</v>
      </c>
      <c r="C86">
        <v>85</v>
      </c>
      <c r="D86" t="s">
        <v>272</v>
      </c>
      <c r="E86" t="s">
        <v>273</v>
      </c>
      <c r="F86" t="s">
        <v>274</v>
      </c>
      <c r="G86" t="s">
        <v>176</v>
      </c>
      <c r="H86" s="3">
        <v>1003</v>
      </c>
      <c r="I86">
        <v>2</v>
      </c>
      <c r="J86" t="s">
        <v>56</v>
      </c>
      <c r="K86">
        <v>69.3</v>
      </c>
      <c r="L86">
        <v>77.8</v>
      </c>
      <c r="M86">
        <v>1</v>
      </c>
      <c r="N86" t="s">
        <v>56</v>
      </c>
      <c r="O86" t="s">
        <v>176</v>
      </c>
      <c r="P86">
        <v>74.099999999999994</v>
      </c>
      <c r="Q86">
        <v>0.755739341223442</v>
      </c>
      <c r="R86">
        <v>23.998288892057602</v>
      </c>
      <c r="S86">
        <v>0.42777698559817501</v>
      </c>
      <c r="T86">
        <v>1.42592328532725E-2</v>
      </c>
      <c r="U86">
        <v>0</v>
      </c>
      <c r="V86">
        <v>0.69870240981035203</v>
      </c>
      <c r="W86">
        <v>5.7036931413089999E-2</v>
      </c>
      <c r="X86">
        <v>9.9814629972907506E-2</v>
      </c>
      <c r="Y86">
        <v>0</v>
      </c>
      <c r="Z86">
        <v>1.42592328532725E-2</v>
      </c>
      <c r="AA86">
        <v>0</v>
      </c>
      <c r="AB86">
        <v>0.34222158847854001</v>
      </c>
      <c r="AC86" t="s">
        <v>176</v>
      </c>
      <c r="AD86">
        <v>60</v>
      </c>
      <c r="AE86" t="s">
        <v>176</v>
      </c>
      <c r="AF86" s="4" t="s">
        <v>57</v>
      </c>
      <c r="AG86" s="4">
        <v>498</v>
      </c>
      <c r="AH86" s="4" t="s">
        <v>58</v>
      </c>
      <c r="AI86" s="4">
        <v>505</v>
      </c>
      <c r="AJ86" t="s">
        <v>176</v>
      </c>
      <c r="AK86" t="s">
        <v>56</v>
      </c>
      <c r="AL86" t="s">
        <v>274</v>
      </c>
      <c r="AM86" s="1">
        <v>0.29166666666666669</v>
      </c>
      <c r="AN86">
        <v>0</v>
      </c>
      <c r="AO86" s="1">
        <v>0.33333333333333331</v>
      </c>
      <c r="AP86">
        <v>0</v>
      </c>
      <c r="AQ86" s="5">
        <v>138</v>
      </c>
      <c r="AR86" s="1">
        <v>0.66666666666666663</v>
      </c>
      <c r="AS86">
        <v>0</v>
      </c>
      <c r="AT86" s="1">
        <v>0.70833333333333337</v>
      </c>
      <c r="AU86">
        <v>0</v>
      </c>
      <c r="AV86" s="5">
        <v>121</v>
      </c>
      <c r="AW86" t="s">
        <v>56</v>
      </c>
      <c r="AX86" s="6">
        <v>1092.8</v>
      </c>
      <c r="AY86" t="s">
        <v>176</v>
      </c>
      <c r="AZ86" t="s">
        <v>56</v>
      </c>
    </row>
    <row r="87" spans="1:52" hidden="1" x14ac:dyDescent="0.45">
      <c r="A87">
        <v>503378.97454580601</v>
      </c>
      <c r="B87">
        <v>6933117.9232377503</v>
      </c>
      <c r="C87">
        <v>86</v>
      </c>
      <c r="D87" t="s">
        <v>275</v>
      </c>
      <c r="E87" t="s">
        <v>276</v>
      </c>
      <c r="F87" t="s">
        <v>277</v>
      </c>
      <c r="G87" t="s">
        <v>176</v>
      </c>
      <c r="H87" s="3">
        <v>2182</v>
      </c>
      <c r="I87">
        <v>2</v>
      </c>
      <c r="J87" t="s">
        <v>56</v>
      </c>
      <c r="K87">
        <v>58.1</v>
      </c>
      <c r="L87">
        <v>69.8</v>
      </c>
      <c r="M87">
        <v>1</v>
      </c>
      <c r="N87" t="s">
        <v>56</v>
      </c>
      <c r="O87" t="s">
        <v>176</v>
      </c>
      <c r="P87">
        <v>68.8</v>
      </c>
      <c r="Q87">
        <v>1.7613933996857001</v>
      </c>
      <c r="R87">
        <v>27.547145102147699</v>
      </c>
      <c r="S87">
        <v>0.76610790990047095</v>
      </c>
      <c r="T87">
        <v>5.2383446830801497E-2</v>
      </c>
      <c r="U87">
        <v>0.117862755369303</v>
      </c>
      <c r="V87">
        <v>0.62860136196961802</v>
      </c>
      <c r="W87">
        <v>0</v>
      </c>
      <c r="X87">
        <v>0.20953378732320599</v>
      </c>
      <c r="Y87">
        <v>1.9643792561550501E-2</v>
      </c>
      <c r="Z87">
        <v>1.30958617077004E-2</v>
      </c>
      <c r="AA87">
        <v>0</v>
      </c>
      <c r="AB87">
        <v>0.451807228915663</v>
      </c>
      <c r="AC87" t="s">
        <v>176</v>
      </c>
      <c r="AD87">
        <v>60</v>
      </c>
      <c r="AE87" t="s">
        <v>176</v>
      </c>
      <c r="AF87" s="4" t="s">
        <v>57</v>
      </c>
      <c r="AG87" s="4">
        <v>1116</v>
      </c>
      <c r="AH87" s="4" t="s">
        <v>58</v>
      </c>
      <c r="AI87" s="4">
        <v>1066</v>
      </c>
      <c r="AJ87" t="s">
        <v>176</v>
      </c>
      <c r="AK87" t="s">
        <v>56</v>
      </c>
      <c r="AL87" t="s">
        <v>277</v>
      </c>
      <c r="AM87" s="1">
        <v>0.33333333333333331</v>
      </c>
      <c r="AN87">
        <v>0</v>
      </c>
      <c r="AO87" s="1">
        <v>0.375</v>
      </c>
      <c r="AP87">
        <v>0</v>
      </c>
      <c r="AQ87" s="5">
        <v>159</v>
      </c>
      <c r="AR87" s="1">
        <v>0.66666666666666663</v>
      </c>
      <c r="AS87">
        <v>0</v>
      </c>
      <c r="AT87" s="1">
        <v>0.70833333333333337</v>
      </c>
      <c r="AU87">
        <v>0</v>
      </c>
      <c r="AV87" s="5">
        <v>241</v>
      </c>
      <c r="AW87" t="s">
        <v>56</v>
      </c>
      <c r="AX87" s="6">
        <v>2250.4</v>
      </c>
      <c r="AY87" t="s">
        <v>176</v>
      </c>
      <c r="AZ87" t="s">
        <v>56</v>
      </c>
    </row>
    <row r="88" spans="1:52" hidden="1" x14ac:dyDescent="0.45">
      <c r="A88">
        <v>492129.31675152399</v>
      </c>
      <c r="B88">
        <v>6932929.7468950301</v>
      </c>
      <c r="C88">
        <v>87</v>
      </c>
      <c r="D88" t="s">
        <v>278</v>
      </c>
      <c r="E88" t="s">
        <v>170</v>
      </c>
      <c r="F88" t="s">
        <v>279</v>
      </c>
      <c r="G88" t="s">
        <v>183</v>
      </c>
      <c r="H88" s="3">
        <v>260</v>
      </c>
      <c r="I88">
        <v>2</v>
      </c>
      <c r="J88" t="s">
        <v>56</v>
      </c>
      <c r="K88">
        <v>56.5</v>
      </c>
      <c r="L88">
        <v>66.2</v>
      </c>
      <c r="M88">
        <v>1</v>
      </c>
      <c r="N88" t="s">
        <v>56</v>
      </c>
      <c r="O88" t="s">
        <v>183</v>
      </c>
      <c r="P88">
        <v>74.5</v>
      </c>
      <c r="Q88">
        <v>1.1570247933884299</v>
      </c>
      <c r="R88">
        <v>23.801652892562</v>
      </c>
      <c r="S88">
        <v>0.22038567493112901</v>
      </c>
      <c r="T88">
        <v>5.5096418732782398E-2</v>
      </c>
      <c r="U88">
        <v>0</v>
      </c>
      <c r="V88">
        <v>0.11019283746556501</v>
      </c>
      <c r="W88">
        <v>0</v>
      </c>
      <c r="X88">
        <v>5.5096418732782398E-2</v>
      </c>
      <c r="Y88">
        <v>5.5096418732782398E-2</v>
      </c>
      <c r="Z88">
        <v>0</v>
      </c>
      <c r="AA88">
        <v>0</v>
      </c>
      <c r="AB88">
        <v>0.330578512396694</v>
      </c>
      <c r="AC88" t="s">
        <v>183</v>
      </c>
      <c r="AD88">
        <v>50</v>
      </c>
      <c r="AE88" t="s">
        <v>183</v>
      </c>
      <c r="AF88" s="4" t="s">
        <v>57</v>
      </c>
      <c r="AG88" s="4">
        <v>131</v>
      </c>
      <c r="AH88" s="4" t="s">
        <v>58</v>
      </c>
      <c r="AI88" s="4">
        <v>129</v>
      </c>
      <c r="AJ88" t="s">
        <v>183</v>
      </c>
      <c r="AK88" t="s">
        <v>56</v>
      </c>
      <c r="AL88" t="s">
        <v>279</v>
      </c>
      <c r="AM88" s="1">
        <v>0.33333333333333331</v>
      </c>
      <c r="AN88">
        <v>0</v>
      </c>
      <c r="AO88" s="1">
        <v>0.375</v>
      </c>
      <c r="AP88">
        <v>0</v>
      </c>
      <c r="AQ88" s="5">
        <v>23</v>
      </c>
      <c r="AR88" s="1">
        <v>0.625</v>
      </c>
      <c r="AS88">
        <v>0</v>
      </c>
      <c r="AT88" s="1">
        <v>0.66666666666666663</v>
      </c>
      <c r="AU88">
        <v>0</v>
      </c>
      <c r="AV88" s="5">
        <v>31</v>
      </c>
      <c r="AW88" t="s">
        <v>56</v>
      </c>
      <c r="AX88" s="6">
        <v>264.2</v>
      </c>
      <c r="AY88" t="s">
        <v>183</v>
      </c>
      <c r="AZ88" t="s">
        <v>56</v>
      </c>
    </row>
    <row r="89" spans="1:52" hidden="1" x14ac:dyDescent="0.45">
      <c r="A89">
        <v>492174.48611347802</v>
      </c>
      <c r="B89">
        <v>6933196.7338235602</v>
      </c>
      <c r="C89">
        <v>88</v>
      </c>
      <c r="D89" t="s">
        <v>278</v>
      </c>
      <c r="E89" t="s">
        <v>170</v>
      </c>
      <c r="F89" t="s">
        <v>280</v>
      </c>
      <c r="G89" t="s">
        <v>176</v>
      </c>
      <c r="H89" s="3">
        <v>446</v>
      </c>
      <c r="I89">
        <v>2</v>
      </c>
      <c r="J89" t="s">
        <v>56</v>
      </c>
      <c r="K89">
        <v>57.7</v>
      </c>
      <c r="L89">
        <v>65.5</v>
      </c>
      <c r="M89">
        <v>1</v>
      </c>
      <c r="N89" t="s">
        <v>56</v>
      </c>
      <c r="O89" t="s">
        <v>176</v>
      </c>
      <c r="P89">
        <v>74.3</v>
      </c>
      <c r="Q89">
        <v>1.7942966997757099</v>
      </c>
      <c r="R89">
        <v>20.153796859980801</v>
      </c>
      <c r="S89">
        <v>0.67286126241589195</v>
      </c>
      <c r="T89">
        <v>0.12816404998397901</v>
      </c>
      <c r="U89">
        <v>0</v>
      </c>
      <c r="V89">
        <v>0.73694328740788195</v>
      </c>
      <c r="W89">
        <v>0</v>
      </c>
      <c r="X89">
        <v>0.22428708747196399</v>
      </c>
      <c r="Y89">
        <v>1.9224607497596899</v>
      </c>
      <c r="Z89">
        <v>0</v>
      </c>
      <c r="AA89">
        <v>0</v>
      </c>
      <c r="AB89">
        <v>0.44857417494392798</v>
      </c>
      <c r="AC89" t="s">
        <v>176</v>
      </c>
      <c r="AD89">
        <v>50</v>
      </c>
      <c r="AE89" t="s">
        <v>176</v>
      </c>
      <c r="AF89" s="4" t="s">
        <v>57</v>
      </c>
      <c r="AG89" s="4">
        <v>223</v>
      </c>
      <c r="AH89" s="4" t="s">
        <v>58</v>
      </c>
      <c r="AI89" s="4">
        <v>223</v>
      </c>
      <c r="AJ89" t="s">
        <v>176</v>
      </c>
      <c r="AK89" t="s">
        <v>56</v>
      </c>
      <c r="AL89" t="s">
        <v>280</v>
      </c>
      <c r="AM89" s="1">
        <v>0.33333333333333331</v>
      </c>
      <c r="AN89">
        <v>0</v>
      </c>
      <c r="AO89" s="1">
        <v>0.375</v>
      </c>
      <c r="AP89">
        <v>0</v>
      </c>
      <c r="AQ89" s="5">
        <v>36</v>
      </c>
      <c r="AR89" s="1">
        <v>0.625</v>
      </c>
      <c r="AS89">
        <v>0</v>
      </c>
      <c r="AT89" s="1">
        <v>0.66666666666666663</v>
      </c>
      <c r="AU89">
        <v>0</v>
      </c>
      <c r="AV89" s="5">
        <v>56</v>
      </c>
      <c r="AW89" t="s">
        <v>56</v>
      </c>
      <c r="AX89" s="6">
        <v>449.2</v>
      </c>
      <c r="AY89" t="s">
        <v>176</v>
      </c>
      <c r="AZ89" t="s">
        <v>56</v>
      </c>
    </row>
    <row r="90" spans="1:52" hidden="1" x14ac:dyDescent="0.45">
      <c r="A90">
        <v>515572.97061621601</v>
      </c>
      <c r="B90">
        <v>6937652.2233284405</v>
      </c>
      <c r="C90">
        <v>89</v>
      </c>
      <c r="D90" t="s">
        <v>281</v>
      </c>
      <c r="E90" t="s">
        <v>254</v>
      </c>
      <c r="F90" t="s">
        <v>282</v>
      </c>
      <c r="G90" t="s">
        <v>176</v>
      </c>
      <c r="H90" s="3">
        <v>411</v>
      </c>
      <c r="I90">
        <v>2</v>
      </c>
      <c r="J90" t="s">
        <v>56</v>
      </c>
      <c r="K90">
        <v>58.2</v>
      </c>
      <c r="L90">
        <v>70.2</v>
      </c>
      <c r="M90">
        <v>1</v>
      </c>
      <c r="N90" t="s">
        <v>56</v>
      </c>
      <c r="O90" t="s">
        <v>176</v>
      </c>
      <c r="P90">
        <v>79.900000000000006</v>
      </c>
      <c r="Q90">
        <v>0.62695924764890298</v>
      </c>
      <c r="R90">
        <v>18.739115290839401</v>
      </c>
      <c r="S90">
        <v>0.41797283176593503</v>
      </c>
      <c r="T90">
        <v>6.9662138627655898E-2</v>
      </c>
      <c r="U90">
        <v>0</v>
      </c>
      <c r="V90">
        <v>0.27864855451062298</v>
      </c>
      <c r="W90">
        <v>0</v>
      </c>
      <c r="X90">
        <v>0</v>
      </c>
      <c r="Y90">
        <v>6.9662138627655898E-2</v>
      </c>
      <c r="Z90">
        <v>0</v>
      </c>
      <c r="AA90">
        <v>0</v>
      </c>
      <c r="AB90">
        <v>0.20898641588296801</v>
      </c>
      <c r="AC90" t="s">
        <v>176</v>
      </c>
      <c r="AD90">
        <v>60</v>
      </c>
      <c r="AE90" t="s">
        <v>176</v>
      </c>
      <c r="AF90" s="4" t="s">
        <v>80</v>
      </c>
      <c r="AG90" s="4">
        <v>206</v>
      </c>
      <c r="AH90" s="4" t="s">
        <v>81</v>
      </c>
      <c r="AI90" s="4">
        <v>205</v>
      </c>
      <c r="AJ90" t="s">
        <v>176</v>
      </c>
      <c r="AK90" t="s">
        <v>56</v>
      </c>
      <c r="AL90" t="s">
        <v>282</v>
      </c>
      <c r="AM90" s="1">
        <v>0.41666666666666669</v>
      </c>
      <c r="AN90">
        <v>0</v>
      </c>
      <c r="AO90" s="1">
        <v>0.45833333333333331</v>
      </c>
      <c r="AP90">
        <v>0</v>
      </c>
      <c r="AQ90" s="5">
        <v>40</v>
      </c>
      <c r="AR90" s="1">
        <v>0.625</v>
      </c>
      <c r="AS90">
        <v>0</v>
      </c>
      <c r="AT90" s="1">
        <v>0.66666666666666663</v>
      </c>
      <c r="AU90">
        <v>0</v>
      </c>
      <c r="AV90" s="5">
        <v>52</v>
      </c>
      <c r="AW90" t="s">
        <v>56</v>
      </c>
      <c r="AX90" s="6">
        <v>422</v>
      </c>
      <c r="AY90" t="s">
        <v>176</v>
      </c>
      <c r="AZ90" t="s">
        <v>56</v>
      </c>
    </row>
    <row r="91" spans="1:52" hidden="1" x14ac:dyDescent="0.45">
      <c r="A91">
        <v>500166.510980903</v>
      </c>
      <c r="B91">
        <v>6927871.1651467597</v>
      </c>
      <c r="C91">
        <v>90</v>
      </c>
      <c r="D91" t="s">
        <v>283</v>
      </c>
      <c r="E91" t="s">
        <v>250</v>
      </c>
      <c r="F91" t="s">
        <v>284</v>
      </c>
      <c r="G91" t="s">
        <v>209</v>
      </c>
      <c r="H91" s="3">
        <v>1960</v>
      </c>
      <c r="I91">
        <v>2</v>
      </c>
      <c r="J91" t="s">
        <v>56</v>
      </c>
      <c r="K91">
        <v>81.8</v>
      </c>
      <c r="L91">
        <v>91.1</v>
      </c>
      <c r="M91">
        <v>1</v>
      </c>
      <c r="N91" t="s">
        <v>56</v>
      </c>
      <c r="O91" t="s">
        <v>209</v>
      </c>
      <c r="P91">
        <v>69.8</v>
      </c>
      <c r="Q91">
        <v>1.94033116930484</v>
      </c>
      <c r="R91">
        <v>25.158654898241998</v>
      </c>
      <c r="S91">
        <v>0.83157050113064401</v>
      </c>
      <c r="T91">
        <v>3.6472390400466799E-2</v>
      </c>
      <c r="U91">
        <v>2.9177912320373499E-2</v>
      </c>
      <c r="V91">
        <v>1.39324531329783</v>
      </c>
      <c r="W91">
        <v>0.15318403968196101</v>
      </c>
      <c r="X91">
        <v>0.35742942592457499</v>
      </c>
      <c r="Y91">
        <v>0.28448464512364102</v>
      </c>
      <c r="Z91">
        <v>2.9177912320373499E-2</v>
      </c>
      <c r="AA91">
        <v>0</v>
      </c>
      <c r="AB91">
        <v>0.503318987526442</v>
      </c>
      <c r="AC91" t="s">
        <v>209</v>
      </c>
      <c r="AD91">
        <v>80</v>
      </c>
      <c r="AE91" t="s">
        <v>209</v>
      </c>
      <c r="AF91" s="4" t="s">
        <v>57</v>
      </c>
      <c r="AG91" s="4">
        <v>780</v>
      </c>
      <c r="AH91" s="4" t="s">
        <v>58</v>
      </c>
      <c r="AI91" s="4">
        <v>1180</v>
      </c>
      <c r="AJ91" t="s">
        <v>209</v>
      </c>
      <c r="AK91" t="s">
        <v>56</v>
      </c>
      <c r="AL91" t="s">
        <v>284</v>
      </c>
      <c r="AM91" s="1">
        <v>0.33333333333333331</v>
      </c>
      <c r="AN91">
        <v>0</v>
      </c>
      <c r="AO91" s="1">
        <v>0.375</v>
      </c>
      <c r="AP91">
        <v>0</v>
      </c>
      <c r="AQ91" s="5">
        <v>132</v>
      </c>
      <c r="AR91" s="1">
        <v>0.70833333333333337</v>
      </c>
      <c r="AS91">
        <v>0</v>
      </c>
      <c r="AT91" s="1">
        <v>0.75</v>
      </c>
      <c r="AU91">
        <v>0</v>
      </c>
      <c r="AV91" s="5">
        <v>219</v>
      </c>
      <c r="AW91" t="s">
        <v>56</v>
      </c>
      <c r="AX91" s="6">
        <v>1992.2</v>
      </c>
      <c r="AY91" t="s">
        <v>209</v>
      </c>
      <c r="AZ91" t="s">
        <v>56</v>
      </c>
    </row>
    <row r="92" spans="1:52" hidden="1" x14ac:dyDescent="0.45">
      <c r="A92">
        <v>518727.74575378199</v>
      </c>
      <c r="B92">
        <v>6932750.5864784298</v>
      </c>
      <c r="C92">
        <v>91</v>
      </c>
      <c r="D92" t="s">
        <v>285</v>
      </c>
      <c r="E92" t="s">
        <v>286</v>
      </c>
      <c r="F92" t="s">
        <v>287</v>
      </c>
      <c r="G92" t="s">
        <v>288</v>
      </c>
      <c r="H92" s="3">
        <v>3257</v>
      </c>
      <c r="I92">
        <v>2</v>
      </c>
      <c r="J92" t="s">
        <v>56</v>
      </c>
      <c r="K92">
        <v>62.9</v>
      </c>
      <c r="L92">
        <v>69.5</v>
      </c>
      <c r="M92">
        <v>1</v>
      </c>
      <c r="N92" t="s">
        <v>56</v>
      </c>
      <c r="O92" t="s">
        <v>288</v>
      </c>
      <c r="P92">
        <v>74.099999999999994</v>
      </c>
      <c r="Q92">
        <v>1.5354244351831501</v>
      </c>
      <c r="R92">
        <v>22.794472472033299</v>
      </c>
      <c r="S92">
        <v>0.58784821232726503</v>
      </c>
      <c r="T92">
        <v>5.2643123491993897E-2</v>
      </c>
      <c r="U92">
        <v>8.7738539153323098E-3</v>
      </c>
      <c r="V92">
        <v>0.68436060539592003</v>
      </c>
      <c r="W92">
        <v>4.3869269576661603E-2</v>
      </c>
      <c r="X92">
        <v>9.6512393068655403E-2</v>
      </c>
      <c r="Y92">
        <v>0.11406010089932</v>
      </c>
      <c r="Z92">
        <v>8.7738539153323098E-3</v>
      </c>
      <c r="AA92">
        <v>0</v>
      </c>
      <c r="AB92">
        <v>0.51327045404694005</v>
      </c>
      <c r="AC92" t="s">
        <v>288</v>
      </c>
      <c r="AD92">
        <v>60</v>
      </c>
      <c r="AE92" t="s">
        <v>288</v>
      </c>
      <c r="AF92" s="4" t="s">
        <v>57</v>
      </c>
      <c r="AG92" s="4">
        <v>1651</v>
      </c>
      <c r="AH92" s="4" t="s">
        <v>58</v>
      </c>
      <c r="AI92" s="4">
        <v>1606</v>
      </c>
      <c r="AJ92" t="s">
        <v>288</v>
      </c>
      <c r="AK92" t="s">
        <v>56</v>
      </c>
      <c r="AL92" t="s">
        <v>287</v>
      </c>
      <c r="AM92" s="1">
        <v>0.33333333333333331</v>
      </c>
      <c r="AN92">
        <v>0</v>
      </c>
      <c r="AO92" s="1">
        <v>0.375</v>
      </c>
      <c r="AP92">
        <v>0</v>
      </c>
      <c r="AQ92" s="5">
        <v>293</v>
      </c>
      <c r="AR92" s="1">
        <v>0.66666666666666663</v>
      </c>
      <c r="AS92">
        <v>0</v>
      </c>
      <c r="AT92" s="1">
        <v>0.70833333333333337</v>
      </c>
      <c r="AU92">
        <v>0</v>
      </c>
      <c r="AV92" s="5">
        <v>332</v>
      </c>
      <c r="AW92" t="s">
        <v>56</v>
      </c>
      <c r="AX92" s="6">
        <v>3509.8</v>
      </c>
      <c r="AY92" t="s">
        <v>288</v>
      </c>
      <c r="AZ92" t="s">
        <v>56</v>
      </c>
    </row>
    <row r="93" spans="1:52" hidden="1" x14ac:dyDescent="0.45">
      <c r="A93">
        <v>494837.24214029202</v>
      </c>
      <c r="B93">
        <v>6932338.5767268101</v>
      </c>
      <c r="C93">
        <v>92</v>
      </c>
      <c r="D93" t="s">
        <v>289</v>
      </c>
      <c r="E93" t="s">
        <v>257</v>
      </c>
      <c r="F93" t="s">
        <v>290</v>
      </c>
      <c r="G93" t="s">
        <v>176</v>
      </c>
      <c r="H93" s="3">
        <v>3068</v>
      </c>
      <c r="I93">
        <v>2</v>
      </c>
      <c r="J93" t="s">
        <v>56</v>
      </c>
      <c r="K93">
        <v>66.2</v>
      </c>
      <c r="L93">
        <v>73.400000000000006</v>
      </c>
      <c r="M93">
        <v>1</v>
      </c>
      <c r="N93" t="s">
        <v>56</v>
      </c>
      <c r="O93" t="s">
        <v>176</v>
      </c>
      <c r="P93">
        <v>75.3</v>
      </c>
      <c r="Q93">
        <v>1.8726417291657</v>
      </c>
      <c r="R93">
        <v>20.976382354311301</v>
      </c>
      <c r="S93">
        <v>0.54502259281688203</v>
      </c>
      <c r="T93">
        <v>0.16304094656915299</v>
      </c>
      <c r="U93">
        <v>3.2608189313830499E-2</v>
      </c>
      <c r="V93">
        <v>0.815204732845763</v>
      </c>
      <c r="W93">
        <v>0.139749382773559</v>
      </c>
      <c r="X93">
        <v>0.149066008291797</v>
      </c>
      <c r="Y93">
        <v>0.107141193459729</v>
      </c>
      <c r="Z93">
        <v>2.79498765547119E-2</v>
      </c>
      <c r="AA93">
        <v>0</v>
      </c>
      <c r="AB93">
        <v>0.34937345693389898</v>
      </c>
      <c r="AC93" t="s">
        <v>176</v>
      </c>
      <c r="AD93">
        <v>80</v>
      </c>
      <c r="AE93" t="s">
        <v>176</v>
      </c>
      <c r="AF93" s="4" t="s">
        <v>57</v>
      </c>
      <c r="AG93" s="4">
        <v>1533</v>
      </c>
      <c r="AH93" s="4" t="s">
        <v>58</v>
      </c>
      <c r="AI93" s="4">
        <v>1535</v>
      </c>
      <c r="AJ93" t="s">
        <v>176</v>
      </c>
      <c r="AK93" t="s">
        <v>56</v>
      </c>
      <c r="AL93" t="s">
        <v>290</v>
      </c>
      <c r="AM93" s="1">
        <v>0.29166666666666669</v>
      </c>
      <c r="AN93">
        <v>0</v>
      </c>
      <c r="AO93" s="1">
        <v>0.33333333333333331</v>
      </c>
      <c r="AP93">
        <v>0</v>
      </c>
      <c r="AQ93" s="5">
        <v>227</v>
      </c>
      <c r="AR93" s="1">
        <v>0.70833333333333337</v>
      </c>
      <c r="AS93">
        <v>0</v>
      </c>
      <c r="AT93" s="1">
        <v>0.75</v>
      </c>
      <c r="AU93">
        <v>0</v>
      </c>
      <c r="AV93" s="5">
        <v>312</v>
      </c>
      <c r="AW93" t="s">
        <v>56</v>
      </c>
      <c r="AX93" s="6">
        <v>3095.6</v>
      </c>
      <c r="AY93" t="s">
        <v>176</v>
      </c>
      <c r="AZ93" t="s">
        <v>56</v>
      </c>
    </row>
    <row r="94" spans="1:52" hidden="1" x14ac:dyDescent="0.45">
      <c r="A94">
        <v>511742.15364669502</v>
      </c>
      <c r="B94">
        <v>6919415.7618900202</v>
      </c>
      <c r="C94">
        <v>93</v>
      </c>
      <c r="D94" t="s">
        <v>291</v>
      </c>
      <c r="E94" t="s">
        <v>222</v>
      </c>
      <c r="F94" t="s">
        <v>292</v>
      </c>
      <c r="G94" t="s">
        <v>197</v>
      </c>
      <c r="H94" s="3">
        <v>927</v>
      </c>
      <c r="I94">
        <v>2</v>
      </c>
      <c r="J94" t="s">
        <v>56</v>
      </c>
      <c r="K94">
        <v>71.3</v>
      </c>
      <c r="L94">
        <v>81.400000000000006</v>
      </c>
      <c r="M94">
        <v>1</v>
      </c>
      <c r="N94" t="s">
        <v>56</v>
      </c>
      <c r="O94" t="s">
        <v>197</v>
      </c>
      <c r="P94">
        <v>70.7</v>
      </c>
      <c r="Q94">
        <v>1.80527696343157</v>
      </c>
      <c r="R94">
        <v>23.8080543126061</v>
      </c>
      <c r="S94">
        <v>1.6972689399784</v>
      </c>
      <c r="T94">
        <v>0.108008023453171</v>
      </c>
      <c r="U94">
        <v>0</v>
      </c>
      <c r="V94">
        <v>1.35781515198272</v>
      </c>
      <c r="W94">
        <v>0.18515661163400701</v>
      </c>
      <c r="X94">
        <v>0.200586329270174</v>
      </c>
      <c r="Y94">
        <v>3.08594352723345E-2</v>
      </c>
      <c r="Z94">
        <v>3.08594352723345E-2</v>
      </c>
      <c r="AA94">
        <v>0</v>
      </c>
      <c r="AB94">
        <v>0.41660237617651602</v>
      </c>
      <c r="AC94" t="s">
        <v>197</v>
      </c>
      <c r="AD94">
        <v>70</v>
      </c>
      <c r="AE94" t="s">
        <v>197</v>
      </c>
      <c r="AF94" s="4" t="s">
        <v>57</v>
      </c>
      <c r="AG94" s="4">
        <v>469</v>
      </c>
      <c r="AH94" s="4" t="s">
        <v>58</v>
      </c>
      <c r="AI94" s="4">
        <v>458</v>
      </c>
      <c r="AJ94" t="s">
        <v>197</v>
      </c>
      <c r="AK94" t="s">
        <v>56</v>
      </c>
      <c r="AL94" t="s">
        <v>292</v>
      </c>
      <c r="AM94" s="1">
        <v>0.33333333333333331</v>
      </c>
      <c r="AN94">
        <v>0</v>
      </c>
      <c r="AO94" s="1">
        <v>0.375</v>
      </c>
      <c r="AP94">
        <v>0</v>
      </c>
      <c r="AQ94" s="5">
        <v>94</v>
      </c>
      <c r="AR94" s="1">
        <v>0.70833333333333337</v>
      </c>
      <c r="AS94">
        <v>0</v>
      </c>
      <c r="AT94" s="1">
        <v>0.75</v>
      </c>
      <c r="AU94">
        <v>0</v>
      </c>
      <c r="AV94" s="5">
        <v>105</v>
      </c>
      <c r="AW94" t="s">
        <v>56</v>
      </c>
      <c r="AX94" s="6">
        <v>962.6</v>
      </c>
      <c r="AY94" t="s">
        <v>197</v>
      </c>
      <c r="AZ94" t="s">
        <v>56</v>
      </c>
    </row>
    <row r="95" spans="1:52" hidden="1" x14ac:dyDescent="0.45">
      <c r="A95">
        <v>504097.51660931</v>
      </c>
      <c r="B95">
        <v>6921373.6964889402</v>
      </c>
      <c r="C95">
        <v>94</v>
      </c>
      <c r="D95" t="s">
        <v>293</v>
      </c>
      <c r="E95" t="s">
        <v>191</v>
      </c>
      <c r="F95" t="s">
        <v>294</v>
      </c>
      <c r="G95" t="s">
        <v>176</v>
      </c>
      <c r="H95" s="3">
        <v>4504</v>
      </c>
      <c r="I95">
        <v>2</v>
      </c>
      <c r="J95" t="s">
        <v>56</v>
      </c>
      <c r="K95">
        <v>74.900000000000006</v>
      </c>
      <c r="L95">
        <v>81.7</v>
      </c>
      <c r="M95">
        <v>1</v>
      </c>
      <c r="N95" t="s">
        <v>56</v>
      </c>
      <c r="O95" t="s">
        <v>176</v>
      </c>
      <c r="P95">
        <v>76.3</v>
      </c>
      <c r="Q95">
        <v>1.93503362517447</v>
      </c>
      <c r="R95">
        <v>19.2044156832889</v>
      </c>
      <c r="S95">
        <v>0.75498033244512097</v>
      </c>
      <c r="T95">
        <v>8.8821215581778995E-2</v>
      </c>
      <c r="U95">
        <v>5.3927166603222901E-2</v>
      </c>
      <c r="V95">
        <v>1.38307321405913</v>
      </c>
      <c r="W95">
        <v>0.187158989975891</v>
      </c>
      <c r="X95">
        <v>0.38700672503489397</v>
      </c>
      <c r="Y95">
        <v>9.5165588123334602E-2</v>
      </c>
      <c r="Z95">
        <v>4.1238421520111701E-2</v>
      </c>
      <c r="AA95">
        <v>0</v>
      </c>
      <c r="AB95">
        <v>0.26329146047455898</v>
      </c>
      <c r="AC95" t="s">
        <v>176</v>
      </c>
      <c r="AD95">
        <v>80</v>
      </c>
      <c r="AE95" t="s">
        <v>176</v>
      </c>
      <c r="AF95" s="4" t="s">
        <v>57</v>
      </c>
      <c r="AG95" s="4">
        <v>2228</v>
      </c>
      <c r="AH95" s="4" t="s">
        <v>58</v>
      </c>
      <c r="AI95" s="4">
        <v>2276</v>
      </c>
      <c r="AJ95" t="s">
        <v>176</v>
      </c>
      <c r="AK95" t="s">
        <v>56</v>
      </c>
      <c r="AL95" t="s">
        <v>294</v>
      </c>
      <c r="AM95" s="1">
        <v>0.33333333333333331</v>
      </c>
      <c r="AN95">
        <v>0</v>
      </c>
      <c r="AO95" s="1">
        <v>0.375</v>
      </c>
      <c r="AP95">
        <v>0</v>
      </c>
      <c r="AQ95" s="5">
        <v>489</v>
      </c>
      <c r="AR95" s="1">
        <v>0.625</v>
      </c>
      <c r="AS95">
        <v>0</v>
      </c>
      <c r="AT95" s="1">
        <v>0.66666666666666663</v>
      </c>
      <c r="AU95">
        <v>0</v>
      </c>
      <c r="AV95" s="5">
        <v>629</v>
      </c>
      <c r="AW95" t="s">
        <v>56</v>
      </c>
      <c r="AX95" s="6">
        <v>4792</v>
      </c>
      <c r="AY95" t="s">
        <v>176</v>
      </c>
      <c r="AZ95" t="s">
        <v>56</v>
      </c>
    </row>
    <row r="96" spans="1:52" hidden="1" x14ac:dyDescent="0.45">
      <c r="A96">
        <v>510888.22785318003</v>
      </c>
      <c r="B96">
        <v>6944353.3544186</v>
      </c>
      <c r="C96">
        <v>95</v>
      </c>
      <c r="D96" t="s">
        <v>295</v>
      </c>
      <c r="E96" t="s">
        <v>296</v>
      </c>
      <c r="F96" t="s">
        <v>297</v>
      </c>
      <c r="G96" t="s">
        <v>176</v>
      </c>
      <c r="H96" s="3">
        <v>9388</v>
      </c>
      <c r="I96">
        <v>2</v>
      </c>
      <c r="J96" t="s">
        <v>56</v>
      </c>
      <c r="K96">
        <v>56.9</v>
      </c>
      <c r="L96">
        <v>62.3</v>
      </c>
      <c r="M96">
        <v>1</v>
      </c>
      <c r="N96" t="s">
        <v>56</v>
      </c>
      <c r="O96" t="s">
        <v>176</v>
      </c>
      <c r="P96">
        <v>85.3</v>
      </c>
      <c r="Q96">
        <v>0.72282922969230301</v>
      </c>
      <c r="R96">
        <v>13.137231031439301</v>
      </c>
      <c r="S96">
        <v>0.59652433271449001</v>
      </c>
      <c r="T96">
        <v>0.223696624767934</v>
      </c>
      <c r="U96">
        <v>1.6739203213926999E-2</v>
      </c>
      <c r="V96">
        <v>0.226740116261375</v>
      </c>
      <c r="W96">
        <v>1.6739203213926999E-2</v>
      </c>
      <c r="X96">
        <v>5.4782846881943001E-2</v>
      </c>
      <c r="Y96">
        <v>3.0434914934412802E-3</v>
      </c>
      <c r="Z96">
        <v>4.5652372401619101E-3</v>
      </c>
      <c r="AA96">
        <v>0</v>
      </c>
      <c r="AB96">
        <v>9.43482362966796E-2</v>
      </c>
      <c r="AC96" t="s">
        <v>176</v>
      </c>
      <c r="AD96">
        <v>60</v>
      </c>
      <c r="AE96" t="s">
        <v>176</v>
      </c>
      <c r="AF96" s="4" t="s">
        <v>80</v>
      </c>
      <c r="AG96" s="4">
        <v>4573</v>
      </c>
      <c r="AH96" s="4" t="s">
        <v>81</v>
      </c>
      <c r="AI96" s="4">
        <v>4815</v>
      </c>
      <c r="AJ96" t="s">
        <v>176</v>
      </c>
      <c r="AK96" t="s">
        <v>56</v>
      </c>
      <c r="AL96" t="s">
        <v>297</v>
      </c>
      <c r="AM96" s="1">
        <v>0.33333333333333331</v>
      </c>
      <c r="AN96">
        <v>0</v>
      </c>
      <c r="AO96" s="1">
        <v>0.375</v>
      </c>
      <c r="AP96">
        <v>0</v>
      </c>
      <c r="AQ96" s="5">
        <v>723</v>
      </c>
      <c r="AR96" s="1">
        <v>0.66666666666666663</v>
      </c>
      <c r="AS96">
        <v>0</v>
      </c>
      <c r="AT96" s="1">
        <v>0.70833333333333337</v>
      </c>
      <c r="AU96">
        <v>0</v>
      </c>
      <c r="AV96" s="5">
        <v>926</v>
      </c>
      <c r="AW96" t="s">
        <v>56</v>
      </c>
      <c r="AX96" s="6">
        <v>10267</v>
      </c>
      <c r="AY96" t="s">
        <v>176</v>
      </c>
      <c r="AZ96" t="s">
        <v>56</v>
      </c>
    </row>
    <row r="97" spans="1:52" hidden="1" x14ac:dyDescent="0.45">
      <c r="A97">
        <v>513373.32972019998</v>
      </c>
      <c r="B97">
        <v>6941498.5639496399</v>
      </c>
      <c r="C97">
        <v>96</v>
      </c>
      <c r="D97" t="s">
        <v>298</v>
      </c>
      <c r="E97" t="s">
        <v>299</v>
      </c>
      <c r="F97" t="s">
        <v>300</v>
      </c>
      <c r="G97" t="s">
        <v>197</v>
      </c>
      <c r="H97" s="3">
        <v>2873</v>
      </c>
      <c r="I97">
        <v>2</v>
      </c>
      <c r="J97" t="s">
        <v>56</v>
      </c>
      <c r="K97">
        <v>60.2</v>
      </c>
      <c r="L97">
        <v>67</v>
      </c>
      <c r="M97">
        <v>1</v>
      </c>
      <c r="N97" t="s">
        <v>56</v>
      </c>
      <c r="O97" t="s">
        <v>197</v>
      </c>
      <c r="P97">
        <v>82</v>
      </c>
      <c r="Q97">
        <v>0.72600696171059198</v>
      </c>
      <c r="R97">
        <v>15.8677274987568</v>
      </c>
      <c r="S97">
        <v>0.65141720537046199</v>
      </c>
      <c r="T97">
        <v>0.41770263550472397</v>
      </c>
      <c r="U97">
        <v>1.4917951268025901E-2</v>
      </c>
      <c r="V97">
        <v>0.33814022874191901</v>
      </c>
      <c r="W97">
        <v>3.97812033814023E-2</v>
      </c>
      <c r="X97">
        <v>0.144206862257583</v>
      </c>
      <c r="Y97">
        <v>1.9890601690701101E-2</v>
      </c>
      <c r="Z97">
        <v>9.9453008453505697E-3</v>
      </c>
      <c r="AA97">
        <v>4.9726504226752901E-3</v>
      </c>
      <c r="AB97">
        <v>0.149179512680259</v>
      </c>
      <c r="AC97" t="s">
        <v>197</v>
      </c>
      <c r="AD97">
        <v>60</v>
      </c>
      <c r="AE97" t="s">
        <v>197</v>
      </c>
      <c r="AF97" s="4" t="s">
        <v>80</v>
      </c>
      <c r="AG97" s="4">
        <v>1634</v>
      </c>
      <c r="AH97" s="4" t="s">
        <v>81</v>
      </c>
      <c r="AI97" s="4">
        <v>1239</v>
      </c>
      <c r="AJ97" t="s">
        <v>197</v>
      </c>
      <c r="AK97" t="s">
        <v>56</v>
      </c>
      <c r="AL97" t="s">
        <v>300</v>
      </c>
      <c r="AM97" s="1">
        <v>0.33333333333333331</v>
      </c>
      <c r="AN97">
        <v>0</v>
      </c>
      <c r="AO97" s="1">
        <v>0.375</v>
      </c>
      <c r="AP97">
        <v>0</v>
      </c>
      <c r="AQ97" s="5">
        <v>349</v>
      </c>
      <c r="AR97" s="1">
        <v>0.70833333333333337</v>
      </c>
      <c r="AS97">
        <v>0</v>
      </c>
      <c r="AT97" s="1">
        <v>0.75</v>
      </c>
      <c r="AU97">
        <v>0</v>
      </c>
      <c r="AV97" s="5">
        <v>291</v>
      </c>
      <c r="AW97" t="s">
        <v>56</v>
      </c>
      <c r="AX97" s="6">
        <v>3207</v>
      </c>
      <c r="AY97" t="s">
        <v>197</v>
      </c>
      <c r="AZ97" t="s">
        <v>56</v>
      </c>
    </row>
    <row r="98" spans="1:52" hidden="1" x14ac:dyDescent="0.45">
      <c r="A98">
        <v>513256.06157938502</v>
      </c>
      <c r="B98">
        <v>6944321.1019834103</v>
      </c>
      <c r="C98">
        <v>97</v>
      </c>
      <c r="D98" t="s">
        <v>301</v>
      </c>
      <c r="E98" t="s">
        <v>302</v>
      </c>
      <c r="F98" t="s">
        <v>303</v>
      </c>
      <c r="G98" t="s">
        <v>176</v>
      </c>
      <c r="H98" s="3">
        <v>5241</v>
      </c>
      <c r="I98">
        <v>2</v>
      </c>
      <c r="J98" t="s">
        <v>56</v>
      </c>
      <c r="K98">
        <v>50.3</v>
      </c>
      <c r="L98">
        <v>57.2</v>
      </c>
      <c r="M98">
        <v>1</v>
      </c>
      <c r="N98" t="s">
        <v>56</v>
      </c>
      <c r="O98" t="s">
        <v>176</v>
      </c>
      <c r="P98">
        <v>87</v>
      </c>
      <c r="Q98">
        <v>0.69798511328625601</v>
      </c>
      <c r="R98">
        <v>12.1056793085585</v>
      </c>
      <c r="S98">
        <v>9.5427652207105307E-2</v>
      </c>
      <c r="T98">
        <v>6.2709600021812001E-2</v>
      </c>
      <c r="U98">
        <v>5.4530086975488699E-3</v>
      </c>
      <c r="V98">
        <v>0.218120347901955</v>
      </c>
      <c r="W98">
        <v>1.09060173950977E-2</v>
      </c>
      <c r="X98">
        <v>1.36325217438722E-2</v>
      </c>
      <c r="Y98">
        <v>0</v>
      </c>
      <c r="Z98">
        <v>8.1795130463233091E-3</v>
      </c>
      <c r="AA98">
        <v>0</v>
      </c>
      <c r="AB98">
        <v>0.12269269569485</v>
      </c>
      <c r="AC98" t="s">
        <v>176</v>
      </c>
      <c r="AD98">
        <v>60</v>
      </c>
      <c r="AE98" t="s">
        <v>176</v>
      </c>
      <c r="AF98" s="4" t="s">
        <v>80</v>
      </c>
      <c r="AG98" s="4">
        <v>2768</v>
      </c>
      <c r="AH98" s="4" t="s">
        <v>81</v>
      </c>
      <c r="AI98" s="4">
        <v>2473</v>
      </c>
      <c r="AJ98" t="s">
        <v>176</v>
      </c>
      <c r="AK98" t="s">
        <v>56</v>
      </c>
      <c r="AL98" t="s">
        <v>303</v>
      </c>
      <c r="AM98" s="1">
        <v>0.33333333333333331</v>
      </c>
      <c r="AN98">
        <v>0</v>
      </c>
      <c r="AO98" s="1">
        <v>0.375</v>
      </c>
      <c r="AP98">
        <v>0</v>
      </c>
      <c r="AQ98" s="5">
        <v>613</v>
      </c>
      <c r="AR98" s="1">
        <v>0.66666666666666663</v>
      </c>
      <c r="AS98">
        <v>0</v>
      </c>
      <c r="AT98" s="1">
        <v>0.70833333333333337</v>
      </c>
      <c r="AU98">
        <v>0</v>
      </c>
      <c r="AV98" s="5">
        <v>543</v>
      </c>
      <c r="AW98" t="s">
        <v>56</v>
      </c>
      <c r="AX98" s="6">
        <v>5594.4</v>
      </c>
      <c r="AY98" t="s">
        <v>176</v>
      </c>
      <c r="AZ98" t="s">
        <v>56</v>
      </c>
    </row>
    <row r="99" spans="1:52" hidden="1" x14ac:dyDescent="0.45">
      <c r="A99">
        <v>518482.37590951798</v>
      </c>
      <c r="B99">
        <v>6937328.0220162002</v>
      </c>
      <c r="C99">
        <v>98</v>
      </c>
      <c r="D99" t="s">
        <v>304</v>
      </c>
      <c r="E99" t="s">
        <v>305</v>
      </c>
      <c r="F99" t="s">
        <v>306</v>
      </c>
      <c r="G99" t="s">
        <v>176</v>
      </c>
      <c r="H99" s="3">
        <v>292</v>
      </c>
      <c r="I99">
        <v>2</v>
      </c>
      <c r="J99" t="s">
        <v>56</v>
      </c>
      <c r="K99">
        <v>37.799999999999997</v>
      </c>
      <c r="L99">
        <v>44.3</v>
      </c>
      <c r="M99">
        <v>1</v>
      </c>
      <c r="N99" t="s">
        <v>56</v>
      </c>
      <c r="O99" t="s">
        <v>176</v>
      </c>
      <c r="P99">
        <v>85.5</v>
      </c>
      <c r="Q99">
        <v>0.58881256133464199</v>
      </c>
      <c r="R99">
        <v>13.444553483807701</v>
      </c>
      <c r="S99">
        <v>0.49067713444553501</v>
      </c>
      <c r="T99">
        <v>0</v>
      </c>
      <c r="U99">
        <v>0</v>
      </c>
      <c r="V99">
        <v>4.9067713444553497E-2</v>
      </c>
      <c r="W99">
        <v>0</v>
      </c>
      <c r="X99">
        <v>0</v>
      </c>
      <c r="Y99">
        <v>0</v>
      </c>
      <c r="Z99">
        <v>0</v>
      </c>
      <c r="AA99">
        <v>0</v>
      </c>
      <c r="AB99">
        <v>0.24533856722276701</v>
      </c>
      <c r="AC99" t="s">
        <v>176</v>
      </c>
      <c r="AD99">
        <v>50</v>
      </c>
      <c r="AE99" t="s">
        <v>176</v>
      </c>
      <c r="AF99" s="4" t="s">
        <v>57</v>
      </c>
      <c r="AG99" s="4">
        <v>150</v>
      </c>
      <c r="AH99" s="4" t="s">
        <v>58</v>
      </c>
      <c r="AI99" s="4">
        <v>142</v>
      </c>
      <c r="AJ99" t="s">
        <v>176</v>
      </c>
      <c r="AK99" t="s">
        <v>56</v>
      </c>
      <c r="AL99" t="s">
        <v>306</v>
      </c>
      <c r="AM99" s="1">
        <v>0.45833333333333331</v>
      </c>
      <c r="AN99">
        <v>0</v>
      </c>
      <c r="AO99" s="1">
        <v>0.5</v>
      </c>
      <c r="AP99">
        <v>0</v>
      </c>
      <c r="AQ99" s="5">
        <v>21</v>
      </c>
      <c r="AR99" s="1">
        <v>0.625</v>
      </c>
      <c r="AS99">
        <v>0</v>
      </c>
      <c r="AT99" s="1">
        <v>0.66666666666666663</v>
      </c>
      <c r="AU99">
        <v>0</v>
      </c>
      <c r="AV99" s="5">
        <v>37</v>
      </c>
      <c r="AW99" t="s">
        <v>56</v>
      </c>
      <c r="AX99" s="6">
        <v>287.8</v>
      </c>
      <c r="AY99" t="s">
        <v>176</v>
      </c>
      <c r="AZ99" t="s">
        <v>56</v>
      </c>
    </row>
    <row r="100" spans="1:52" hidden="1" x14ac:dyDescent="0.45">
      <c r="A100">
        <v>508987.13681365602</v>
      </c>
      <c r="B100">
        <v>6933819.5690725101</v>
      </c>
      <c r="C100">
        <v>99</v>
      </c>
      <c r="D100" t="s">
        <v>307</v>
      </c>
      <c r="E100" t="s">
        <v>178</v>
      </c>
      <c r="F100" t="s">
        <v>308</v>
      </c>
      <c r="G100" t="s">
        <v>176</v>
      </c>
      <c r="H100" s="3">
        <v>7454</v>
      </c>
      <c r="I100">
        <v>2</v>
      </c>
      <c r="J100" t="s">
        <v>56</v>
      </c>
      <c r="K100">
        <v>72</v>
      </c>
      <c r="L100">
        <v>81.400000000000006</v>
      </c>
      <c r="M100">
        <v>1</v>
      </c>
      <c r="N100" t="s">
        <v>56</v>
      </c>
      <c r="O100" t="s">
        <v>176</v>
      </c>
      <c r="P100">
        <v>71.2</v>
      </c>
      <c r="Q100">
        <v>1.3225991949396201</v>
      </c>
      <c r="R100">
        <v>24.5773433007476</v>
      </c>
      <c r="S100">
        <v>0.95265478244201696</v>
      </c>
      <c r="T100">
        <v>0.103507763082231</v>
      </c>
      <c r="U100">
        <v>3.06689668391796E-2</v>
      </c>
      <c r="V100">
        <v>1.0216599578301699</v>
      </c>
      <c r="W100">
        <v>0.101590952654782</v>
      </c>
      <c r="X100">
        <v>0.31052328924669298</v>
      </c>
      <c r="Y100">
        <v>0.38719570634464301</v>
      </c>
      <c r="Z100">
        <v>8.4339658807743897E-2</v>
      </c>
      <c r="AA100">
        <v>0</v>
      </c>
      <c r="AB100">
        <v>0.32969139352118099</v>
      </c>
      <c r="AC100" t="s">
        <v>176</v>
      </c>
      <c r="AD100">
        <v>60</v>
      </c>
      <c r="AE100" t="s">
        <v>176</v>
      </c>
      <c r="AF100" s="4" t="s">
        <v>80</v>
      </c>
      <c r="AG100" s="4">
        <v>3821</v>
      </c>
      <c r="AH100" s="4" t="s">
        <v>81</v>
      </c>
      <c r="AI100" s="4">
        <v>3633</v>
      </c>
      <c r="AJ100" t="s">
        <v>176</v>
      </c>
      <c r="AK100" t="s">
        <v>56</v>
      </c>
      <c r="AL100" t="s">
        <v>308</v>
      </c>
      <c r="AM100" s="1">
        <v>0.33333333333333331</v>
      </c>
      <c r="AN100">
        <v>0</v>
      </c>
      <c r="AO100" s="1">
        <v>0.375</v>
      </c>
      <c r="AP100">
        <v>0</v>
      </c>
      <c r="AQ100" s="5">
        <v>655</v>
      </c>
      <c r="AR100" s="1">
        <v>0.625</v>
      </c>
      <c r="AS100">
        <v>0</v>
      </c>
      <c r="AT100" s="1">
        <v>0.66666666666666663</v>
      </c>
      <c r="AU100">
        <v>0</v>
      </c>
      <c r="AV100" s="5">
        <v>746</v>
      </c>
      <c r="AW100" t="s">
        <v>56</v>
      </c>
      <c r="AX100" s="6">
        <v>7966</v>
      </c>
      <c r="AY100" t="s">
        <v>176</v>
      </c>
      <c r="AZ100" t="s">
        <v>56</v>
      </c>
    </row>
    <row r="101" spans="1:52" hidden="1" x14ac:dyDescent="0.45">
      <c r="A101">
        <v>521919.619829631</v>
      </c>
      <c r="B101">
        <v>6935621.9751597699</v>
      </c>
      <c r="C101">
        <v>100</v>
      </c>
      <c r="D101" t="s">
        <v>309</v>
      </c>
      <c r="E101" t="s">
        <v>310</v>
      </c>
      <c r="F101" t="s">
        <v>311</v>
      </c>
      <c r="G101" t="s">
        <v>176</v>
      </c>
      <c r="H101" s="3">
        <v>731</v>
      </c>
      <c r="I101">
        <v>2</v>
      </c>
      <c r="J101" t="s">
        <v>56</v>
      </c>
      <c r="K101">
        <v>36.1</v>
      </c>
      <c r="L101">
        <v>42.8</v>
      </c>
      <c r="M101">
        <v>1</v>
      </c>
      <c r="N101" t="s">
        <v>56</v>
      </c>
      <c r="O101" t="s">
        <v>176</v>
      </c>
      <c r="P101">
        <v>87.6</v>
      </c>
      <c r="Q101">
        <v>0.665362035225049</v>
      </c>
      <c r="R101">
        <v>11.330724070450101</v>
      </c>
      <c r="S101">
        <v>0.234833659491194</v>
      </c>
      <c r="T101">
        <v>3.9138943248532301E-2</v>
      </c>
      <c r="U101">
        <v>0</v>
      </c>
      <c r="V101">
        <v>0.29354207436399199</v>
      </c>
      <c r="W101">
        <v>3.9138943248532301E-2</v>
      </c>
      <c r="X101">
        <v>0</v>
      </c>
      <c r="Y101">
        <v>0</v>
      </c>
      <c r="Z101">
        <v>0</v>
      </c>
      <c r="AA101">
        <v>0</v>
      </c>
      <c r="AB101">
        <v>0.13698630136986301</v>
      </c>
      <c r="AC101" t="s">
        <v>176</v>
      </c>
      <c r="AD101">
        <v>50</v>
      </c>
      <c r="AE101" t="s">
        <v>176</v>
      </c>
      <c r="AF101" s="4" t="s">
        <v>80</v>
      </c>
      <c r="AG101" s="4">
        <v>364</v>
      </c>
      <c r="AH101" s="4" t="s">
        <v>81</v>
      </c>
      <c r="AI101" s="4">
        <v>367</v>
      </c>
      <c r="AJ101" t="s">
        <v>176</v>
      </c>
      <c r="AK101" t="s">
        <v>56</v>
      </c>
      <c r="AL101" t="s">
        <v>311</v>
      </c>
      <c r="AM101" s="1">
        <v>0.45833333333333331</v>
      </c>
      <c r="AN101">
        <v>0</v>
      </c>
      <c r="AO101" s="1">
        <v>0.5</v>
      </c>
      <c r="AP101">
        <v>0</v>
      </c>
      <c r="AQ101" s="5">
        <v>60</v>
      </c>
      <c r="AR101" s="1">
        <v>0.625</v>
      </c>
      <c r="AS101">
        <v>0</v>
      </c>
      <c r="AT101" s="1">
        <v>0.66666666666666663</v>
      </c>
      <c r="AU101">
        <v>0</v>
      </c>
      <c r="AV101" s="5">
        <v>77</v>
      </c>
      <c r="AW101" t="s">
        <v>56</v>
      </c>
      <c r="AX101" s="6">
        <v>752.6</v>
      </c>
      <c r="AY101" t="s">
        <v>176</v>
      </c>
      <c r="AZ101" t="s">
        <v>56</v>
      </c>
    </row>
    <row r="102" spans="1:52" hidden="1" x14ac:dyDescent="0.45">
      <c r="A102">
        <v>511738.23034998798</v>
      </c>
      <c r="B102">
        <v>6928566.66424214</v>
      </c>
      <c r="C102">
        <v>101</v>
      </c>
      <c r="D102" t="s">
        <v>312</v>
      </c>
      <c r="E102" t="s">
        <v>313</v>
      </c>
      <c r="F102" t="s">
        <v>314</v>
      </c>
      <c r="G102" t="s">
        <v>176</v>
      </c>
      <c r="H102" s="3">
        <v>3342</v>
      </c>
      <c r="I102">
        <v>2</v>
      </c>
      <c r="J102" t="s">
        <v>56</v>
      </c>
      <c r="K102">
        <v>72.5</v>
      </c>
      <c r="L102">
        <v>81</v>
      </c>
      <c r="M102">
        <v>1</v>
      </c>
      <c r="N102" t="s">
        <v>56</v>
      </c>
      <c r="O102" t="s">
        <v>176</v>
      </c>
      <c r="P102">
        <v>74.599999999999994</v>
      </c>
      <c r="Q102">
        <v>1.8554938007695601</v>
      </c>
      <c r="R102">
        <v>20.799486960239399</v>
      </c>
      <c r="S102">
        <v>1.03463018383925</v>
      </c>
      <c r="T102">
        <v>0.16246259085079101</v>
      </c>
      <c r="U102">
        <v>7.6955964087216805E-2</v>
      </c>
      <c r="V102">
        <v>1.1286874732791801</v>
      </c>
      <c r="W102">
        <v>8.5506626763574206E-2</v>
      </c>
      <c r="X102">
        <v>0.38050448909790502</v>
      </c>
      <c r="Y102">
        <v>0.115433946130825</v>
      </c>
      <c r="Z102">
        <v>3.4202650705429702E-2</v>
      </c>
      <c r="AA102">
        <v>0</v>
      </c>
      <c r="AB102">
        <v>0.307823856348867</v>
      </c>
      <c r="AC102" t="s">
        <v>176</v>
      </c>
      <c r="AD102">
        <v>80</v>
      </c>
      <c r="AE102" t="s">
        <v>176</v>
      </c>
      <c r="AF102" s="4" t="s">
        <v>57</v>
      </c>
      <c r="AG102" s="4">
        <v>1654</v>
      </c>
      <c r="AH102" s="4" t="s">
        <v>58</v>
      </c>
      <c r="AI102" s="4">
        <v>1688</v>
      </c>
      <c r="AJ102" t="s">
        <v>176</v>
      </c>
      <c r="AK102" t="s">
        <v>56</v>
      </c>
      <c r="AL102" t="s">
        <v>314</v>
      </c>
      <c r="AM102" s="1">
        <v>0.33333333333333331</v>
      </c>
      <c r="AN102">
        <v>0</v>
      </c>
      <c r="AO102" s="1">
        <v>0.375</v>
      </c>
      <c r="AP102">
        <v>0</v>
      </c>
      <c r="AQ102" s="5">
        <v>292</v>
      </c>
      <c r="AR102" s="1">
        <v>0.625</v>
      </c>
      <c r="AS102">
        <v>0</v>
      </c>
      <c r="AT102" s="1">
        <v>0.66666666666666663</v>
      </c>
      <c r="AU102">
        <v>0</v>
      </c>
      <c r="AV102" s="5">
        <v>357</v>
      </c>
      <c r="AW102" t="s">
        <v>56</v>
      </c>
      <c r="AX102" s="6">
        <v>3547.6</v>
      </c>
      <c r="AY102" t="s">
        <v>176</v>
      </c>
      <c r="AZ102" t="s">
        <v>56</v>
      </c>
    </row>
    <row r="103" spans="1:52" hidden="1" x14ac:dyDescent="0.45">
      <c r="A103">
        <v>512100.186132401</v>
      </c>
      <c r="B103">
        <v>6928906.3770751599</v>
      </c>
      <c r="C103">
        <v>102</v>
      </c>
      <c r="D103" t="s">
        <v>315</v>
      </c>
      <c r="E103" t="s">
        <v>313</v>
      </c>
      <c r="F103" t="s">
        <v>316</v>
      </c>
      <c r="G103" t="s">
        <v>176</v>
      </c>
      <c r="H103" s="3">
        <v>271</v>
      </c>
      <c r="I103">
        <v>2</v>
      </c>
      <c r="J103" t="s">
        <v>56</v>
      </c>
      <c r="K103">
        <v>59.5</v>
      </c>
      <c r="L103">
        <v>69.8</v>
      </c>
      <c r="M103">
        <v>1</v>
      </c>
      <c r="N103" t="s">
        <v>56</v>
      </c>
      <c r="O103" t="s">
        <v>176</v>
      </c>
      <c r="P103">
        <v>74.599999999999994</v>
      </c>
      <c r="Q103">
        <v>1.43160127253446</v>
      </c>
      <c r="R103">
        <v>21.686108165429498</v>
      </c>
      <c r="S103">
        <v>1.4846235418875899</v>
      </c>
      <c r="T103">
        <v>0.106044538706257</v>
      </c>
      <c r="U103">
        <v>0.106044538706257</v>
      </c>
      <c r="V103">
        <v>0.53022269353128304</v>
      </c>
      <c r="W103">
        <v>0</v>
      </c>
      <c r="X103">
        <v>0</v>
      </c>
      <c r="Y103">
        <v>5.3022269353128301E-2</v>
      </c>
      <c r="Z103">
        <v>0</v>
      </c>
      <c r="AA103">
        <v>0</v>
      </c>
      <c r="AB103">
        <v>0.37115588547189798</v>
      </c>
      <c r="AC103" t="s">
        <v>176</v>
      </c>
      <c r="AD103">
        <v>80</v>
      </c>
      <c r="AE103" t="s">
        <v>176</v>
      </c>
      <c r="AF103" s="4" t="s">
        <v>80</v>
      </c>
      <c r="AG103" s="4">
        <v>133</v>
      </c>
      <c r="AH103" s="4" t="s">
        <v>81</v>
      </c>
      <c r="AI103" s="4">
        <v>138</v>
      </c>
      <c r="AJ103" t="s">
        <v>176</v>
      </c>
      <c r="AK103" t="s">
        <v>56</v>
      </c>
      <c r="AL103" t="s">
        <v>316</v>
      </c>
      <c r="AM103" s="1">
        <v>0.375</v>
      </c>
      <c r="AN103">
        <v>0</v>
      </c>
      <c r="AO103" s="1">
        <v>0.41666666666666669</v>
      </c>
      <c r="AP103">
        <v>0</v>
      </c>
      <c r="AQ103" s="5">
        <v>22</v>
      </c>
      <c r="AR103" s="1">
        <v>0.625</v>
      </c>
      <c r="AS103">
        <v>0</v>
      </c>
      <c r="AT103" s="1">
        <v>0.66666666666666663</v>
      </c>
      <c r="AU103">
        <v>0</v>
      </c>
      <c r="AV103" s="5">
        <v>33</v>
      </c>
      <c r="AW103" t="s">
        <v>56</v>
      </c>
      <c r="AX103" s="6">
        <v>281.60000000000002</v>
      </c>
      <c r="AY103" t="s">
        <v>176</v>
      </c>
      <c r="AZ103" t="s">
        <v>56</v>
      </c>
    </row>
    <row r="104" spans="1:52" hidden="1" x14ac:dyDescent="0.45">
      <c r="A104">
        <v>497243.40874404402</v>
      </c>
      <c r="B104">
        <v>6935665.8032781202</v>
      </c>
      <c r="C104">
        <v>103</v>
      </c>
      <c r="D104" t="s">
        <v>317</v>
      </c>
      <c r="E104" t="s">
        <v>105</v>
      </c>
      <c r="F104" t="s">
        <v>318</v>
      </c>
      <c r="G104" t="s">
        <v>288</v>
      </c>
      <c r="H104" s="3">
        <v>10200</v>
      </c>
      <c r="I104">
        <v>2</v>
      </c>
      <c r="J104" t="s">
        <v>56</v>
      </c>
      <c r="K104">
        <v>56.2</v>
      </c>
      <c r="L104">
        <v>62.6</v>
      </c>
      <c r="M104">
        <v>1</v>
      </c>
      <c r="N104" t="s">
        <v>56</v>
      </c>
      <c r="O104" t="s">
        <v>288</v>
      </c>
      <c r="P104">
        <v>79.8</v>
      </c>
      <c r="Q104">
        <v>1.5337852980726101</v>
      </c>
      <c r="R104">
        <v>16.272131331241599</v>
      </c>
      <c r="S104">
        <v>0.91887046167637798</v>
      </c>
      <c r="T104">
        <v>0.10505378753922</v>
      </c>
      <c r="U104">
        <v>1.5407888839085599E-2</v>
      </c>
      <c r="V104">
        <v>0.89926042133572404</v>
      </c>
      <c r="W104">
        <v>0.151277454056477</v>
      </c>
      <c r="X104">
        <v>0.31095921111609098</v>
      </c>
      <c r="Y104">
        <v>0.14567458538771899</v>
      </c>
      <c r="Z104">
        <v>4.2021515015688002E-2</v>
      </c>
      <c r="AA104">
        <v>4.2021515015687998E-3</v>
      </c>
      <c r="AB104">
        <v>0.27734199910354101</v>
      </c>
      <c r="AC104" t="s">
        <v>288</v>
      </c>
      <c r="AD104">
        <v>60</v>
      </c>
      <c r="AE104" t="s">
        <v>288</v>
      </c>
      <c r="AF104" s="4" t="s">
        <v>80</v>
      </c>
      <c r="AG104" s="4">
        <v>4895</v>
      </c>
      <c r="AH104" s="4" t="s">
        <v>81</v>
      </c>
      <c r="AI104" s="4">
        <v>5305</v>
      </c>
      <c r="AJ104" t="s">
        <v>288</v>
      </c>
      <c r="AK104" t="s">
        <v>56</v>
      </c>
      <c r="AL104" t="s">
        <v>318</v>
      </c>
      <c r="AM104" s="1">
        <v>0.29166666666666669</v>
      </c>
      <c r="AN104">
        <v>0</v>
      </c>
      <c r="AO104" s="1">
        <v>0.33333333333333331</v>
      </c>
      <c r="AP104">
        <v>0</v>
      </c>
      <c r="AQ104" s="5">
        <v>987</v>
      </c>
      <c r="AR104" s="1">
        <v>0.70833333333333337</v>
      </c>
      <c r="AS104">
        <v>0</v>
      </c>
      <c r="AT104" s="1">
        <v>0.75</v>
      </c>
      <c r="AU104">
        <v>0</v>
      </c>
      <c r="AV104" s="5">
        <v>1459</v>
      </c>
      <c r="AW104" t="s">
        <v>56</v>
      </c>
      <c r="AX104" s="6">
        <v>11126.4</v>
      </c>
      <c r="AY104" t="s">
        <v>288</v>
      </c>
      <c r="AZ104" t="s">
        <v>56</v>
      </c>
    </row>
    <row r="105" spans="1:52" hidden="1" x14ac:dyDescent="0.45">
      <c r="A105">
        <v>493168.57587559201</v>
      </c>
      <c r="B105">
        <v>6937570.5524581103</v>
      </c>
      <c r="C105">
        <v>104</v>
      </c>
      <c r="D105" t="s">
        <v>317</v>
      </c>
      <c r="E105" t="s">
        <v>105</v>
      </c>
      <c r="F105" t="s">
        <v>319</v>
      </c>
      <c r="G105" t="s">
        <v>288</v>
      </c>
      <c r="H105" s="3">
        <v>10260</v>
      </c>
      <c r="I105">
        <v>2</v>
      </c>
      <c r="J105" t="s">
        <v>56</v>
      </c>
      <c r="K105">
        <v>73.5</v>
      </c>
      <c r="L105">
        <v>81</v>
      </c>
      <c r="M105">
        <v>1</v>
      </c>
      <c r="N105" t="s">
        <v>56</v>
      </c>
      <c r="O105" t="s">
        <v>288</v>
      </c>
      <c r="P105">
        <v>76.900000000000006</v>
      </c>
      <c r="Q105">
        <v>1.4356532152505099</v>
      </c>
      <c r="R105">
        <v>19.368089787506602</v>
      </c>
      <c r="S105">
        <v>0.87030384047678699</v>
      </c>
      <c r="T105">
        <v>9.0511599409585905E-2</v>
      </c>
      <c r="U105">
        <v>1.67098337371543E-2</v>
      </c>
      <c r="V105">
        <v>0.90929345253014704</v>
      </c>
      <c r="W105">
        <v>0.13367866989723501</v>
      </c>
      <c r="X105">
        <v>0.31191689642688097</v>
      </c>
      <c r="Y105">
        <v>0.14064110062104901</v>
      </c>
      <c r="Z105">
        <v>2.92422090400201E-2</v>
      </c>
      <c r="AA105">
        <v>0</v>
      </c>
      <c r="AB105">
        <v>0.29381457654496301</v>
      </c>
      <c r="AC105" t="s">
        <v>288</v>
      </c>
      <c r="AD105">
        <v>70</v>
      </c>
      <c r="AE105" t="s">
        <v>288</v>
      </c>
      <c r="AF105" s="4" t="s">
        <v>57</v>
      </c>
      <c r="AG105" s="4">
        <v>5325</v>
      </c>
      <c r="AH105" s="4" t="s">
        <v>58</v>
      </c>
      <c r="AI105" s="4">
        <v>4935</v>
      </c>
      <c r="AJ105" t="s">
        <v>288</v>
      </c>
      <c r="AK105" t="s">
        <v>56</v>
      </c>
      <c r="AL105" t="s">
        <v>319</v>
      </c>
      <c r="AM105" s="1">
        <v>0.29166666666666669</v>
      </c>
      <c r="AN105">
        <v>0</v>
      </c>
      <c r="AO105" s="1">
        <v>0.33333333333333331</v>
      </c>
      <c r="AP105">
        <v>0</v>
      </c>
      <c r="AQ105" s="5">
        <v>1006</v>
      </c>
      <c r="AR105" s="1">
        <v>0.70833333333333337</v>
      </c>
      <c r="AS105">
        <v>0</v>
      </c>
      <c r="AT105" s="1">
        <v>0.75</v>
      </c>
      <c r="AU105">
        <v>0</v>
      </c>
      <c r="AV105" s="5">
        <v>1474</v>
      </c>
      <c r="AW105" t="s">
        <v>56</v>
      </c>
      <c r="AX105" s="6">
        <v>11213.2</v>
      </c>
      <c r="AY105" t="s">
        <v>288</v>
      </c>
      <c r="AZ105" t="s">
        <v>56</v>
      </c>
    </row>
    <row r="106" spans="1:52" hidden="1" x14ac:dyDescent="0.45">
      <c r="A106">
        <v>503826.88218120998</v>
      </c>
      <c r="B106">
        <v>6940654.5951320697</v>
      </c>
      <c r="C106">
        <v>105</v>
      </c>
      <c r="D106" t="s">
        <v>320</v>
      </c>
      <c r="E106" t="s">
        <v>321</v>
      </c>
      <c r="F106" t="s">
        <v>322</v>
      </c>
      <c r="G106" t="s">
        <v>288</v>
      </c>
      <c r="H106" s="3">
        <v>17192</v>
      </c>
      <c r="I106">
        <v>2</v>
      </c>
      <c r="J106" t="s">
        <v>56</v>
      </c>
      <c r="K106">
        <v>51.5</v>
      </c>
      <c r="L106">
        <v>60.1</v>
      </c>
      <c r="M106">
        <v>1</v>
      </c>
      <c r="N106" t="s">
        <v>56</v>
      </c>
      <c r="O106" t="s">
        <v>288</v>
      </c>
      <c r="P106">
        <v>81.900000000000006</v>
      </c>
      <c r="Q106">
        <v>0.71714670345194398</v>
      </c>
      <c r="R106">
        <v>13.6066745333976</v>
      </c>
      <c r="S106">
        <v>1.1367980189133899</v>
      </c>
      <c r="T106">
        <v>0.140437766956406</v>
      </c>
      <c r="U106">
        <v>6.7310409014608899E-2</v>
      </c>
      <c r="V106">
        <v>0.34153800129634898</v>
      </c>
      <c r="W106">
        <v>0.27173461417008798</v>
      </c>
      <c r="X106">
        <v>1.51074473566122</v>
      </c>
      <c r="Y106">
        <v>0.23600192790307301</v>
      </c>
      <c r="Z106">
        <v>0.31411524206817498</v>
      </c>
      <c r="AA106">
        <v>9.9719124466087199E-3</v>
      </c>
      <c r="AB106">
        <v>0.16702953348069599</v>
      </c>
      <c r="AC106" t="s">
        <v>288</v>
      </c>
      <c r="AD106">
        <v>60</v>
      </c>
      <c r="AE106" t="s">
        <v>288</v>
      </c>
      <c r="AF106" s="4" t="s">
        <v>80</v>
      </c>
      <c r="AG106" s="4">
        <v>2181</v>
      </c>
      <c r="AH106" s="4" t="s">
        <v>81</v>
      </c>
      <c r="AI106" s="4">
        <v>15011</v>
      </c>
      <c r="AJ106" t="s">
        <v>288</v>
      </c>
      <c r="AK106" t="s">
        <v>56</v>
      </c>
      <c r="AL106" t="s">
        <v>322</v>
      </c>
      <c r="AM106" s="1">
        <v>0.33333333333333331</v>
      </c>
      <c r="AN106">
        <v>0</v>
      </c>
      <c r="AO106" s="1">
        <v>0.375</v>
      </c>
      <c r="AP106">
        <v>0</v>
      </c>
      <c r="AQ106" s="5">
        <v>1416</v>
      </c>
      <c r="AR106" s="1">
        <v>0.66666666666666663</v>
      </c>
      <c r="AS106">
        <v>0</v>
      </c>
      <c r="AT106" s="1">
        <v>0.70833333333333337</v>
      </c>
      <c r="AU106">
        <v>0</v>
      </c>
      <c r="AV106" s="5">
        <v>1518</v>
      </c>
      <c r="AW106" t="s">
        <v>56</v>
      </c>
      <c r="AX106" s="6">
        <v>18391.400000000001</v>
      </c>
      <c r="AY106" t="s">
        <v>288</v>
      </c>
      <c r="AZ106" t="s">
        <v>56</v>
      </c>
    </row>
    <row r="107" spans="1:52" hidden="1" x14ac:dyDescent="0.45">
      <c r="A107">
        <v>496532.12432115199</v>
      </c>
      <c r="B107">
        <v>6933776.98382245</v>
      </c>
      <c r="C107">
        <v>106</v>
      </c>
      <c r="D107" t="s">
        <v>323</v>
      </c>
      <c r="E107" t="s">
        <v>105</v>
      </c>
      <c r="F107" t="s">
        <v>324</v>
      </c>
      <c r="G107" t="s">
        <v>176</v>
      </c>
      <c r="H107" s="3">
        <v>3776</v>
      </c>
      <c r="I107">
        <v>2</v>
      </c>
      <c r="J107" t="s">
        <v>56</v>
      </c>
      <c r="K107">
        <v>77.5</v>
      </c>
      <c r="L107">
        <v>86</v>
      </c>
      <c r="M107">
        <v>1</v>
      </c>
      <c r="N107" t="s">
        <v>56</v>
      </c>
      <c r="O107" t="s">
        <v>176</v>
      </c>
      <c r="P107">
        <v>72.2</v>
      </c>
      <c r="Q107">
        <v>1.1050560096881601</v>
      </c>
      <c r="R107">
        <v>24.663184983348501</v>
      </c>
      <c r="S107">
        <v>0.58280351195882496</v>
      </c>
      <c r="T107">
        <v>5.67665758401453E-2</v>
      </c>
      <c r="U107">
        <v>1.51377535573721E-2</v>
      </c>
      <c r="V107">
        <v>0.78716318498334803</v>
      </c>
      <c r="W107">
        <v>8.7042082954889494E-2</v>
      </c>
      <c r="X107">
        <v>0.28761731759006998</v>
      </c>
      <c r="Y107">
        <v>0.55631244323342399</v>
      </c>
      <c r="Z107">
        <v>3.02755071147442E-2</v>
      </c>
      <c r="AA107">
        <v>0</v>
      </c>
      <c r="AB107">
        <v>0.24220405691795299</v>
      </c>
      <c r="AC107" t="s">
        <v>176</v>
      </c>
      <c r="AD107">
        <v>80</v>
      </c>
      <c r="AE107" t="s">
        <v>176</v>
      </c>
      <c r="AF107" s="4" t="s">
        <v>57</v>
      </c>
      <c r="AG107" s="4">
        <v>1888</v>
      </c>
      <c r="AH107" s="4" t="s">
        <v>58</v>
      </c>
      <c r="AI107" s="4">
        <v>1888</v>
      </c>
      <c r="AJ107" t="s">
        <v>176</v>
      </c>
      <c r="AK107" t="s">
        <v>56</v>
      </c>
      <c r="AL107" t="s">
        <v>324</v>
      </c>
      <c r="AM107" s="1">
        <v>0.33333333333333331</v>
      </c>
      <c r="AN107">
        <v>0</v>
      </c>
      <c r="AO107" s="1">
        <v>0.375</v>
      </c>
      <c r="AP107">
        <v>0</v>
      </c>
      <c r="AQ107" s="5">
        <v>431</v>
      </c>
      <c r="AR107" s="1">
        <v>0.625</v>
      </c>
      <c r="AS107">
        <v>0</v>
      </c>
      <c r="AT107" s="1">
        <v>0.66666666666666663</v>
      </c>
      <c r="AU107">
        <v>0</v>
      </c>
      <c r="AV107" s="5">
        <v>397</v>
      </c>
      <c r="AW107" t="s">
        <v>56</v>
      </c>
      <c r="AX107" s="6">
        <v>4130.3999999999996</v>
      </c>
      <c r="AY107" t="s">
        <v>176</v>
      </c>
      <c r="AZ107" t="s">
        <v>56</v>
      </c>
    </row>
    <row r="108" spans="1:52" hidden="1" x14ac:dyDescent="0.45">
      <c r="A108">
        <v>512442.66366706498</v>
      </c>
      <c r="B108">
        <v>6947767.76532197</v>
      </c>
      <c r="C108">
        <v>107</v>
      </c>
      <c r="D108" t="s">
        <v>325</v>
      </c>
      <c r="E108" t="s">
        <v>109</v>
      </c>
      <c r="F108" t="s">
        <v>326</v>
      </c>
      <c r="G108" t="s">
        <v>327</v>
      </c>
      <c r="H108" s="3">
        <v>750</v>
      </c>
      <c r="I108">
        <v>2</v>
      </c>
      <c r="J108" t="s">
        <v>56</v>
      </c>
      <c r="K108">
        <v>45.8</v>
      </c>
      <c r="L108">
        <v>53.6</v>
      </c>
      <c r="M108">
        <v>1</v>
      </c>
      <c r="N108" t="s">
        <v>56</v>
      </c>
      <c r="O108" t="s">
        <v>327</v>
      </c>
      <c r="P108">
        <v>85.3</v>
      </c>
      <c r="Q108">
        <v>0.8</v>
      </c>
      <c r="R108">
        <v>13.4</v>
      </c>
      <c r="S108">
        <v>0.1</v>
      </c>
      <c r="T108">
        <v>0.1</v>
      </c>
      <c r="U108">
        <v>0</v>
      </c>
      <c r="V108">
        <v>0.1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0.2</v>
      </c>
      <c r="AC108" t="s">
        <v>327</v>
      </c>
      <c r="AD108">
        <v>50</v>
      </c>
      <c r="AE108" t="s">
        <v>327</v>
      </c>
      <c r="AF108" s="4" t="s">
        <v>80</v>
      </c>
      <c r="AG108" s="4">
        <v>449</v>
      </c>
      <c r="AH108" s="4" t="s">
        <v>81</v>
      </c>
      <c r="AI108" s="4">
        <v>302</v>
      </c>
      <c r="AJ108" t="s">
        <v>327</v>
      </c>
      <c r="AK108" t="s">
        <v>56</v>
      </c>
      <c r="AL108" t="s">
        <v>326</v>
      </c>
      <c r="AM108">
        <v>8</v>
      </c>
      <c r="AN108">
        <v>0</v>
      </c>
      <c r="AO108">
        <v>9</v>
      </c>
      <c r="AP108">
        <v>0</v>
      </c>
      <c r="AQ108" s="5">
        <v>95</v>
      </c>
      <c r="AR108">
        <v>15</v>
      </c>
      <c r="AS108">
        <v>0</v>
      </c>
      <c r="AT108">
        <v>16</v>
      </c>
      <c r="AU108">
        <v>0</v>
      </c>
      <c r="AV108" s="5">
        <v>81</v>
      </c>
      <c r="AW108" t="s">
        <v>56</v>
      </c>
      <c r="AX108" s="6">
        <v>828</v>
      </c>
      <c r="AY108" t="s">
        <v>327</v>
      </c>
      <c r="AZ108" t="s">
        <v>56</v>
      </c>
    </row>
    <row r="109" spans="1:52" hidden="1" x14ac:dyDescent="0.45">
      <c r="A109">
        <v>514163.98729079397</v>
      </c>
      <c r="B109">
        <v>6942833.5534031102</v>
      </c>
      <c r="C109">
        <v>108</v>
      </c>
      <c r="D109" t="s">
        <v>328</v>
      </c>
      <c r="E109" t="s">
        <v>86</v>
      </c>
      <c r="F109" t="s">
        <v>329</v>
      </c>
      <c r="G109" t="s">
        <v>327</v>
      </c>
      <c r="H109" s="3">
        <v>1769</v>
      </c>
      <c r="I109">
        <v>2</v>
      </c>
      <c r="J109" t="s">
        <v>56</v>
      </c>
      <c r="K109">
        <v>50.4</v>
      </c>
      <c r="L109">
        <v>60.5</v>
      </c>
      <c r="M109">
        <v>1</v>
      </c>
      <c r="N109" t="s">
        <v>56</v>
      </c>
      <c r="O109" t="s">
        <v>327</v>
      </c>
      <c r="P109">
        <v>86.7</v>
      </c>
      <c r="Q109">
        <v>0.8</v>
      </c>
      <c r="R109">
        <v>12</v>
      </c>
      <c r="S109">
        <v>0.1</v>
      </c>
      <c r="T109">
        <v>0</v>
      </c>
      <c r="U109">
        <v>0</v>
      </c>
      <c r="V109">
        <v>0.2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0.2</v>
      </c>
      <c r="AC109" t="s">
        <v>327</v>
      </c>
      <c r="AD109">
        <v>50</v>
      </c>
      <c r="AE109" t="s">
        <v>327</v>
      </c>
      <c r="AF109" s="4" t="s">
        <v>57</v>
      </c>
      <c r="AG109" s="4">
        <v>1118</v>
      </c>
      <c r="AH109" s="4" t="s">
        <v>58</v>
      </c>
      <c r="AI109" s="4">
        <v>651</v>
      </c>
      <c r="AJ109" t="s">
        <v>327</v>
      </c>
      <c r="AK109" t="s">
        <v>56</v>
      </c>
      <c r="AL109" t="s">
        <v>329</v>
      </c>
      <c r="AM109">
        <v>8</v>
      </c>
      <c r="AN109">
        <v>0</v>
      </c>
      <c r="AO109">
        <v>9</v>
      </c>
      <c r="AP109">
        <v>0</v>
      </c>
      <c r="AQ109" s="5">
        <v>206</v>
      </c>
      <c r="AR109">
        <v>15</v>
      </c>
      <c r="AS109">
        <v>0</v>
      </c>
      <c r="AT109">
        <v>16</v>
      </c>
      <c r="AU109">
        <v>0</v>
      </c>
      <c r="AV109" s="5">
        <v>145</v>
      </c>
      <c r="AW109" t="s">
        <v>56</v>
      </c>
      <c r="AX109" s="6">
        <v>1961</v>
      </c>
      <c r="AY109" t="s">
        <v>327</v>
      </c>
      <c r="AZ109" t="s">
        <v>56</v>
      </c>
    </row>
    <row r="110" spans="1:52" hidden="1" x14ac:dyDescent="0.45">
      <c r="A110">
        <v>508370.733105978</v>
      </c>
      <c r="B110">
        <v>6940536.1213169601</v>
      </c>
      <c r="C110">
        <v>109</v>
      </c>
      <c r="D110" t="s">
        <v>330</v>
      </c>
      <c r="E110" t="s">
        <v>331</v>
      </c>
      <c r="F110" t="s">
        <v>332</v>
      </c>
      <c r="G110" t="s">
        <v>333</v>
      </c>
      <c r="H110" s="3">
        <v>2404</v>
      </c>
      <c r="I110">
        <v>2</v>
      </c>
      <c r="J110" t="s">
        <v>56</v>
      </c>
      <c r="K110">
        <v>43.2</v>
      </c>
      <c r="L110">
        <v>48.6</v>
      </c>
      <c r="M110">
        <v>1</v>
      </c>
      <c r="N110" t="s">
        <v>56</v>
      </c>
      <c r="O110" t="s">
        <v>333</v>
      </c>
      <c r="P110">
        <v>89</v>
      </c>
      <c r="Q110">
        <v>0.6</v>
      </c>
      <c r="R110">
        <v>9.9</v>
      </c>
      <c r="S110">
        <v>0.1</v>
      </c>
      <c r="T110">
        <v>0</v>
      </c>
      <c r="U110">
        <v>0</v>
      </c>
      <c r="V110">
        <v>0.3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0.1</v>
      </c>
      <c r="AC110" t="s">
        <v>333</v>
      </c>
      <c r="AD110">
        <v>50</v>
      </c>
      <c r="AE110" t="s">
        <v>333</v>
      </c>
      <c r="AF110" s="4" t="s">
        <v>57</v>
      </c>
      <c r="AG110" s="4">
        <v>1094</v>
      </c>
      <c r="AH110" s="4" t="s">
        <v>58</v>
      </c>
      <c r="AI110" s="4">
        <v>1311</v>
      </c>
      <c r="AJ110" t="s">
        <v>333</v>
      </c>
      <c r="AK110" t="s">
        <v>56</v>
      </c>
      <c r="AL110" t="s">
        <v>332</v>
      </c>
      <c r="AM110">
        <v>8</v>
      </c>
      <c r="AN110">
        <v>0</v>
      </c>
      <c r="AO110">
        <v>9</v>
      </c>
      <c r="AP110">
        <v>0</v>
      </c>
      <c r="AQ110" s="5">
        <v>150</v>
      </c>
      <c r="AR110">
        <v>16</v>
      </c>
      <c r="AS110">
        <v>0</v>
      </c>
      <c r="AT110">
        <v>17</v>
      </c>
      <c r="AU110">
        <v>0</v>
      </c>
      <c r="AV110" s="5">
        <v>241</v>
      </c>
      <c r="AW110" t="s">
        <v>56</v>
      </c>
      <c r="AX110" s="6">
        <v>2579</v>
      </c>
      <c r="AY110" t="s">
        <v>333</v>
      </c>
      <c r="AZ110" t="s">
        <v>56</v>
      </c>
    </row>
    <row r="111" spans="1:52" hidden="1" x14ac:dyDescent="0.45">
      <c r="A111">
        <v>513641.56693584903</v>
      </c>
      <c r="B111">
        <v>6944089.5008717496</v>
      </c>
      <c r="C111">
        <v>110</v>
      </c>
      <c r="D111" t="s">
        <v>334</v>
      </c>
      <c r="E111" t="s">
        <v>335</v>
      </c>
      <c r="F111" t="s">
        <v>336</v>
      </c>
      <c r="G111" t="s">
        <v>337</v>
      </c>
      <c r="H111" s="3">
        <v>813</v>
      </c>
      <c r="I111">
        <v>2</v>
      </c>
      <c r="J111" t="s">
        <v>56</v>
      </c>
      <c r="K111">
        <v>45.6</v>
      </c>
      <c r="L111">
        <v>53.3</v>
      </c>
      <c r="M111">
        <v>1</v>
      </c>
      <c r="N111" t="s">
        <v>56</v>
      </c>
      <c r="O111" t="s">
        <v>337</v>
      </c>
      <c r="P111">
        <v>90.1</v>
      </c>
      <c r="Q111">
        <v>0.7</v>
      </c>
      <c r="R111">
        <v>8.4</v>
      </c>
      <c r="S111">
        <v>0.4</v>
      </c>
      <c r="T111">
        <v>0.2</v>
      </c>
      <c r="U111">
        <v>0</v>
      </c>
      <c r="V111">
        <v>0.2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 t="s">
        <v>337</v>
      </c>
      <c r="AD111">
        <v>50</v>
      </c>
      <c r="AE111" t="s">
        <v>337</v>
      </c>
      <c r="AF111" s="4" t="s">
        <v>57</v>
      </c>
      <c r="AG111" s="4">
        <v>372</v>
      </c>
      <c r="AH111" s="4" t="s">
        <v>58</v>
      </c>
      <c r="AI111" s="4">
        <v>441</v>
      </c>
      <c r="AJ111" t="s">
        <v>337</v>
      </c>
      <c r="AK111" t="s">
        <v>56</v>
      </c>
      <c r="AL111" t="s">
        <v>336</v>
      </c>
      <c r="AM111">
        <v>8</v>
      </c>
      <c r="AN111">
        <v>0</v>
      </c>
      <c r="AO111">
        <v>9</v>
      </c>
      <c r="AP111">
        <v>0</v>
      </c>
      <c r="AQ111" s="5">
        <v>101</v>
      </c>
      <c r="AR111">
        <v>14</v>
      </c>
      <c r="AS111">
        <v>0</v>
      </c>
      <c r="AT111">
        <v>15</v>
      </c>
      <c r="AU111">
        <v>0</v>
      </c>
      <c r="AV111" s="5">
        <v>80</v>
      </c>
      <c r="AW111" t="s">
        <v>56</v>
      </c>
      <c r="AX111" s="6">
        <v>919</v>
      </c>
      <c r="AY111" t="s">
        <v>337</v>
      </c>
      <c r="AZ111" t="s">
        <v>56</v>
      </c>
    </row>
    <row r="112" spans="1:52" hidden="1" x14ac:dyDescent="0.45">
      <c r="A112">
        <v>505234.21035242401</v>
      </c>
      <c r="B112">
        <v>6940337.3808037899</v>
      </c>
      <c r="C112">
        <v>111</v>
      </c>
      <c r="D112" t="s">
        <v>338</v>
      </c>
      <c r="E112" t="s">
        <v>321</v>
      </c>
      <c r="F112" t="s">
        <v>339</v>
      </c>
      <c r="G112" t="s">
        <v>333</v>
      </c>
      <c r="H112" s="3">
        <v>667</v>
      </c>
      <c r="I112">
        <v>2</v>
      </c>
      <c r="J112" t="s">
        <v>56</v>
      </c>
      <c r="K112">
        <v>45.5</v>
      </c>
      <c r="L112">
        <v>53.6</v>
      </c>
      <c r="M112">
        <v>1</v>
      </c>
      <c r="N112" t="s">
        <v>56</v>
      </c>
      <c r="O112" t="s">
        <v>333</v>
      </c>
      <c r="P112">
        <v>84.9</v>
      </c>
      <c r="Q112">
        <v>1.7</v>
      </c>
      <c r="R112">
        <v>12.3</v>
      </c>
      <c r="S112">
        <v>0.3</v>
      </c>
      <c r="T112">
        <v>0.2</v>
      </c>
      <c r="U112">
        <v>0</v>
      </c>
      <c r="V112">
        <v>0.3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0.3</v>
      </c>
      <c r="AC112" t="s">
        <v>333</v>
      </c>
      <c r="AD112">
        <v>50</v>
      </c>
      <c r="AE112" t="s">
        <v>333</v>
      </c>
      <c r="AF112" s="4" t="s">
        <v>80</v>
      </c>
      <c r="AG112" s="4">
        <v>342</v>
      </c>
      <c r="AH112" s="4" t="s">
        <v>81</v>
      </c>
      <c r="AI112" s="4">
        <v>324</v>
      </c>
      <c r="AJ112" t="s">
        <v>333</v>
      </c>
      <c r="AK112" t="s">
        <v>56</v>
      </c>
      <c r="AL112" t="s">
        <v>339</v>
      </c>
      <c r="AM112">
        <v>8</v>
      </c>
      <c r="AN112">
        <v>0</v>
      </c>
      <c r="AO112">
        <v>9</v>
      </c>
      <c r="AP112">
        <v>0</v>
      </c>
      <c r="AQ112" s="5">
        <v>57</v>
      </c>
      <c r="AR112">
        <v>15</v>
      </c>
      <c r="AS112">
        <v>0</v>
      </c>
      <c r="AT112">
        <v>16</v>
      </c>
      <c r="AU112">
        <v>0</v>
      </c>
      <c r="AV112" s="5">
        <v>66</v>
      </c>
      <c r="AW112" t="s">
        <v>56</v>
      </c>
      <c r="AX112" s="6">
        <v>688</v>
      </c>
      <c r="AY112" t="s">
        <v>333</v>
      </c>
      <c r="AZ112" t="s">
        <v>56</v>
      </c>
    </row>
    <row r="113" spans="1:52" hidden="1" x14ac:dyDescent="0.45">
      <c r="A113">
        <v>505627.384883839</v>
      </c>
      <c r="B113">
        <v>6939573.8907478899</v>
      </c>
      <c r="C113">
        <v>112</v>
      </c>
      <c r="D113" t="s">
        <v>340</v>
      </c>
      <c r="E113" t="s">
        <v>321</v>
      </c>
      <c r="F113" t="s">
        <v>341</v>
      </c>
      <c r="G113" t="s">
        <v>333</v>
      </c>
      <c r="H113" s="3">
        <v>316</v>
      </c>
      <c r="I113">
        <v>2</v>
      </c>
      <c r="J113" t="s">
        <v>56</v>
      </c>
      <c r="K113">
        <v>49.6</v>
      </c>
      <c r="L113">
        <v>59</v>
      </c>
      <c r="M113">
        <v>1</v>
      </c>
      <c r="N113" t="s">
        <v>56</v>
      </c>
      <c r="O113" t="s">
        <v>333</v>
      </c>
      <c r="P113">
        <v>90.7</v>
      </c>
      <c r="Q113">
        <v>1.2</v>
      </c>
      <c r="R113">
        <v>7.3</v>
      </c>
      <c r="S113">
        <v>0.3</v>
      </c>
      <c r="T113">
        <v>0.1</v>
      </c>
      <c r="U113">
        <v>0</v>
      </c>
      <c r="V113">
        <v>0.3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0.1</v>
      </c>
      <c r="AC113" t="s">
        <v>333</v>
      </c>
      <c r="AD113">
        <v>50</v>
      </c>
      <c r="AE113" t="s">
        <v>333</v>
      </c>
      <c r="AF113" s="4" t="s">
        <v>57</v>
      </c>
      <c r="AG113" s="4">
        <v>316</v>
      </c>
      <c r="AH113" s="4" t="s">
        <v>58</v>
      </c>
      <c r="AI113" s="4">
        <v>328</v>
      </c>
      <c r="AJ113" t="s">
        <v>333</v>
      </c>
      <c r="AK113" t="s">
        <v>56</v>
      </c>
      <c r="AL113" t="s">
        <v>341</v>
      </c>
      <c r="AM113">
        <v>8</v>
      </c>
      <c r="AN113">
        <v>0</v>
      </c>
      <c r="AO113">
        <v>9</v>
      </c>
      <c r="AP113">
        <v>0</v>
      </c>
      <c r="AQ113" s="5">
        <v>38</v>
      </c>
      <c r="AR113">
        <v>17</v>
      </c>
      <c r="AS113">
        <v>0</v>
      </c>
      <c r="AT113">
        <v>18</v>
      </c>
      <c r="AU113">
        <v>0</v>
      </c>
      <c r="AV113" s="5">
        <v>67</v>
      </c>
      <c r="AW113" t="s">
        <v>56</v>
      </c>
      <c r="AX113" s="6">
        <v>328</v>
      </c>
      <c r="AY113" t="s">
        <v>333</v>
      </c>
      <c r="AZ113" t="s">
        <v>56</v>
      </c>
    </row>
    <row r="114" spans="1:52" hidden="1" x14ac:dyDescent="0.45">
      <c r="A114">
        <v>514638.89799870102</v>
      </c>
      <c r="B114">
        <v>6948106.82986678</v>
      </c>
      <c r="C114">
        <v>113</v>
      </c>
      <c r="D114" t="s">
        <v>342</v>
      </c>
      <c r="E114" t="s">
        <v>343</v>
      </c>
      <c r="F114" t="s">
        <v>344</v>
      </c>
      <c r="G114" t="s">
        <v>345</v>
      </c>
      <c r="H114" s="3">
        <v>3657</v>
      </c>
      <c r="I114">
        <v>2</v>
      </c>
      <c r="J114" t="s">
        <v>56</v>
      </c>
      <c r="K114">
        <v>67.599999999999994</v>
      </c>
      <c r="L114">
        <v>73.8</v>
      </c>
      <c r="M114">
        <v>1</v>
      </c>
      <c r="N114" t="s">
        <v>56</v>
      </c>
      <c r="O114" t="s">
        <v>345</v>
      </c>
      <c r="P114">
        <v>81.599999999999994</v>
      </c>
      <c r="Q114">
        <v>0.9</v>
      </c>
      <c r="R114">
        <v>16.600000000000001</v>
      </c>
      <c r="S114">
        <v>0.2</v>
      </c>
      <c r="T114">
        <v>0</v>
      </c>
      <c r="U114">
        <v>0</v>
      </c>
      <c r="V114">
        <v>0.4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0.3</v>
      </c>
      <c r="AC114" t="s">
        <v>345</v>
      </c>
      <c r="AD114">
        <v>70</v>
      </c>
      <c r="AE114" t="s">
        <v>345</v>
      </c>
      <c r="AF114" s="4" t="s">
        <v>57</v>
      </c>
      <c r="AG114" s="4">
        <v>1817</v>
      </c>
      <c r="AH114" s="4" t="s">
        <v>58</v>
      </c>
      <c r="AI114" s="4">
        <v>1840</v>
      </c>
      <c r="AJ114" t="s">
        <v>345</v>
      </c>
      <c r="AK114" t="s">
        <v>56</v>
      </c>
      <c r="AL114" t="s">
        <v>344</v>
      </c>
      <c r="AM114">
        <v>7</v>
      </c>
      <c r="AN114">
        <v>0</v>
      </c>
      <c r="AO114">
        <v>8</v>
      </c>
      <c r="AP114">
        <v>0</v>
      </c>
      <c r="AQ114" s="5">
        <v>472</v>
      </c>
      <c r="AR114">
        <v>17</v>
      </c>
      <c r="AS114">
        <v>0</v>
      </c>
      <c r="AT114">
        <v>18</v>
      </c>
      <c r="AU114">
        <v>0</v>
      </c>
      <c r="AV114" s="5">
        <v>372</v>
      </c>
      <c r="AW114" t="s">
        <v>56</v>
      </c>
      <c r="AX114" s="6">
        <v>4138</v>
      </c>
      <c r="AY114" t="s">
        <v>345</v>
      </c>
      <c r="AZ114" t="s">
        <v>56</v>
      </c>
    </row>
    <row r="115" spans="1:52" hidden="1" x14ac:dyDescent="0.45">
      <c r="A115">
        <v>503857.388410029</v>
      </c>
      <c r="B115">
        <v>6934219.6165101398</v>
      </c>
      <c r="C115">
        <v>114</v>
      </c>
      <c r="D115" t="s">
        <v>346</v>
      </c>
      <c r="E115" t="s">
        <v>347</v>
      </c>
      <c r="F115" t="s">
        <v>348</v>
      </c>
      <c r="G115" t="s">
        <v>349</v>
      </c>
      <c r="H115" s="3">
        <v>1869</v>
      </c>
      <c r="I115">
        <v>2</v>
      </c>
      <c r="J115" t="s">
        <v>56</v>
      </c>
      <c r="K115">
        <v>71.900000000000006</v>
      </c>
      <c r="L115">
        <v>82.4</v>
      </c>
      <c r="M115">
        <v>1</v>
      </c>
      <c r="N115" t="s">
        <v>56</v>
      </c>
      <c r="O115" t="s">
        <v>349</v>
      </c>
      <c r="P115">
        <v>75.099999999999994</v>
      </c>
      <c r="Q115">
        <v>1.1000000000000001</v>
      </c>
      <c r="R115">
        <v>21.3</v>
      </c>
      <c r="S115">
        <v>0.6</v>
      </c>
      <c r="T115">
        <v>0.1</v>
      </c>
      <c r="U115">
        <v>0</v>
      </c>
      <c r="V115">
        <v>1</v>
      </c>
      <c r="W115">
        <v>0</v>
      </c>
      <c r="X115">
        <v>0.3</v>
      </c>
      <c r="Y115">
        <v>0.2</v>
      </c>
      <c r="Z115">
        <v>0</v>
      </c>
      <c r="AA115">
        <v>0</v>
      </c>
      <c r="AB115">
        <v>0.3</v>
      </c>
      <c r="AC115" t="s">
        <v>349</v>
      </c>
      <c r="AD115">
        <v>80</v>
      </c>
      <c r="AE115" t="s">
        <v>349</v>
      </c>
      <c r="AF115" s="4" t="s">
        <v>57</v>
      </c>
      <c r="AG115" s="4">
        <v>1003</v>
      </c>
      <c r="AH115" s="4" t="s">
        <v>58</v>
      </c>
      <c r="AI115" s="4">
        <v>867</v>
      </c>
      <c r="AJ115" t="s">
        <v>349</v>
      </c>
      <c r="AK115" t="s">
        <v>56</v>
      </c>
      <c r="AL115" t="s">
        <v>350</v>
      </c>
      <c r="AM115">
        <v>8</v>
      </c>
      <c r="AN115">
        <v>0</v>
      </c>
      <c r="AO115">
        <v>9</v>
      </c>
      <c r="AP115">
        <v>0</v>
      </c>
      <c r="AQ115" s="5">
        <v>173</v>
      </c>
      <c r="AR115">
        <v>15</v>
      </c>
      <c r="AS115">
        <v>0</v>
      </c>
      <c r="AT115">
        <v>16</v>
      </c>
      <c r="AU115">
        <v>0</v>
      </c>
      <c r="AV115" s="5">
        <v>199</v>
      </c>
      <c r="AW115" t="s">
        <v>56</v>
      </c>
      <c r="AX115" s="6">
        <v>1977</v>
      </c>
      <c r="AY115" t="s">
        <v>349</v>
      </c>
      <c r="AZ115" t="s">
        <v>56</v>
      </c>
    </row>
    <row r="116" spans="1:52" hidden="1" x14ac:dyDescent="0.45">
      <c r="A116">
        <v>514396.54770922702</v>
      </c>
      <c r="B116">
        <v>6942620.9353253003</v>
      </c>
      <c r="C116">
        <v>115</v>
      </c>
      <c r="D116" t="s">
        <v>351</v>
      </c>
      <c r="E116" t="s">
        <v>86</v>
      </c>
      <c r="F116" t="s">
        <v>352</v>
      </c>
      <c r="G116" t="s">
        <v>353</v>
      </c>
      <c r="H116" s="3">
        <v>2866</v>
      </c>
      <c r="I116">
        <v>2</v>
      </c>
      <c r="J116" t="s">
        <v>56</v>
      </c>
      <c r="K116">
        <v>59.6</v>
      </c>
      <c r="L116">
        <v>65.5</v>
      </c>
      <c r="M116">
        <v>1</v>
      </c>
      <c r="N116" t="s">
        <v>56</v>
      </c>
      <c r="O116" t="s">
        <v>353</v>
      </c>
      <c r="P116">
        <v>85.2</v>
      </c>
      <c r="Q116">
        <v>1.2</v>
      </c>
      <c r="R116">
        <v>12.8</v>
      </c>
      <c r="S116">
        <v>0.2</v>
      </c>
      <c r="T116">
        <v>0.1</v>
      </c>
      <c r="U116">
        <v>0</v>
      </c>
      <c r="V116">
        <v>0.3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0.2</v>
      </c>
      <c r="AC116" t="s">
        <v>353</v>
      </c>
      <c r="AD116">
        <v>60</v>
      </c>
      <c r="AE116" t="s">
        <v>353</v>
      </c>
      <c r="AF116" s="4" t="s">
        <v>80</v>
      </c>
      <c r="AG116" s="4">
        <v>2866</v>
      </c>
      <c r="AJ116" t="s">
        <v>353</v>
      </c>
      <c r="AK116" t="s">
        <v>56</v>
      </c>
      <c r="AL116" t="s">
        <v>354</v>
      </c>
      <c r="AM116">
        <v>8</v>
      </c>
      <c r="AN116">
        <v>0</v>
      </c>
      <c r="AO116">
        <v>9</v>
      </c>
      <c r="AP116">
        <v>0</v>
      </c>
      <c r="AQ116" s="5">
        <v>629</v>
      </c>
      <c r="AR116">
        <v>15</v>
      </c>
      <c r="AS116">
        <v>0</v>
      </c>
      <c r="AT116">
        <v>16</v>
      </c>
      <c r="AU116">
        <v>0</v>
      </c>
      <c r="AV116" s="5">
        <v>511</v>
      </c>
      <c r="AW116" t="s">
        <v>56</v>
      </c>
      <c r="AX116" s="6">
        <v>5720</v>
      </c>
      <c r="AY116" t="s">
        <v>353</v>
      </c>
      <c r="AZ116" t="s">
        <v>56</v>
      </c>
    </row>
    <row r="117" spans="1:52" hidden="1" x14ac:dyDescent="0.45">
      <c r="A117">
        <v>514396.54770922702</v>
      </c>
      <c r="B117">
        <v>6942620.9353253003</v>
      </c>
      <c r="C117">
        <v>116</v>
      </c>
      <c r="D117" t="s">
        <v>351</v>
      </c>
      <c r="E117" t="s">
        <v>86</v>
      </c>
      <c r="F117" t="s">
        <v>352</v>
      </c>
      <c r="G117" t="s">
        <v>353</v>
      </c>
      <c r="H117" s="3">
        <v>1896</v>
      </c>
      <c r="I117">
        <v>2</v>
      </c>
      <c r="J117" t="s">
        <v>56</v>
      </c>
      <c r="K117">
        <v>59.6</v>
      </c>
      <c r="L117">
        <v>65.5</v>
      </c>
      <c r="M117">
        <v>1</v>
      </c>
      <c r="N117" t="s">
        <v>56</v>
      </c>
      <c r="O117" t="s">
        <v>353</v>
      </c>
      <c r="P117">
        <v>85.2</v>
      </c>
      <c r="Q117">
        <v>1.2</v>
      </c>
      <c r="R117">
        <v>12.8</v>
      </c>
      <c r="S117">
        <v>0.2</v>
      </c>
      <c r="T117">
        <v>0.1</v>
      </c>
      <c r="U117">
        <v>0</v>
      </c>
      <c r="V117">
        <v>0.3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0.2</v>
      </c>
      <c r="AC117" t="s">
        <v>353</v>
      </c>
      <c r="AD117">
        <v>60</v>
      </c>
      <c r="AE117" t="s">
        <v>353</v>
      </c>
      <c r="AH117" s="4" t="s">
        <v>81</v>
      </c>
      <c r="AI117" s="4">
        <v>1896</v>
      </c>
      <c r="AJ117" t="s">
        <v>353</v>
      </c>
      <c r="AK117" t="s">
        <v>56</v>
      </c>
      <c r="AL117" t="s">
        <v>354</v>
      </c>
      <c r="AM117">
        <v>8</v>
      </c>
      <c r="AN117">
        <v>0</v>
      </c>
      <c r="AO117">
        <v>9</v>
      </c>
      <c r="AP117">
        <v>0</v>
      </c>
      <c r="AQ117" s="5">
        <v>629</v>
      </c>
      <c r="AR117">
        <v>15</v>
      </c>
      <c r="AS117">
        <v>0</v>
      </c>
      <c r="AT117">
        <v>16</v>
      </c>
      <c r="AU117">
        <v>0</v>
      </c>
      <c r="AV117" s="5">
        <v>511</v>
      </c>
      <c r="AW117" t="s">
        <v>56</v>
      </c>
      <c r="AX117" s="6">
        <v>5720</v>
      </c>
      <c r="AY117" t="s">
        <v>353</v>
      </c>
      <c r="AZ117" t="s">
        <v>56</v>
      </c>
    </row>
    <row r="118" spans="1:52" hidden="1" x14ac:dyDescent="0.45">
      <c r="A118">
        <v>514619.08339454402</v>
      </c>
      <c r="B118">
        <v>6943103.7369422996</v>
      </c>
      <c r="C118">
        <v>117</v>
      </c>
      <c r="D118" t="s">
        <v>351</v>
      </c>
      <c r="E118" t="s">
        <v>86</v>
      </c>
      <c r="F118" t="s">
        <v>355</v>
      </c>
      <c r="G118" t="s">
        <v>353</v>
      </c>
      <c r="H118" s="3">
        <v>1456</v>
      </c>
      <c r="I118">
        <v>2</v>
      </c>
      <c r="J118" t="s">
        <v>56</v>
      </c>
      <c r="K118">
        <v>48.6</v>
      </c>
      <c r="L118">
        <v>54</v>
      </c>
      <c r="M118">
        <v>1</v>
      </c>
      <c r="N118" t="s">
        <v>56</v>
      </c>
      <c r="O118" t="s">
        <v>353</v>
      </c>
      <c r="P118">
        <v>85.2</v>
      </c>
      <c r="Q118">
        <v>0.6</v>
      </c>
      <c r="R118">
        <v>13.6</v>
      </c>
      <c r="S118">
        <v>0.1</v>
      </c>
      <c r="T118">
        <v>0.1</v>
      </c>
      <c r="U118">
        <v>0</v>
      </c>
      <c r="V118">
        <v>0.2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0.2</v>
      </c>
      <c r="AC118" t="s">
        <v>353</v>
      </c>
      <c r="AD118">
        <v>60</v>
      </c>
      <c r="AE118" t="s">
        <v>353</v>
      </c>
      <c r="AF118" s="4" t="s">
        <v>81</v>
      </c>
      <c r="AG118" s="4">
        <v>1456</v>
      </c>
      <c r="AJ118" t="s">
        <v>353</v>
      </c>
      <c r="AK118" t="s">
        <v>56</v>
      </c>
      <c r="AL118" t="s">
        <v>356</v>
      </c>
      <c r="AM118">
        <v>8</v>
      </c>
      <c r="AN118">
        <v>0</v>
      </c>
      <c r="AO118">
        <v>9</v>
      </c>
      <c r="AP118">
        <v>0</v>
      </c>
      <c r="AQ118" s="5">
        <v>224</v>
      </c>
      <c r="AR118">
        <v>15</v>
      </c>
      <c r="AS118">
        <v>0</v>
      </c>
      <c r="AT118">
        <v>16</v>
      </c>
      <c r="AU118">
        <v>0</v>
      </c>
      <c r="AV118" s="5">
        <v>240</v>
      </c>
      <c r="AW118" t="s">
        <v>56</v>
      </c>
      <c r="AX118" s="6">
        <v>1840</v>
      </c>
      <c r="AY118" t="s">
        <v>353</v>
      </c>
      <c r="AZ118" t="s">
        <v>56</v>
      </c>
    </row>
    <row r="119" spans="1:52" hidden="1" x14ac:dyDescent="0.45">
      <c r="A119">
        <v>518401.37025161198</v>
      </c>
      <c r="B119">
        <v>6941141.52768848</v>
      </c>
      <c r="C119">
        <v>118</v>
      </c>
      <c r="D119" t="s">
        <v>66</v>
      </c>
      <c r="E119" t="s">
        <v>67</v>
      </c>
      <c r="F119" t="s">
        <v>68</v>
      </c>
      <c r="G119" t="s">
        <v>69</v>
      </c>
      <c r="H119" s="3">
        <v>633</v>
      </c>
      <c r="I119">
        <v>2</v>
      </c>
      <c r="J119" t="s">
        <v>56</v>
      </c>
      <c r="K119">
        <v>52</v>
      </c>
      <c r="L119">
        <v>60.8</v>
      </c>
      <c r="M119">
        <v>1</v>
      </c>
      <c r="N119" t="s">
        <v>56</v>
      </c>
      <c r="O119" t="s">
        <v>69</v>
      </c>
      <c r="P119">
        <v>85</v>
      </c>
      <c r="Q119">
        <v>0.5</v>
      </c>
      <c r="R119">
        <v>14.2</v>
      </c>
      <c r="S119">
        <v>0.1</v>
      </c>
      <c r="T119">
        <v>0</v>
      </c>
      <c r="U119">
        <v>0</v>
      </c>
      <c r="V119">
        <v>0.1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0.1</v>
      </c>
      <c r="AC119" t="s">
        <v>69</v>
      </c>
      <c r="AD119">
        <v>50</v>
      </c>
      <c r="AE119" t="s">
        <v>69</v>
      </c>
      <c r="AF119" s="4" t="s">
        <v>57</v>
      </c>
      <c r="AG119" s="4">
        <v>324</v>
      </c>
      <c r="AH119" s="4" t="s">
        <v>58</v>
      </c>
      <c r="AI119" s="4">
        <v>309</v>
      </c>
      <c r="AJ119" t="s">
        <v>69</v>
      </c>
      <c r="AK119" t="s">
        <v>56</v>
      </c>
      <c r="AL119" t="s">
        <v>68</v>
      </c>
      <c r="AM119">
        <v>8</v>
      </c>
      <c r="AN119">
        <v>0</v>
      </c>
      <c r="AO119">
        <v>9</v>
      </c>
      <c r="AP119">
        <v>0</v>
      </c>
      <c r="AQ119" s="5">
        <v>63</v>
      </c>
      <c r="AR119">
        <v>15</v>
      </c>
      <c r="AS119">
        <v>0</v>
      </c>
      <c r="AT119">
        <v>16</v>
      </c>
      <c r="AU119">
        <v>0</v>
      </c>
      <c r="AV119" s="5">
        <v>63</v>
      </c>
      <c r="AW119" t="s">
        <v>56</v>
      </c>
      <c r="AX119" s="6">
        <v>645</v>
      </c>
      <c r="AY119" t="s">
        <v>69</v>
      </c>
      <c r="AZ119" t="s">
        <v>56</v>
      </c>
    </row>
    <row r="120" spans="1:52" hidden="1" x14ac:dyDescent="0.45">
      <c r="A120">
        <v>507064.28947696299</v>
      </c>
      <c r="B120">
        <v>6941065.0994916297</v>
      </c>
      <c r="C120">
        <v>119</v>
      </c>
      <c r="D120" t="s">
        <v>357</v>
      </c>
      <c r="E120" t="s">
        <v>358</v>
      </c>
      <c r="F120" t="s">
        <v>359</v>
      </c>
      <c r="G120" t="s">
        <v>159</v>
      </c>
      <c r="H120" s="3">
        <v>4233</v>
      </c>
      <c r="I120">
        <v>2</v>
      </c>
      <c r="J120" t="s">
        <v>56</v>
      </c>
      <c r="K120">
        <v>62.4</v>
      </c>
      <c r="L120">
        <v>69.5</v>
      </c>
      <c r="M120">
        <v>1</v>
      </c>
      <c r="N120" t="s">
        <v>56</v>
      </c>
      <c r="O120" t="s">
        <v>159</v>
      </c>
      <c r="P120">
        <v>90.3</v>
      </c>
      <c r="Q120">
        <v>0.4</v>
      </c>
      <c r="R120">
        <v>8.6999999999999993</v>
      </c>
      <c r="S120">
        <v>0.1</v>
      </c>
      <c r="T120">
        <v>0</v>
      </c>
      <c r="U120">
        <v>0</v>
      </c>
      <c r="V120">
        <v>0.2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0.3</v>
      </c>
      <c r="AC120" t="s">
        <v>159</v>
      </c>
      <c r="AD120">
        <v>60</v>
      </c>
      <c r="AE120" t="s">
        <v>159</v>
      </c>
      <c r="AF120" s="4" t="s">
        <v>57</v>
      </c>
      <c r="AG120" s="4">
        <v>1981</v>
      </c>
      <c r="AH120" s="4" t="s">
        <v>58</v>
      </c>
      <c r="AI120" s="4">
        <v>2252</v>
      </c>
      <c r="AJ120" t="s">
        <v>159</v>
      </c>
      <c r="AK120" t="s">
        <v>56</v>
      </c>
      <c r="AL120" t="s">
        <v>359</v>
      </c>
      <c r="AM120">
        <v>8</v>
      </c>
      <c r="AN120">
        <v>0</v>
      </c>
      <c r="AO120">
        <v>9</v>
      </c>
      <c r="AP120">
        <v>0</v>
      </c>
      <c r="AQ120" s="5">
        <v>291</v>
      </c>
      <c r="AR120">
        <v>17</v>
      </c>
      <c r="AS120">
        <v>0</v>
      </c>
      <c r="AT120">
        <v>18</v>
      </c>
      <c r="AU120">
        <v>0</v>
      </c>
      <c r="AV120" s="5">
        <v>442</v>
      </c>
      <c r="AW120" t="s">
        <v>56</v>
      </c>
      <c r="AX120" s="6">
        <v>4420</v>
      </c>
      <c r="AY120" t="s">
        <v>159</v>
      </c>
      <c r="AZ120" t="s">
        <v>56</v>
      </c>
    </row>
    <row r="121" spans="1:52" hidden="1" x14ac:dyDescent="0.45">
      <c r="A121">
        <v>505514.49106410501</v>
      </c>
      <c r="B121">
        <v>6940072.5173428999</v>
      </c>
      <c r="C121">
        <v>120</v>
      </c>
      <c r="D121" t="s">
        <v>360</v>
      </c>
      <c r="E121" t="s">
        <v>321</v>
      </c>
      <c r="F121" t="s">
        <v>361</v>
      </c>
      <c r="G121" t="s">
        <v>362</v>
      </c>
      <c r="H121" s="3">
        <v>807</v>
      </c>
      <c r="I121">
        <v>2</v>
      </c>
      <c r="J121" t="s">
        <v>56</v>
      </c>
      <c r="K121">
        <v>42.7</v>
      </c>
      <c r="L121">
        <v>52.2</v>
      </c>
      <c r="M121">
        <v>1</v>
      </c>
      <c r="N121" t="s">
        <v>56</v>
      </c>
      <c r="O121" t="s">
        <v>362</v>
      </c>
      <c r="P121">
        <v>86.9</v>
      </c>
      <c r="Q121">
        <v>0.6</v>
      </c>
      <c r="R121">
        <v>11.7</v>
      </c>
      <c r="S121">
        <v>0.4</v>
      </c>
      <c r="T121">
        <v>0</v>
      </c>
      <c r="U121">
        <v>0</v>
      </c>
      <c r="V121">
        <v>0.2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0.2</v>
      </c>
      <c r="AC121" t="s">
        <v>362</v>
      </c>
      <c r="AD121">
        <v>50</v>
      </c>
      <c r="AE121" t="s">
        <v>362</v>
      </c>
      <c r="AF121" s="4" t="s">
        <v>57</v>
      </c>
      <c r="AG121" s="4">
        <v>463</v>
      </c>
      <c r="AH121" s="4" t="s">
        <v>58</v>
      </c>
      <c r="AI121" s="4">
        <v>344</v>
      </c>
      <c r="AJ121" t="s">
        <v>362</v>
      </c>
      <c r="AK121" t="s">
        <v>56</v>
      </c>
      <c r="AL121" t="s">
        <v>363</v>
      </c>
      <c r="AM121">
        <v>8</v>
      </c>
      <c r="AN121">
        <v>0</v>
      </c>
      <c r="AO121">
        <v>9</v>
      </c>
      <c r="AP121">
        <v>0</v>
      </c>
      <c r="AQ121" s="5">
        <v>95</v>
      </c>
      <c r="AR121">
        <v>15</v>
      </c>
      <c r="AS121">
        <v>0</v>
      </c>
      <c r="AT121">
        <v>16</v>
      </c>
      <c r="AU121">
        <v>0</v>
      </c>
      <c r="AV121" s="5">
        <v>73</v>
      </c>
      <c r="AW121" t="s">
        <v>56</v>
      </c>
      <c r="AX121" s="6">
        <v>875</v>
      </c>
      <c r="AY121" t="s">
        <v>362</v>
      </c>
      <c r="AZ121" t="s">
        <v>56</v>
      </c>
    </row>
    <row r="122" spans="1:52" hidden="1" x14ac:dyDescent="0.45">
      <c r="A122">
        <v>505662.20578957599</v>
      </c>
      <c r="B122">
        <v>6940013.4092279198</v>
      </c>
      <c r="C122">
        <v>121</v>
      </c>
      <c r="D122" t="s">
        <v>364</v>
      </c>
      <c r="E122" t="s">
        <v>321</v>
      </c>
      <c r="F122" t="s">
        <v>365</v>
      </c>
      <c r="G122" t="s">
        <v>362</v>
      </c>
      <c r="H122" s="3">
        <v>1285</v>
      </c>
      <c r="I122">
        <v>2</v>
      </c>
      <c r="J122" t="s">
        <v>56</v>
      </c>
      <c r="K122">
        <v>35.799999999999997</v>
      </c>
      <c r="L122">
        <v>41.4</v>
      </c>
      <c r="M122">
        <v>1</v>
      </c>
      <c r="N122" t="s">
        <v>56</v>
      </c>
      <c r="O122" t="s">
        <v>362</v>
      </c>
      <c r="P122">
        <v>90.4</v>
      </c>
      <c r="Q122">
        <v>0.8</v>
      </c>
      <c r="R122">
        <v>8</v>
      </c>
      <c r="S122">
        <v>0.5</v>
      </c>
      <c r="T122">
        <v>0.1</v>
      </c>
      <c r="U122">
        <v>0</v>
      </c>
      <c r="V122">
        <v>0.1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0.1</v>
      </c>
      <c r="AC122" t="s">
        <v>362</v>
      </c>
      <c r="AD122">
        <v>50</v>
      </c>
      <c r="AE122" t="s">
        <v>362</v>
      </c>
      <c r="AF122" s="4" t="s">
        <v>80</v>
      </c>
      <c r="AG122" s="4">
        <v>631</v>
      </c>
      <c r="AH122" s="4" t="s">
        <v>81</v>
      </c>
      <c r="AI122" s="4">
        <v>654</v>
      </c>
      <c r="AJ122" t="s">
        <v>362</v>
      </c>
      <c r="AK122" t="s">
        <v>56</v>
      </c>
      <c r="AL122" t="s">
        <v>365</v>
      </c>
      <c r="AM122">
        <v>8</v>
      </c>
      <c r="AN122">
        <v>0</v>
      </c>
      <c r="AO122">
        <v>9</v>
      </c>
      <c r="AP122">
        <v>0</v>
      </c>
      <c r="AQ122" s="5">
        <v>70</v>
      </c>
      <c r="AR122">
        <v>17</v>
      </c>
      <c r="AS122">
        <v>0</v>
      </c>
      <c r="AT122">
        <v>18</v>
      </c>
      <c r="AU122">
        <v>0</v>
      </c>
      <c r="AV122" s="5">
        <v>122</v>
      </c>
      <c r="AW122" t="s">
        <v>56</v>
      </c>
      <c r="AX122" s="6">
        <v>1306</v>
      </c>
      <c r="AY122" t="s">
        <v>362</v>
      </c>
      <c r="AZ122" t="s">
        <v>56</v>
      </c>
    </row>
    <row r="123" spans="1:52" hidden="1" x14ac:dyDescent="0.45">
      <c r="A123">
        <v>516083.86174759601</v>
      </c>
      <c r="B123">
        <v>6942285.1859152997</v>
      </c>
      <c r="C123">
        <v>122</v>
      </c>
      <c r="D123" t="s">
        <v>366</v>
      </c>
      <c r="E123" t="s">
        <v>86</v>
      </c>
      <c r="F123" t="s">
        <v>367</v>
      </c>
      <c r="G123" t="s">
        <v>362</v>
      </c>
      <c r="H123" s="3">
        <v>547</v>
      </c>
      <c r="I123">
        <v>2</v>
      </c>
      <c r="J123" t="s">
        <v>56</v>
      </c>
      <c r="K123">
        <v>52.1</v>
      </c>
      <c r="L123">
        <v>60.8</v>
      </c>
      <c r="M123">
        <v>1</v>
      </c>
      <c r="N123" t="s">
        <v>56</v>
      </c>
      <c r="O123" t="s">
        <v>362</v>
      </c>
      <c r="P123">
        <v>81.599999999999994</v>
      </c>
      <c r="Q123">
        <v>1.2</v>
      </c>
      <c r="R123">
        <v>16.899999999999999</v>
      </c>
      <c r="S123">
        <v>0.1</v>
      </c>
      <c r="T123">
        <v>0</v>
      </c>
      <c r="U123">
        <v>0</v>
      </c>
      <c r="V123">
        <v>0.1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0.1</v>
      </c>
      <c r="AC123" t="s">
        <v>362</v>
      </c>
      <c r="AD123">
        <v>50</v>
      </c>
      <c r="AE123" t="s">
        <v>362</v>
      </c>
      <c r="AF123" s="4" t="s">
        <v>80</v>
      </c>
      <c r="AG123" s="4">
        <v>281</v>
      </c>
      <c r="AH123" s="4" t="s">
        <v>81</v>
      </c>
      <c r="AI123" s="4">
        <v>266</v>
      </c>
      <c r="AJ123" t="s">
        <v>362</v>
      </c>
      <c r="AK123" t="s">
        <v>56</v>
      </c>
      <c r="AL123" t="s">
        <v>367</v>
      </c>
      <c r="AM123">
        <v>7</v>
      </c>
      <c r="AN123">
        <v>0</v>
      </c>
      <c r="AO123">
        <v>8</v>
      </c>
      <c r="AP123">
        <v>0</v>
      </c>
      <c r="AQ123" s="5">
        <v>50</v>
      </c>
      <c r="AR123">
        <v>15</v>
      </c>
      <c r="AS123">
        <v>0</v>
      </c>
      <c r="AT123">
        <v>16</v>
      </c>
      <c r="AU123">
        <v>0</v>
      </c>
      <c r="AV123" s="5">
        <v>112</v>
      </c>
      <c r="AW123" t="s">
        <v>56</v>
      </c>
      <c r="AX123" s="6">
        <v>589</v>
      </c>
      <c r="AY123" t="s">
        <v>362</v>
      </c>
      <c r="AZ123" t="s">
        <v>56</v>
      </c>
    </row>
    <row r="124" spans="1:52" hidden="1" x14ac:dyDescent="0.45">
      <c r="A124">
        <v>515535.465006568</v>
      </c>
      <c r="B124">
        <v>6935310.6903544897</v>
      </c>
      <c r="C124">
        <v>123</v>
      </c>
      <c r="D124" t="s">
        <v>368</v>
      </c>
      <c r="E124" t="s">
        <v>369</v>
      </c>
      <c r="F124" t="s">
        <v>370</v>
      </c>
      <c r="G124" t="s">
        <v>371</v>
      </c>
      <c r="H124" s="3">
        <v>380</v>
      </c>
      <c r="I124">
        <v>2</v>
      </c>
      <c r="J124" t="s">
        <v>56</v>
      </c>
      <c r="K124">
        <v>36.700000000000003</v>
      </c>
      <c r="L124">
        <v>43.6</v>
      </c>
      <c r="M124">
        <v>1</v>
      </c>
      <c r="N124" t="s">
        <v>56</v>
      </c>
      <c r="O124" t="s">
        <v>371</v>
      </c>
      <c r="P124">
        <v>86.8</v>
      </c>
      <c r="Q124">
        <v>1.5</v>
      </c>
      <c r="R124">
        <v>10</v>
      </c>
      <c r="S124">
        <v>1.4</v>
      </c>
      <c r="T124">
        <v>0</v>
      </c>
      <c r="U124">
        <v>0</v>
      </c>
      <c r="V124">
        <v>0.1</v>
      </c>
      <c r="W124">
        <v>0</v>
      </c>
      <c r="X124">
        <v>0.1</v>
      </c>
      <c r="Y124">
        <v>0</v>
      </c>
      <c r="Z124">
        <v>0</v>
      </c>
      <c r="AA124">
        <v>0</v>
      </c>
      <c r="AB124">
        <v>0.1</v>
      </c>
      <c r="AC124" t="s">
        <v>371</v>
      </c>
      <c r="AD124">
        <v>50</v>
      </c>
      <c r="AE124" t="s">
        <v>371</v>
      </c>
      <c r="AF124" s="4" t="s">
        <v>80</v>
      </c>
      <c r="AG124" s="4">
        <v>191</v>
      </c>
      <c r="AH124" s="4" t="s">
        <v>81</v>
      </c>
      <c r="AI124" s="4">
        <v>189</v>
      </c>
      <c r="AJ124" t="s">
        <v>371</v>
      </c>
      <c r="AK124" t="s">
        <v>56</v>
      </c>
      <c r="AL124" t="s">
        <v>372</v>
      </c>
      <c r="AM124">
        <v>11</v>
      </c>
      <c r="AN124">
        <v>0</v>
      </c>
      <c r="AO124">
        <v>12</v>
      </c>
      <c r="AP124">
        <v>0</v>
      </c>
      <c r="AQ124" s="5">
        <v>37</v>
      </c>
      <c r="AR124">
        <v>16</v>
      </c>
      <c r="AS124">
        <v>0</v>
      </c>
      <c r="AT124">
        <v>17</v>
      </c>
      <c r="AU124">
        <v>0</v>
      </c>
      <c r="AV124" s="5">
        <v>45</v>
      </c>
      <c r="AW124" t="s">
        <v>56</v>
      </c>
      <c r="AX124" s="6">
        <v>378</v>
      </c>
      <c r="AY124" t="s">
        <v>371</v>
      </c>
      <c r="AZ124" t="s">
        <v>56</v>
      </c>
    </row>
    <row r="125" spans="1:52" hidden="1" x14ac:dyDescent="0.45">
      <c r="A125">
        <v>510246.05414684798</v>
      </c>
      <c r="B125">
        <v>6940613.88778935</v>
      </c>
      <c r="C125">
        <v>124</v>
      </c>
      <c r="D125" t="s">
        <v>373</v>
      </c>
      <c r="E125" t="s">
        <v>140</v>
      </c>
      <c r="F125" t="s">
        <v>374</v>
      </c>
      <c r="G125" t="s">
        <v>371</v>
      </c>
      <c r="H125" s="3">
        <v>992</v>
      </c>
      <c r="I125">
        <v>2</v>
      </c>
      <c r="J125" t="s">
        <v>56</v>
      </c>
      <c r="K125">
        <v>47.9</v>
      </c>
      <c r="L125">
        <v>56.9</v>
      </c>
      <c r="M125">
        <v>1</v>
      </c>
      <c r="N125" t="s">
        <v>56</v>
      </c>
      <c r="O125" t="s">
        <v>371</v>
      </c>
      <c r="P125">
        <v>88.6</v>
      </c>
      <c r="Q125">
        <v>1.1000000000000001</v>
      </c>
      <c r="R125">
        <v>9.6999999999999993</v>
      </c>
      <c r="S125">
        <v>0.3</v>
      </c>
      <c r="T125">
        <v>0</v>
      </c>
      <c r="U125">
        <v>0</v>
      </c>
      <c r="V125">
        <v>0.2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0.1</v>
      </c>
      <c r="AC125" t="s">
        <v>371</v>
      </c>
      <c r="AD125">
        <v>50</v>
      </c>
      <c r="AE125" t="s">
        <v>371</v>
      </c>
      <c r="AF125" s="4" t="s">
        <v>57</v>
      </c>
      <c r="AG125" s="4">
        <v>457</v>
      </c>
      <c r="AH125" s="4" t="s">
        <v>58</v>
      </c>
      <c r="AI125" s="4">
        <v>535</v>
      </c>
      <c r="AJ125" t="s">
        <v>371</v>
      </c>
      <c r="AK125" t="s">
        <v>56</v>
      </c>
      <c r="AL125" t="s">
        <v>375</v>
      </c>
      <c r="AM125">
        <v>8</v>
      </c>
      <c r="AN125">
        <v>0</v>
      </c>
      <c r="AO125">
        <v>9</v>
      </c>
      <c r="AP125">
        <v>0</v>
      </c>
      <c r="AQ125" s="5">
        <v>207</v>
      </c>
      <c r="AR125">
        <v>15</v>
      </c>
      <c r="AS125">
        <v>0</v>
      </c>
      <c r="AT125">
        <v>16</v>
      </c>
      <c r="AU125">
        <v>0</v>
      </c>
      <c r="AV125" s="5">
        <v>162</v>
      </c>
      <c r="AW125" t="s">
        <v>56</v>
      </c>
      <c r="AX125" s="6">
        <v>1115</v>
      </c>
      <c r="AY125" t="s">
        <v>371</v>
      </c>
      <c r="AZ125" t="s">
        <v>56</v>
      </c>
    </row>
    <row r="126" spans="1:52" hidden="1" x14ac:dyDescent="0.45">
      <c r="A126">
        <v>503916.30197033501</v>
      </c>
      <c r="B126">
        <v>6930746.4886186598</v>
      </c>
      <c r="C126">
        <v>125</v>
      </c>
      <c r="D126" t="s">
        <v>376</v>
      </c>
      <c r="F126" t="s">
        <v>377</v>
      </c>
      <c r="G126" t="s">
        <v>378</v>
      </c>
      <c r="H126" s="3">
        <v>115</v>
      </c>
      <c r="I126">
        <v>2</v>
      </c>
      <c r="J126" t="s">
        <v>56</v>
      </c>
      <c r="K126">
        <v>54.4</v>
      </c>
      <c r="L126">
        <v>64.8</v>
      </c>
      <c r="M126">
        <v>1</v>
      </c>
      <c r="N126" t="s">
        <v>56</v>
      </c>
      <c r="O126" t="s">
        <v>378</v>
      </c>
      <c r="P126">
        <v>80.400000000000006</v>
      </c>
      <c r="Q126">
        <v>1.1000000000000001</v>
      </c>
      <c r="R126">
        <v>16.100000000000001</v>
      </c>
      <c r="S126">
        <v>1.4</v>
      </c>
      <c r="T126">
        <v>0</v>
      </c>
      <c r="U126">
        <v>0</v>
      </c>
      <c r="V126">
        <v>0.5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0.5</v>
      </c>
      <c r="AC126" t="s">
        <v>378</v>
      </c>
      <c r="AD126">
        <v>50</v>
      </c>
      <c r="AE126" t="s">
        <v>378</v>
      </c>
      <c r="AF126" s="4" t="s">
        <v>57</v>
      </c>
      <c r="AG126" s="4">
        <v>58</v>
      </c>
      <c r="AH126" s="4" t="s">
        <v>58</v>
      </c>
      <c r="AI126" s="4">
        <v>57</v>
      </c>
      <c r="AJ126" t="s">
        <v>378</v>
      </c>
      <c r="AK126" t="s">
        <v>56</v>
      </c>
      <c r="AL126" t="s">
        <v>377</v>
      </c>
      <c r="AM126">
        <v>8</v>
      </c>
      <c r="AN126">
        <v>0</v>
      </c>
      <c r="AO126">
        <v>9</v>
      </c>
      <c r="AP126">
        <v>0</v>
      </c>
      <c r="AQ126" s="5">
        <v>9</v>
      </c>
      <c r="AR126">
        <v>18</v>
      </c>
      <c r="AS126">
        <v>0</v>
      </c>
      <c r="AT126">
        <v>19</v>
      </c>
      <c r="AU126">
        <v>0</v>
      </c>
      <c r="AV126" s="5">
        <v>15</v>
      </c>
      <c r="AW126" t="s">
        <v>56</v>
      </c>
      <c r="AX126" s="6">
        <v>116</v>
      </c>
      <c r="AY126" t="s">
        <v>378</v>
      </c>
      <c r="AZ126" t="s">
        <v>56</v>
      </c>
    </row>
    <row r="127" spans="1:52" hidden="1" x14ac:dyDescent="0.45">
      <c r="A127">
        <v>506757.38440810202</v>
      </c>
      <c r="B127">
        <v>6928210.9011335503</v>
      </c>
      <c r="C127">
        <v>126</v>
      </c>
      <c r="D127" t="s">
        <v>379</v>
      </c>
      <c r="F127" t="s">
        <v>380</v>
      </c>
      <c r="G127" t="s">
        <v>378</v>
      </c>
      <c r="H127" s="3">
        <v>96</v>
      </c>
      <c r="I127">
        <v>2</v>
      </c>
      <c r="J127" t="s">
        <v>56</v>
      </c>
      <c r="K127">
        <v>68.5</v>
      </c>
      <c r="L127">
        <v>84.6</v>
      </c>
      <c r="M127">
        <v>1</v>
      </c>
      <c r="N127" t="s">
        <v>56</v>
      </c>
      <c r="O127" t="s">
        <v>378</v>
      </c>
      <c r="P127">
        <v>72.8</v>
      </c>
      <c r="Q127">
        <v>2</v>
      </c>
      <c r="R127">
        <v>19.5</v>
      </c>
      <c r="S127">
        <v>1.1000000000000001</v>
      </c>
      <c r="T127">
        <v>0</v>
      </c>
      <c r="U127">
        <v>0</v>
      </c>
      <c r="V127">
        <v>4.3</v>
      </c>
      <c r="W127">
        <v>0</v>
      </c>
      <c r="X127">
        <v>0.2</v>
      </c>
      <c r="Y127">
        <v>0</v>
      </c>
      <c r="Z127">
        <v>0</v>
      </c>
      <c r="AA127">
        <v>0</v>
      </c>
      <c r="AB127">
        <v>0.1</v>
      </c>
      <c r="AC127" t="s">
        <v>378</v>
      </c>
      <c r="AD127">
        <v>80</v>
      </c>
      <c r="AE127" t="s">
        <v>378</v>
      </c>
      <c r="AF127" s="4" t="s">
        <v>57</v>
      </c>
      <c r="AG127" s="4">
        <v>48</v>
      </c>
      <c r="AH127" s="4" t="s">
        <v>58</v>
      </c>
      <c r="AI127" s="4">
        <v>48</v>
      </c>
      <c r="AJ127" t="s">
        <v>378</v>
      </c>
      <c r="AK127" t="s">
        <v>56</v>
      </c>
      <c r="AL127" t="s">
        <v>380</v>
      </c>
      <c r="AM127">
        <v>11</v>
      </c>
      <c r="AN127">
        <v>0</v>
      </c>
      <c r="AO127">
        <v>12</v>
      </c>
      <c r="AP127">
        <v>0</v>
      </c>
      <c r="AQ127" s="5">
        <v>11</v>
      </c>
      <c r="AR127">
        <v>17</v>
      </c>
      <c r="AS127">
        <v>0</v>
      </c>
      <c r="AT127">
        <v>18</v>
      </c>
      <c r="AU127">
        <v>0</v>
      </c>
      <c r="AV127" s="5">
        <v>11</v>
      </c>
      <c r="AW127" t="s">
        <v>56</v>
      </c>
      <c r="AX127" s="6">
        <v>103</v>
      </c>
      <c r="AY127" t="s">
        <v>378</v>
      </c>
      <c r="AZ127" t="s">
        <v>56</v>
      </c>
    </row>
    <row r="128" spans="1:52" hidden="1" x14ac:dyDescent="0.45">
      <c r="A128">
        <v>506676.90096454503</v>
      </c>
      <c r="B128">
        <v>6926273.3280017097</v>
      </c>
      <c r="C128">
        <v>127</v>
      </c>
      <c r="D128" t="s">
        <v>381</v>
      </c>
      <c r="F128" t="s">
        <v>382</v>
      </c>
      <c r="G128" t="s">
        <v>378</v>
      </c>
      <c r="H128" s="3">
        <v>100</v>
      </c>
      <c r="I128">
        <v>2</v>
      </c>
      <c r="J128" t="s">
        <v>56</v>
      </c>
      <c r="K128">
        <v>47</v>
      </c>
      <c r="L128">
        <v>63.7</v>
      </c>
      <c r="M128">
        <v>1</v>
      </c>
      <c r="N128" t="s">
        <v>56</v>
      </c>
      <c r="O128" t="s">
        <v>378</v>
      </c>
      <c r="P128">
        <v>78</v>
      </c>
      <c r="Q128">
        <v>1.6</v>
      </c>
      <c r="R128">
        <v>14.4</v>
      </c>
      <c r="S128">
        <v>3.6</v>
      </c>
      <c r="T128">
        <v>0.3</v>
      </c>
      <c r="U128">
        <v>0</v>
      </c>
      <c r="V128">
        <v>0.4</v>
      </c>
      <c r="W128">
        <v>0</v>
      </c>
      <c r="X128">
        <v>1.2</v>
      </c>
      <c r="Y128">
        <v>0.3</v>
      </c>
      <c r="Z128">
        <v>0</v>
      </c>
      <c r="AA128">
        <v>0</v>
      </c>
      <c r="AB128">
        <v>0.2</v>
      </c>
      <c r="AC128" t="s">
        <v>378</v>
      </c>
      <c r="AD128">
        <v>60</v>
      </c>
      <c r="AE128" t="s">
        <v>378</v>
      </c>
      <c r="AF128" s="4" t="s">
        <v>80</v>
      </c>
      <c r="AG128" s="4">
        <v>50</v>
      </c>
      <c r="AH128" s="4" t="s">
        <v>81</v>
      </c>
      <c r="AI128" s="4">
        <v>50</v>
      </c>
      <c r="AJ128" t="s">
        <v>378</v>
      </c>
      <c r="AK128" t="s">
        <v>56</v>
      </c>
      <c r="AL128" t="s">
        <v>382</v>
      </c>
      <c r="AM128">
        <v>7</v>
      </c>
      <c r="AN128">
        <v>0</v>
      </c>
      <c r="AO128">
        <v>8</v>
      </c>
      <c r="AP128">
        <v>0</v>
      </c>
      <c r="AQ128" s="5">
        <v>14</v>
      </c>
      <c r="AR128">
        <v>16</v>
      </c>
      <c r="AS128">
        <v>0</v>
      </c>
      <c r="AT128">
        <v>17</v>
      </c>
      <c r="AU128">
        <v>0</v>
      </c>
      <c r="AV128" s="5">
        <v>11</v>
      </c>
      <c r="AW128" t="s">
        <v>56</v>
      </c>
      <c r="AX128" s="6">
        <v>98</v>
      </c>
      <c r="AY128" t="s">
        <v>378</v>
      </c>
      <c r="AZ128" t="s">
        <v>56</v>
      </c>
    </row>
    <row r="129" spans="1:52" hidden="1" x14ac:dyDescent="0.45">
      <c r="A129">
        <v>503043.95588467101</v>
      </c>
      <c r="B129">
        <v>6924568.0136922002</v>
      </c>
      <c r="C129">
        <v>128</v>
      </c>
      <c r="D129" t="s">
        <v>383</v>
      </c>
      <c r="F129" t="s">
        <v>384</v>
      </c>
      <c r="G129" t="s">
        <v>378</v>
      </c>
      <c r="H129" s="3">
        <v>180</v>
      </c>
      <c r="I129">
        <v>2</v>
      </c>
      <c r="J129" t="s">
        <v>56</v>
      </c>
      <c r="K129">
        <v>57.3</v>
      </c>
      <c r="L129">
        <v>70.599999999999994</v>
      </c>
      <c r="M129">
        <v>1</v>
      </c>
      <c r="N129" t="s">
        <v>56</v>
      </c>
      <c r="O129" t="s">
        <v>378</v>
      </c>
      <c r="P129">
        <v>68.2</v>
      </c>
      <c r="Q129">
        <v>2.8</v>
      </c>
      <c r="R129">
        <v>26</v>
      </c>
      <c r="S129">
        <v>1</v>
      </c>
      <c r="T129">
        <v>0</v>
      </c>
      <c r="U129">
        <v>0.1</v>
      </c>
      <c r="V129">
        <v>1.7</v>
      </c>
      <c r="W129">
        <v>0</v>
      </c>
      <c r="X129">
        <v>0.1</v>
      </c>
      <c r="Y129">
        <v>0</v>
      </c>
      <c r="Z129">
        <v>0.1</v>
      </c>
      <c r="AA129">
        <v>0</v>
      </c>
      <c r="AB129">
        <v>0</v>
      </c>
      <c r="AC129" t="s">
        <v>378</v>
      </c>
      <c r="AD129">
        <v>60</v>
      </c>
      <c r="AE129" t="s">
        <v>378</v>
      </c>
      <c r="AF129" s="4" t="s">
        <v>57</v>
      </c>
      <c r="AG129" s="4">
        <v>89</v>
      </c>
      <c r="AH129" s="4" t="s">
        <v>58</v>
      </c>
      <c r="AI129" s="4">
        <v>91</v>
      </c>
      <c r="AJ129" t="s">
        <v>378</v>
      </c>
      <c r="AK129" t="s">
        <v>56</v>
      </c>
      <c r="AL129" t="s">
        <v>384</v>
      </c>
      <c r="AM129">
        <v>11</v>
      </c>
      <c r="AN129">
        <v>0</v>
      </c>
      <c r="AO129">
        <v>12</v>
      </c>
      <c r="AP129">
        <v>0</v>
      </c>
      <c r="AQ129" s="5">
        <v>21</v>
      </c>
      <c r="AR129">
        <v>14</v>
      </c>
      <c r="AS129">
        <v>0</v>
      </c>
      <c r="AT129">
        <v>15</v>
      </c>
      <c r="AU129">
        <v>0</v>
      </c>
      <c r="AV129" s="5">
        <v>20</v>
      </c>
      <c r="AW129" t="s">
        <v>56</v>
      </c>
      <c r="AX129" s="6">
        <v>190</v>
      </c>
      <c r="AY129" t="s">
        <v>378</v>
      </c>
      <c r="AZ129" t="s">
        <v>56</v>
      </c>
    </row>
    <row r="130" spans="1:52" hidden="1" x14ac:dyDescent="0.45">
      <c r="A130">
        <v>498815.616552083</v>
      </c>
      <c r="B130">
        <v>6919700.2275839299</v>
      </c>
      <c r="C130">
        <v>129</v>
      </c>
      <c r="D130" t="s">
        <v>385</v>
      </c>
      <c r="F130" t="s">
        <v>386</v>
      </c>
      <c r="G130" t="s">
        <v>378</v>
      </c>
      <c r="H130" s="3">
        <v>106</v>
      </c>
      <c r="I130">
        <v>2</v>
      </c>
      <c r="J130" t="s">
        <v>56</v>
      </c>
      <c r="K130">
        <v>53.1</v>
      </c>
      <c r="L130">
        <v>65.2</v>
      </c>
      <c r="M130">
        <v>1</v>
      </c>
      <c r="N130" t="s">
        <v>56</v>
      </c>
      <c r="O130" t="s">
        <v>378</v>
      </c>
      <c r="P130">
        <v>70.900000000000006</v>
      </c>
      <c r="Q130">
        <v>0.8</v>
      </c>
      <c r="R130">
        <v>21.7</v>
      </c>
      <c r="S130">
        <v>2.2000000000000002</v>
      </c>
      <c r="T130">
        <v>0.2</v>
      </c>
      <c r="U130">
        <v>0</v>
      </c>
      <c r="V130">
        <v>2.7</v>
      </c>
      <c r="W130">
        <v>0.8</v>
      </c>
      <c r="X130">
        <v>0.3</v>
      </c>
      <c r="Y130">
        <v>0</v>
      </c>
      <c r="Z130">
        <v>0</v>
      </c>
      <c r="AA130">
        <v>0</v>
      </c>
      <c r="AB130">
        <v>0.4</v>
      </c>
      <c r="AC130" t="s">
        <v>378</v>
      </c>
      <c r="AD130">
        <v>50</v>
      </c>
      <c r="AE130" t="s">
        <v>378</v>
      </c>
      <c r="AF130" s="4" t="s">
        <v>80</v>
      </c>
      <c r="AG130" s="4">
        <v>53</v>
      </c>
      <c r="AH130" s="4" t="s">
        <v>81</v>
      </c>
      <c r="AI130" s="4">
        <v>53</v>
      </c>
      <c r="AJ130" t="s">
        <v>378</v>
      </c>
      <c r="AK130" t="s">
        <v>56</v>
      </c>
      <c r="AL130" t="s">
        <v>386</v>
      </c>
      <c r="AM130">
        <v>10</v>
      </c>
      <c r="AN130">
        <v>0</v>
      </c>
      <c r="AO130">
        <v>11</v>
      </c>
      <c r="AP130">
        <v>0</v>
      </c>
      <c r="AQ130" s="5">
        <v>13</v>
      </c>
      <c r="AR130">
        <v>16</v>
      </c>
      <c r="AS130">
        <v>0</v>
      </c>
      <c r="AT130">
        <v>17</v>
      </c>
      <c r="AU130">
        <v>0</v>
      </c>
      <c r="AV130" s="5">
        <v>10</v>
      </c>
      <c r="AW130" t="s">
        <v>56</v>
      </c>
      <c r="AX130" s="6">
        <v>107</v>
      </c>
      <c r="AY130" t="s">
        <v>378</v>
      </c>
      <c r="AZ130" t="s">
        <v>56</v>
      </c>
    </row>
    <row r="131" spans="1:52" hidden="1" x14ac:dyDescent="0.45">
      <c r="A131">
        <v>502669.602327006</v>
      </c>
      <c r="B131">
        <v>6913644.5780291101</v>
      </c>
      <c r="C131">
        <v>130</v>
      </c>
      <c r="D131" t="s">
        <v>387</v>
      </c>
      <c r="F131" t="s">
        <v>388</v>
      </c>
      <c r="G131" t="s">
        <v>378</v>
      </c>
      <c r="H131" s="3">
        <v>134</v>
      </c>
      <c r="I131">
        <v>2</v>
      </c>
      <c r="J131" t="s">
        <v>56</v>
      </c>
      <c r="K131">
        <v>58.5</v>
      </c>
      <c r="L131">
        <v>69.8</v>
      </c>
      <c r="M131">
        <v>1</v>
      </c>
      <c r="N131" t="s">
        <v>56</v>
      </c>
      <c r="O131" t="s">
        <v>378</v>
      </c>
      <c r="P131">
        <v>73.599999999999994</v>
      </c>
      <c r="Q131">
        <v>0.8</v>
      </c>
      <c r="R131">
        <v>23.8</v>
      </c>
      <c r="S131">
        <v>0.8</v>
      </c>
      <c r="T131">
        <v>0.1</v>
      </c>
      <c r="U131">
        <v>0</v>
      </c>
      <c r="V131">
        <v>0.3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0.6</v>
      </c>
      <c r="AC131" t="s">
        <v>378</v>
      </c>
      <c r="AD131">
        <v>60</v>
      </c>
      <c r="AE131" t="s">
        <v>378</v>
      </c>
      <c r="AF131" s="4" t="s">
        <v>57</v>
      </c>
      <c r="AG131" s="4">
        <v>65</v>
      </c>
      <c r="AH131" s="4" t="s">
        <v>58</v>
      </c>
      <c r="AI131" s="4">
        <v>69</v>
      </c>
      <c r="AJ131" t="s">
        <v>378</v>
      </c>
      <c r="AK131" t="s">
        <v>56</v>
      </c>
      <c r="AL131" t="s">
        <v>389</v>
      </c>
      <c r="AM131">
        <v>10</v>
      </c>
      <c r="AN131">
        <v>0</v>
      </c>
      <c r="AO131">
        <v>11</v>
      </c>
      <c r="AP131">
        <v>0</v>
      </c>
      <c r="AQ131" s="5">
        <v>19</v>
      </c>
      <c r="AR131">
        <v>12</v>
      </c>
      <c r="AS131">
        <v>0</v>
      </c>
      <c r="AT131">
        <v>13</v>
      </c>
      <c r="AU131">
        <v>0</v>
      </c>
      <c r="AV131" s="5">
        <v>16</v>
      </c>
      <c r="AW131" t="s">
        <v>56</v>
      </c>
      <c r="AX131" s="6">
        <v>143</v>
      </c>
      <c r="AY131" t="s">
        <v>378</v>
      </c>
      <c r="AZ131" t="s">
        <v>56</v>
      </c>
    </row>
    <row r="132" spans="1:52" hidden="1" x14ac:dyDescent="0.45">
      <c r="A132">
        <v>522434.706258627</v>
      </c>
      <c r="B132">
        <v>6937249.7028103797</v>
      </c>
      <c r="C132">
        <v>131</v>
      </c>
      <c r="D132" t="s">
        <v>390</v>
      </c>
      <c r="F132" t="s">
        <v>391</v>
      </c>
      <c r="G132" t="s">
        <v>378</v>
      </c>
      <c r="H132" s="3">
        <v>142</v>
      </c>
      <c r="I132">
        <v>2</v>
      </c>
      <c r="J132" t="s">
        <v>56</v>
      </c>
      <c r="K132">
        <v>48.2</v>
      </c>
      <c r="L132">
        <v>58.3</v>
      </c>
      <c r="M132">
        <v>1</v>
      </c>
      <c r="N132" t="s">
        <v>56</v>
      </c>
      <c r="O132" t="s">
        <v>378</v>
      </c>
      <c r="P132">
        <v>80.7</v>
      </c>
      <c r="Q132">
        <v>1.3</v>
      </c>
      <c r="R132">
        <v>15</v>
      </c>
      <c r="S132">
        <v>2</v>
      </c>
      <c r="T132">
        <v>0</v>
      </c>
      <c r="U132">
        <v>0</v>
      </c>
      <c r="V132">
        <v>0.8</v>
      </c>
      <c r="W132">
        <v>0.1</v>
      </c>
      <c r="X132">
        <v>0</v>
      </c>
      <c r="Y132">
        <v>0</v>
      </c>
      <c r="Z132">
        <v>0</v>
      </c>
      <c r="AA132">
        <v>0</v>
      </c>
      <c r="AB132">
        <v>0.1</v>
      </c>
      <c r="AC132" t="s">
        <v>378</v>
      </c>
      <c r="AD132">
        <v>60</v>
      </c>
      <c r="AE132" t="s">
        <v>378</v>
      </c>
      <c r="AF132" s="4" t="s">
        <v>80</v>
      </c>
      <c r="AG132" s="4">
        <v>70</v>
      </c>
      <c r="AH132" s="4" t="s">
        <v>81</v>
      </c>
      <c r="AI132" s="4">
        <v>72</v>
      </c>
      <c r="AJ132" t="s">
        <v>378</v>
      </c>
      <c r="AK132" t="s">
        <v>56</v>
      </c>
      <c r="AL132" t="s">
        <v>391</v>
      </c>
      <c r="AM132">
        <v>8</v>
      </c>
      <c r="AN132">
        <v>0</v>
      </c>
      <c r="AO132">
        <v>9</v>
      </c>
      <c r="AP132">
        <v>0</v>
      </c>
      <c r="AQ132" s="5">
        <v>17</v>
      </c>
      <c r="AR132">
        <v>16</v>
      </c>
      <c r="AS132">
        <v>0</v>
      </c>
      <c r="AT132">
        <v>17</v>
      </c>
      <c r="AU132">
        <v>0</v>
      </c>
      <c r="AV132" s="5">
        <v>23</v>
      </c>
      <c r="AW132" t="s">
        <v>56</v>
      </c>
      <c r="AX132" s="6">
        <v>149</v>
      </c>
      <c r="AY132" t="s">
        <v>378</v>
      </c>
      <c r="AZ132" t="s">
        <v>56</v>
      </c>
    </row>
    <row r="133" spans="1:52" hidden="1" x14ac:dyDescent="0.45">
      <c r="A133">
        <v>519933.37253476202</v>
      </c>
      <c r="B133">
        <v>6935902.3235627199</v>
      </c>
      <c r="C133">
        <v>132</v>
      </c>
      <c r="D133" t="s">
        <v>392</v>
      </c>
      <c r="F133" t="s">
        <v>393</v>
      </c>
      <c r="G133" t="s">
        <v>394</v>
      </c>
      <c r="H133" s="3">
        <v>7761</v>
      </c>
      <c r="I133">
        <v>2</v>
      </c>
      <c r="J133" t="s">
        <v>56</v>
      </c>
      <c r="K133">
        <v>57.5</v>
      </c>
      <c r="L133">
        <v>62.6</v>
      </c>
      <c r="M133">
        <v>1</v>
      </c>
      <c r="N133" t="s">
        <v>56</v>
      </c>
      <c r="O133" t="s">
        <v>394</v>
      </c>
      <c r="P133">
        <v>85.3</v>
      </c>
      <c r="Q133">
        <v>1</v>
      </c>
      <c r="R133">
        <v>12.4</v>
      </c>
      <c r="S133">
        <v>0.4</v>
      </c>
      <c r="T133">
        <v>0.1</v>
      </c>
      <c r="U133">
        <v>0</v>
      </c>
      <c r="V133">
        <v>0.4</v>
      </c>
      <c r="W133">
        <v>0</v>
      </c>
      <c r="X133">
        <v>0.1</v>
      </c>
      <c r="Y133">
        <v>0</v>
      </c>
      <c r="Z133">
        <v>0</v>
      </c>
      <c r="AA133">
        <v>0</v>
      </c>
      <c r="AB133">
        <v>0.3</v>
      </c>
      <c r="AC133" t="s">
        <v>394</v>
      </c>
      <c r="AD133">
        <v>60</v>
      </c>
      <c r="AE133" t="s">
        <v>394</v>
      </c>
      <c r="AF133" s="4" t="s">
        <v>57</v>
      </c>
      <c r="AG133" s="4">
        <v>4447</v>
      </c>
      <c r="AH133" s="4" t="s">
        <v>58</v>
      </c>
      <c r="AI133" s="4">
        <v>3314</v>
      </c>
      <c r="AJ133" t="s">
        <v>394</v>
      </c>
      <c r="AK133" t="s">
        <v>56</v>
      </c>
      <c r="AL133" t="s">
        <v>393</v>
      </c>
      <c r="AM133">
        <v>8</v>
      </c>
      <c r="AN133">
        <v>0</v>
      </c>
      <c r="AO133">
        <v>9</v>
      </c>
      <c r="AP133">
        <v>0</v>
      </c>
      <c r="AQ133" s="5">
        <v>606</v>
      </c>
      <c r="AR133">
        <v>15</v>
      </c>
      <c r="AS133">
        <v>0</v>
      </c>
      <c r="AT133">
        <v>16</v>
      </c>
      <c r="AU133">
        <v>0</v>
      </c>
      <c r="AV133" s="5">
        <v>708</v>
      </c>
      <c r="AW133" t="s">
        <v>56</v>
      </c>
      <c r="AX133" s="6">
        <v>8188</v>
      </c>
      <c r="AY133" t="s">
        <v>394</v>
      </c>
      <c r="AZ133" t="s">
        <v>56</v>
      </c>
    </row>
    <row r="134" spans="1:52" hidden="1" x14ac:dyDescent="0.45">
      <c r="A134">
        <v>492003.42160100298</v>
      </c>
      <c r="B134">
        <v>6931020.8587076301</v>
      </c>
      <c r="C134">
        <v>133</v>
      </c>
      <c r="D134" t="s">
        <v>395</v>
      </c>
      <c r="F134" t="s">
        <v>396</v>
      </c>
      <c r="G134" t="s">
        <v>378</v>
      </c>
      <c r="H134" s="3">
        <v>108</v>
      </c>
      <c r="I134">
        <v>2</v>
      </c>
      <c r="J134" t="s">
        <v>56</v>
      </c>
      <c r="K134">
        <v>55.3</v>
      </c>
      <c r="L134">
        <v>66.599999999999994</v>
      </c>
      <c r="M134">
        <v>1</v>
      </c>
      <c r="N134" t="s">
        <v>56</v>
      </c>
      <c r="O134" t="s">
        <v>378</v>
      </c>
      <c r="P134">
        <v>65.400000000000006</v>
      </c>
      <c r="Q134">
        <v>1.4</v>
      </c>
      <c r="R134">
        <v>30.1</v>
      </c>
      <c r="S134">
        <v>0.6</v>
      </c>
      <c r="T134">
        <v>0</v>
      </c>
      <c r="U134">
        <v>0</v>
      </c>
      <c r="V134">
        <v>1.3</v>
      </c>
      <c r="W134">
        <v>0</v>
      </c>
      <c r="X134">
        <v>0.3</v>
      </c>
      <c r="Y134">
        <v>0</v>
      </c>
      <c r="Z134">
        <v>0</v>
      </c>
      <c r="AA134">
        <v>0</v>
      </c>
      <c r="AB134">
        <v>0.9</v>
      </c>
      <c r="AC134" t="s">
        <v>378</v>
      </c>
      <c r="AD134">
        <v>60</v>
      </c>
      <c r="AE134" t="s">
        <v>378</v>
      </c>
      <c r="AF134" s="4" t="s">
        <v>57</v>
      </c>
      <c r="AG134" s="4">
        <v>54</v>
      </c>
      <c r="AH134" s="4" t="s">
        <v>58</v>
      </c>
      <c r="AI134" s="4">
        <v>54</v>
      </c>
      <c r="AJ134" t="s">
        <v>378</v>
      </c>
      <c r="AK134" t="s">
        <v>56</v>
      </c>
      <c r="AL134" t="s">
        <v>396</v>
      </c>
      <c r="AM134">
        <v>10</v>
      </c>
      <c r="AN134">
        <v>0</v>
      </c>
      <c r="AO134">
        <v>11</v>
      </c>
      <c r="AP134">
        <v>0</v>
      </c>
      <c r="AQ134" s="5">
        <v>11</v>
      </c>
      <c r="AR134">
        <v>13</v>
      </c>
      <c r="AS134">
        <v>0</v>
      </c>
      <c r="AT134">
        <v>14</v>
      </c>
      <c r="AU134">
        <v>0</v>
      </c>
      <c r="AV134" s="5">
        <v>36</v>
      </c>
      <c r="AW134" t="s">
        <v>56</v>
      </c>
      <c r="AX134" s="6">
        <v>93</v>
      </c>
      <c r="AY134" t="s">
        <v>378</v>
      </c>
      <c r="AZ134" t="s">
        <v>56</v>
      </c>
    </row>
    <row r="135" spans="1:52" hidden="1" x14ac:dyDescent="0.45">
      <c r="A135">
        <v>510894.67752187501</v>
      </c>
      <c r="B135">
        <v>6945719.6868672399</v>
      </c>
      <c r="C135">
        <v>134</v>
      </c>
      <c r="D135" t="s">
        <v>397</v>
      </c>
      <c r="F135" t="s">
        <v>398</v>
      </c>
      <c r="G135" t="s">
        <v>399</v>
      </c>
      <c r="H135" s="3">
        <v>2212</v>
      </c>
      <c r="I135">
        <v>2</v>
      </c>
      <c r="J135" t="s">
        <v>56</v>
      </c>
      <c r="K135">
        <v>33.5</v>
      </c>
      <c r="L135">
        <v>37.799999999999997</v>
      </c>
      <c r="M135">
        <v>1</v>
      </c>
      <c r="N135" t="s">
        <v>56</v>
      </c>
      <c r="O135" t="s">
        <v>399</v>
      </c>
      <c r="P135">
        <v>89.6</v>
      </c>
      <c r="Q135">
        <v>0.4</v>
      </c>
      <c r="R135">
        <v>9.6999999999999993</v>
      </c>
      <c r="S135">
        <v>0.1</v>
      </c>
      <c r="T135">
        <v>0</v>
      </c>
      <c r="U135">
        <v>0</v>
      </c>
      <c r="V135">
        <v>0.1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0.1</v>
      </c>
      <c r="AC135" t="s">
        <v>399</v>
      </c>
      <c r="AD135">
        <v>50</v>
      </c>
      <c r="AE135" t="s">
        <v>399</v>
      </c>
      <c r="AF135" s="4" t="s">
        <v>57</v>
      </c>
      <c r="AG135" s="4">
        <v>1063</v>
      </c>
      <c r="AH135" s="4" t="s">
        <v>58</v>
      </c>
      <c r="AI135" s="4">
        <v>1149</v>
      </c>
      <c r="AJ135" t="s">
        <v>399</v>
      </c>
      <c r="AK135" t="s">
        <v>56</v>
      </c>
      <c r="AL135" t="s">
        <v>398</v>
      </c>
      <c r="AM135">
        <v>8</v>
      </c>
      <c r="AN135">
        <v>0</v>
      </c>
      <c r="AO135">
        <v>9</v>
      </c>
      <c r="AP135">
        <v>0</v>
      </c>
      <c r="AQ135" s="5">
        <v>183</v>
      </c>
      <c r="AR135">
        <v>17</v>
      </c>
      <c r="AS135">
        <v>0</v>
      </c>
      <c r="AT135">
        <v>18</v>
      </c>
      <c r="AU135">
        <v>0</v>
      </c>
      <c r="AV135" s="5">
        <v>211</v>
      </c>
      <c r="AW135" t="s">
        <v>56</v>
      </c>
      <c r="AX135" s="6">
        <v>2249</v>
      </c>
      <c r="AY135" t="s">
        <v>399</v>
      </c>
      <c r="AZ135" t="s">
        <v>56</v>
      </c>
    </row>
    <row r="136" spans="1:52" hidden="1" x14ac:dyDescent="0.45">
      <c r="A136">
        <v>512973.32734281197</v>
      </c>
      <c r="B136">
        <v>6943698.6603192901</v>
      </c>
      <c r="C136">
        <v>135</v>
      </c>
      <c r="D136" t="s">
        <v>400</v>
      </c>
      <c r="F136" t="s">
        <v>401</v>
      </c>
      <c r="G136" t="s">
        <v>399</v>
      </c>
      <c r="H136" s="3">
        <v>8722</v>
      </c>
      <c r="I136">
        <v>2</v>
      </c>
      <c r="J136" t="s">
        <v>56</v>
      </c>
      <c r="K136">
        <v>53.1</v>
      </c>
      <c r="L136">
        <v>59.4</v>
      </c>
      <c r="M136">
        <v>1</v>
      </c>
      <c r="N136" t="s">
        <v>56</v>
      </c>
      <c r="O136" t="s">
        <v>399</v>
      </c>
      <c r="P136">
        <v>86.6</v>
      </c>
      <c r="Q136">
        <v>0.5</v>
      </c>
      <c r="R136">
        <v>12</v>
      </c>
      <c r="S136">
        <v>0.4</v>
      </c>
      <c r="T136">
        <v>0.1</v>
      </c>
      <c r="U136">
        <v>0</v>
      </c>
      <c r="V136">
        <v>0.2</v>
      </c>
      <c r="W136">
        <v>0</v>
      </c>
      <c r="X136">
        <v>0.1</v>
      </c>
      <c r="Y136">
        <v>0</v>
      </c>
      <c r="Z136">
        <v>0</v>
      </c>
      <c r="AA136">
        <v>0</v>
      </c>
      <c r="AB136">
        <v>0.1</v>
      </c>
      <c r="AC136" t="s">
        <v>399</v>
      </c>
      <c r="AD136">
        <v>60</v>
      </c>
      <c r="AE136" t="s">
        <v>399</v>
      </c>
      <c r="AF136" s="4" t="s">
        <v>80</v>
      </c>
      <c r="AG136" s="4">
        <v>3473</v>
      </c>
      <c r="AH136" s="4" t="s">
        <v>81</v>
      </c>
      <c r="AI136" s="4">
        <v>5249</v>
      </c>
      <c r="AJ136" t="s">
        <v>399</v>
      </c>
      <c r="AK136" t="s">
        <v>56</v>
      </c>
      <c r="AL136" t="s">
        <v>401</v>
      </c>
      <c r="AM136">
        <v>8</v>
      </c>
      <c r="AN136">
        <v>0</v>
      </c>
      <c r="AO136">
        <v>9</v>
      </c>
      <c r="AP136">
        <v>0</v>
      </c>
      <c r="AQ136" s="5">
        <v>856</v>
      </c>
      <c r="AR136">
        <v>15</v>
      </c>
      <c r="AS136">
        <v>0</v>
      </c>
      <c r="AT136">
        <v>16</v>
      </c>
      <c r="AU136">
        <v>0</v>
      </c>
      <c r="AV136" s="5">
        <v>937</v>
      </c>
      <c r="AW136" t="s">
        <v>56</v>
      </c>
      <c r="AX136" s="6">
        <v>9910</v>
      </c>
      <c r="AY136" t="s">
        <v>399</v>
      </c>
      <c r="AZ136" t="s">
        <v>56</v>
      </c>
    </row>
    <row r="137" spans="1:52" hidden="1" x14ac:dyDescent="0.45">
      <c r="A137">
        <v>510189.28771101101</v>
      </c>
      <c r="B137">
        <v>6942318.0164954001</v>
      </c>
      <c r="C137">
        <v>136</v>
      </c>
      <c r="D137" t="s">
        <v>402</v>
      </c>
      <c r="F137" t="s">
        <v>403</v>
      </c>
      <c r="G137" t="s">
        <v>399</v>
      </c>
      <c r="H137" s="3">
        <v>329</v>
      </c>
      <c r="I137">
        <v>2</v>
      </c>
      <c r="J137" t="s">
        <v>56</v>
      </c>
      <c r="K137">
        <v>22.5</v>
      </c>
      <c r="L137">
        <v>27.7</v>
      </c>
      <c r="M137">
        <v>1</v>
      </c>
      <c r="N137" t="s">
        <v>56</v>
      </c>
      <c r="O137" t="s">
        <v>399</v>
      </c>
      <c r="P137">
        <v>87.4</v>
      </c>
      <c r="Q137">
        <v>0</v>
      </c>
      <c r="R137">
        <v>11.9</v>
      </c>
      <c r="S137">
        <v>0.4</v>
      </c>
      <c r="T137">
        <v>0.2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0.1</v>
      </c>
      <c r="AC137" t="s">
        <v>399</v>
      </c>
      <c r="AD137">
        <v>50</v>
      </c>
      <c r="AE137" t="s">
        <v>399</v>
      </c>
      <c r="AF137" s="4" t="s">
        <v>80</v>
      </c>
      <c r="AG137" s="4">
        <v>152</v>
      </c>
      <c r="AH137" s="4" t="s">
        <v>81</v>
      </c>
      <c r="AI137" s="4">
        <v>177</v>
      </c>
      <c r="AJ137" t="s">
        <v>399</v>
      </c>
      <c r="AK137" t="s">
        <v>56</v>
      </c>
      <c r="AL137" t="s">
        <v>403</v>
      </c>
      <c r="AM137">
        <v>8</v>
      </c>
      <c r="AN137">
        <v>0</v>
      </c>
      <c r="AO137">
        <v>9</v>
      </c>
      <c r="AP137">
        <v>0</v>
      </c>
      <c r="AQ137" s="5">
        <v>66</v>
      </c>
      <c r="AR137">
        <v>16</v>
      </c>
      <c r="AS137">
        <v>0</v>
      </c>
      <c r="AT137">
        <v>17</v>
      </c>
      <c r="AU137">
        <v>0</v>
      </c>
      <c r="AV137" s="5">
        <v>49</v>
      </c>
      <c r="AW137" t="s">
        <v>56</v>
      </c>
      <c r="AX137" s="6">
        <v>422</v>
      </c>
      <c r="AY137" t="s">
        <v>399</v>
      </c>
      <c r="AZ137" t="s">
        <v>56</v>
      </c>
    </row>
    <row r="138" spans="1:52" hidden="1" x14ac:dyDescent="0.45">
      <c r="A138">
        <v>510193.66794950998</v>
      </c>
      <c r="B138">
        <v>6942247.7849158198</v>
      </c>
      <c r="C138">
        <v>137</v>
      </c>
      <c r="D138" t="s">
        <v>404</v>
      </c>
      <c r="F138" t="s">
        <v>405</v>
      </c>
      <c r="G138" t="s">
        <v>399</v>
      </c>
      <c r="H138" s="3">
        <v>691</v>
      </c>
      <c r="I138">
        <v>2</v>
      </c>
      <c r="J138" t="s">
        <v>56</v>
      </c>
      <c r="K138">
        <v>28.8</v>
      </c>
      <c r="L138">
        <v>33.799999999999997</v>
      </c>
      <c r="M138">
        <v>1</v>
      </c>
      <c r="N138" t="s">
        <v>56</v>
      </c>
      <c r="O138" t="s">
        <v>399</v>
      </c>
      <c r="P138">
        <v>83.8</v>
      </c>
      <c r="Q138">
        <v>3.3</v>
      </c>
      <c r="R138">
        <v>8.6</v>
      </c>
      <c r="S138">
        <v>1.8</v>
      </c>
      <c r="T138">
        <v>1.4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1.1000000000000001</v>
      </c>
      <c r="AC138" t="s">
        <v>399</v>
      </c>
      <c r="AD138">
        <v>50</v>
      </c>
      <c r="AE138" t="s">
        <v>399</v>
      </c>
      <c r="AF138" s="4" t="s">
        <v>57</v>
      </c>
      <c r="AG138" s="4">
        <v>348</v>
      </c>
      <c r="AH138" s="4" t="s">
        <v>58</v>
      </c>
      <c r="AI138" s="4">
        <v>343</v>
      </c>
      <c r="AJ138" t="s">
        <v>399</v>
      </c>
      <c r="AK138" t="s">
        <v>56</v>
      </c>
      <c r="AL138" t="s">
        <v>405</v>
      </c>
      <c r="AM138">
        <v>7</v>
      </c>
      <c r="AN138">
        <v>0</v>
      </c>
      <c r="AO138">
        <v>8</v>
      </c>
      <c r="AP138">
        <v>0</v>
      </c>
      <c r="AQ138" s="5">
        <v>166</v>
      </c>
      <c r="AR138">
        <v>17</v>
      </c>
      <c r="AS138">
        <v>0</v>
      </c>
      <c r="AT138">
        <v>18</v>
      </c>
      <c r="AU138">
        <v>0</v>
      </c>
      <c r="AV138" s="5">
        <v>140</v>
      </c>
      <c r="AW138" t="s">
        <v>56</v>
      </c>
      <c r="AX138" s="6">
        <v>831</v>
      </c>
      <c r="AY138" t="s">
        <v>399</v>
      </c>
      <c r="AZ138" t="s">
        <v>56</v>
      </c>
    </row>
    <row r="139" spans="1:52" hidden="1" x14ac:dyDescent="0.45">
      <c r="A139">
        <v>510299.54631045402</v>
      </c>
      <c r="B139">
        <v>6942287.1298280396</v>
      </c>
      <c r="C139">
        <v>138</v>
      </c>
      <c r="D139" t="s">
        <v>404</v>
      </c>
      <c r="F139" t="s">
        <v>406</v>
      </c>
      <c r="G139" t="s">
        <v>399</v>
      </c>
      <c r="H139" s="3">
        <v>1270</v>
      </c>
      <c r="I139">
        <v>2</v>
      </c>
      <c r="J139" t="s">
        <v>56</v>
      </c>
      <c r="K139">
        <v>30.7</v>
      </c>
      <c r="L139">
        <v>36.4</v>
      </c>
      <c r="M139">
        <v>1</v>
      </c>
      <c r="N139" t="s">
        <v>56</v>
      </c>
      <c r="O139" t="s">
        <v>399</v>
      </c>
      <c r="P139">
        <v>87.2</v>
      </c>
      <c r="Q139">
        <v>0.3</v>
      </c>
      <c r="R139">
        <v>10.199999999999999</v>
      </c>
      <c r="S139">
        <v>1.5</v>
      </c>
      <c r="T139">
        <v>0.3</v>
      </c>
      <c r="U139">
        <v>0</v>
      </c>
      <c r="V139">
        <v>0.1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0.4</v>
      </c>
      <c r="AC139" t="s">
        <v>399</v>
      </c>
      <c r="AD139">
        <v>50</v>
      </c>
      <c r="AE139" t="s">
        <v>399</v>
      </c>
      <c r="AF139" s="4" t="s">
        <v>57</v>
      </c>
      <c r="AG139" s="4">
        <v>641</v>
      </c>
      <c r="AH139" s="4" t="s">
        <v>58</v>
      </c>
      <c r="AI139" s="4">
        <v>629</v>
      </c>
      <c r="AJ139" t="s">
        <v>399</v>
      </c>
      <c r="AK139" t="s">
        <v>56</v>
      </c>
      <c r="AL139" t="s">
        <v>406</v>
      </c>
      <c r="AM139">
        <v>7</v>
      </c>
      <c r="AN139">
        <v>0</v>
      </c>
      <c r="AO139">
        <v>8</v>
      </c>
      <c r="AP139">
        <v>0</v>
      </c>
      <c r="AQ139" s="5">
        <v>226</v>
      </c>
      <c r="AR139">
        <v>17</v>
      </c>
      <c r="AS139">
        <v>0</v>
      </c>
      <c r="AT139">
        <v>18</v>
      </c>
      <c r="AU139">
        <v>0</v>
      </c>
      <c r="AV139" s="5">
        <v>269</v>
      </c>
      <c r="AW139" t="s">
        <v>56</v>
      </c>
      <c r="AX139" s="6">
        <v>1563</v>
      </c>
      <c r="AY139" t="s">
        <v>399</v>
      </c>
      <c r="AZ139" t="s">
        <v>56</v>
      </c>
    </row>
    <row r="140" spans="1:52" hidden="1" x14ac:dyDescent="0.45">
      <c r="A140">
        <v>512527.44477015501</v>
      </c>
      <c r="B140">
        <v>6948448.2423270196</v>
      </c>
      <c r="C140">
        <v>139</v>
      </c>
      <c r="D140" t="s">
        <v>342</v>
      </c>
      <c r="E140" t="s">
        <v>407</v>
      </c>
      <c r="F140" t="s">
        <v>408</v>
      </c>
      <c r="G140" t="s">
        <v>409</v>
      </c>
      <c r="H140" s="3">
        <v>6738</v>
      </c>
      <c r="I140">
        <v>2</v>
      </c>
      <c r="J140" t="s">
        <v>56</v>
      </c>
      <c r="K140">
        <v>59.9</v>
      </c>
      <c r="L140">
        <v>67</v>
      </c>
      <c r="M140">
        <v>1</v>
      </c>
      <c r="N140" t="s">
        <v>56</v>
      </c>
      <c r="O140" t="s">
        <v>409</v>
      </c>
      <c r="P140">
        <v>83.6</v>
      </c>
      <c r="Q140">
        <v>0.8</v>
      </c>
      <c r="R140">
        <v>14.8</v>
      </c>
      <c r="S140">
        <v>0.2</v>
      </c>
      <c r="T140">
        <v>0.1</v>
      </c>
      <c r="U140">
        <v>0</v>
      </c>
      <c r="V140">
        <v>0.2</v>
      </c>
      <c r="W140">
        <v>0</v>
      </c>
      <c r="X140">
        <v>0.1</v>
      </c>
      <c r="Y140">
        <v>0</v>
      </c>
      <c r="Z140">
        <v>0</v>
      </c>
      <c r="AA140">
        <v>0</v>
      </c>
      <c r="AB140">
        <v>0.2</v>
      </c>
      <c r="AC140" t="s">
        <v>409</v>
      </c>
      <c r="AD140">
        <v>60</v>
      </c>
      <c r="AE140" t="s">
        <v>409</v>
      </c>
      <c r="AF140" s="4" t="s">
        <v>57</v>
      </c>
      <c r="AG140" s="4">
        <v>3257</v>
      </c>
      <c r="AH140" s="4" t="s">
        <v>58</v>
      </c>
      <c r="AI140" s="4">
        <v>3481</v>
      </c>
      <c r="AJ140" t="s">
        <v>409</v>
      </c>
      <c r="AK140" t="s">
        <v>56</v>
      </c>
      <c r="AL140" t="s">
        <v>408</v>
      </c>
      <c r="AM140">
        <v>7</v>
      </c>
      <c r="AN140">
        <v>0</v>
      </c>
      <c r="AO140">
        <v>8</v>
      </c>
      <c r="AP140">
        <v>0</v>
      </c>
      <c r="AQ140" s="5">
        <v>961</v>
      </c>
      <c r="AR140">
        <v>17</v>
      </c>
      <c r="AS140">
        <v>0</v>
      </c>
      <c r="AT140">
        <v>18</v>
      </c>
      <c r="AU140">
        <v>0</v>
      </c>
      <c r="AV140" s="5">
        <v>746</v>
      </c>
      <c r="AW140" t="s">
        <v>56</v>
      </c>
      <c r="AX140" s="6">
        <v>7501</v>
      </c>
      <c r="AY140" t="s">
        <v>409</v>
      </c>
      <c r="AZ140" t="s">
        <v>56</v>
      </c>
    </row>
    <row r="141" spans="1:52" hidden="1" x14ac:dyDescent="0.45">
      <c r="A141">
        <v>521088.46710896603</v>
      </c>
      <c r="B141">
        <v>6935036.5804201402</v>
      </c>
      <c r="C141">
        <v>140</v>
      </c>
      <c r="D141" t="s">
        <v>410</v>
      </c>
      <c r="E141" t="s">
        <v>411</v>
      </c>
      <c r="F141" t="s">
        <v>412</v>
      </c>
      <c r="G141" t="s">
        <v>413</v>
      </c>
      <c r="H141" s="3">
        <v>412</v>
      </c>
      <c r="I141">
        <v>2</v>
      </c>
      <c r="J141" t="s">
        <v>56</v>
      </c>
      <c r="K141">
        <v>38.9</v>
      </c>
      <c r="L141">
        <v>47.2</v>
      </c>
      <c r="M141">
        <v>1</v>
      </c>
      <c r="N141" t="s">
        <v>56</v>
      </c>
      <c r="O141" t="s">
        <v>413</v>
      </c>
      <c r="P141">
        <v>87.6</v>
      </c>
      <c r="Q141">
        <v>1</v>
      </c>
      <c r="R141">
        <v>9.6999999999999993</v>
      </c>
      <c r="S141">
        <v>0.6</v>
      </c>
      <c r="T141">
        <v>0.4</v>
      </c>
      <c r="U141">
        <v>0</v>
      </c>
      <c r="V141">
        <v>0.1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0.6</v>
      </c>
      <c r="AC141" t="s">
        <v>413</v>
      </c>
      <c r="AD141">
        <v>50</v>
      </c>
      <c r="AE141" t="s">
        <v>413</v>
      </c>
      <c r="AF141" s="4" t="s">
        <v>80</v>
      </c>
      <c r="AG141" s="4">
        <v>209</v>
      </c>
      <c r="AH141" s="4" t="s">
        <v>81</v>
      </c>
      <c r="AI141" s="4">
        <v>203</v>
      </c>
      <c r="AJ141" t="s">
        <v>413</v>
      </c>
      <c r="AK141" t="s">
        <v>56</v>
      </c>
      <c r="AL141" t="s">
        <v>412</v>
      </c>
      <c r="AM141">
        <v>11</v>
      </c>
      <c r="AN141">
        <v>0</v>
      </c>
      <c r="AO141">
        <v>12</v>
      </c>
      <c r="AP141">
        <v>0</v>
      </c>
      <c r="AQ141" s="5">
        <v>47</v>
      </c>
      <c r="AR141">
        <v>16</v>
      </c>
      <c r="AS141">
        <v>0</v>
      </c>
      <c r="AT141">
        <v>17</v>
      </c>
      <c r="AU141">
        <v>0</v>
      </c>
      <c r="AV141" s="5">
        <v>37</v>
      </c>
      <c r="AW141" t="s">
        <v>56</v>
      </c>
      <c r="AX141" s="6">
        <v>410</v>
      </c>
      <c r="AY141" t="s">
        <v>413</v>
      </c>
      <c r="AZ141" t="s">
        <v>56</v>
      </c>
    </row>
    <row r="142" spans="1:52" hidden="1" x14ac:dyDescent="0.45">
      <c r="A142">
        <v>512385.20446569799</v>
      </c>
      <c r="B142">
        <v>6943276.0218994096</v>
      </c>
      <c r="C142">
        <v>141</v>
      </c>
      <c r="D142" t="s">
        <v>414</v>
      </c>
      <c r="E142" t="s">
        <v>415</v>
      </c>
      <c r="F142" t="s">
        <v>416</v>
      </c>
      <c r="G142" t="s">
        <v>409</v>
      </c>
      <c r="H142" s="3">
        <v>1653</v>
      </c>
      <c r="I142">
        <v>2</v>
      </c>
      <c r="J142" t="s">
        <v>56</v>
      </c>
      <c r="K142">
        <v>50.8</v>
      </c>
      <c r="L142">
        <v>58.3</v>
      </c>
      <c r="M142">
        <v>1</v>
      </c>
      <c r="N142" t="s">
        <v>56</v>
      </c>
      <c r="O142" t="s">
        <v>409</v>
      </c>
      <c r="P142">
        <v>83.4</v>
      </c>
      <c r="Q142">
        <v>1.1000000000000001</v>
      </c>
      <c r="R142">
        <v>15</v>
      </c>
      <c r="S142">
        <v>0.2</v>
      </c>
      <c r="T142">
        <v>0.1</v>
      </c>
      <c r="U142">
        <v>0</v>
      </c>
      <c r="V142">
        <v>0.1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0.1</v>
      </c>
      <c r="AC142" t="s">
        <v>409</v>
      </c>
      <c r="AD142">
        <v>50</v>
      </c>
      <c r="AE142" t="s">
        <v>409</v>
      </c>
      <c r="AF142" s="4" t="s">
        <v>80</v>
      </c>
      <c r="AG142" s="4">
        <v>727</v>
      </c>
      <c r="AH142" s="4" t="s">
        <v>81</v>
      </c>
      <c r="AI142" s="4">
        <v>926</v>
      </c>
      <c r="AJ142" t="s">
        <v>409</v>
      </c>
      <c r="AK142" t="s">
        <v>56</v>
      </c>
      <c r="AL142" t="s">
        <v>416</v>
      </c>
      <c r="AM142">
        <v>8</v>
      </c>
      <c r="AN142">
        <v>0</v>
      </c>
      <c r="AO142">
        <v>9</v>
      </c>
      <c r="AP142">
        <v>0</v>
      </c>
      <c r="AQ142" s="5">
        <v>190</v>
      </c>
      <c r="AR142">
        <v>14</v>
      </c>
      <c r="AS142">
        <v>0</v>
      </c>
      <c r="AT142">
        <v>15</v>
      </c>
      <c r="AU142">
        <v>0</v>
      </c>
      <c r="AV142" s="5">
        <v>180</v>
      </c>
      <c r="AW142" t="s">
        <v>56</v>
      </c>
      <c r="AX142" s="6">
        <v>1727</v>
      </c>
      <c r="AY142" t="s">
        <v>409</v>
      </c>
      <c r="AZ142" t="s">
        <v>56</v>
      </c>
    </row>
    <row r="143" spans="1:52" hidden="1" x14ac:dyDescent="0.45">
      <c r="A143">
        <v>512307.07649098901</v>
      </c>
      <c r="B143">
        <v>6943476.1507816501</v>
      </c>
      <c r="C143">
        <v>142</v>
      </c>
      <c r="D143" t="s">
        <v>417</v>
      </c>
      <c r="E143" t="s">
        <v>415</v>
      </c>
      <c r="F143" t="s">
        <v>418</v>
      </c>
      <c r="G143" t="s">
        <v>409</v>
      </c>
      <c r="H143" s="3">
        <v>1494</v>
      </c>
      <c r="I143">
        <v>2</v>
      </c>
      <c r="J143" t="s">
        <v>56</v>
      </c>
      <c r="K143">
        <v>51.1</v>
      </c>
      <c r="L143">
        <v>59.8</v>
      </c>
      <c r="M143">
        <v>1</v>
      </c>
      <c r="N143" t="s">
        <v>56</v>
      </c>
      <c r="O143" t="s">
        <v>409</v>
      </c>
      <c r="P143">
        <v>78</v>
      </c>
      <c r="Q143">
        <v>0.9</v>
      </c>
      <c r="R143">
        <v>20.6</v>
      </c>
      <c r="S143">
        <v>0.1</v>
      </c>
      <c r="T143">
        <v>0</v>
      </c>
      <c r="U143">
        <v>0</v>
      </c>
      <c r="V143">
        <v>0.2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0.2</v>
      </c>
      <c r="AC143" t="s">
        <v>409</v>
      </c>
      <c r="AD143">
        <v>50</v>
      </c>
      <c r="AE143" t="s">
        <v>409</v>
      </c>
      <c r="AF143" s="4" t="s">
        <v>57</v>
      </c>
      <c r="AG143" s="4">
        <v>850</v>
      </c>
      <c r="AH143" s="4" t="s">
        <v>58</v>
      </c>
      <c r="AI143" s="4">
        <v>644</v>
      </c>
      <c r="AJ143" t="s">
        <v>409</v>
      </c>
      <c r="AK143" t="s">
        <v>56</v>
      </c>
      <c r="AL143" t="s">
        <v>418</v>
      </c>
      <c r="AM143">
        <v>8</v>
      </c>
      <c r="AN143">
        <v>0</v>
      </c>
      <c r="AO143">
        <v>9</v>
      </c>
      <c r="AP143">
        <v>0</v>
      </c>
      <c r="AQ143" s="5">
        <v>176</v>
      </c>
      <c r="AR143">
        <v>15</v>
      </c>
      <c r="AS143">
        <v>0</v>
      </c>
      <c r="AT143">
        <v>16</v>
      </c>
      <c r="AU143">
        <v>0</v>
      </c>
      <c r="AV143" s="5">
        <v>174</v>
      </c>
      <c r="AW143" t="s">
        <v>56</v>
      </c>
      <c r="AX143" s="6">
        <v>1594</v>
      </c>
      <c r="AY143" t="s">
        <v>409</v>
      </c>
      <c r="AZ143" t="s">
        <v>56</v>
      </c>
    </row>
    <row r="144" spans="1:52" hidden="1" x14ac:dyDescent="0.45">
      <c r="A144">
        <v>517140.88254093297</v>
      </c>
      <c r="B144">
        <v>6938393.2737399498</v>
      </c>
      <c r="C144">
        <v>143</v>
      </c>
      <c r="D144" t="s">
        <v>419</v>
      </c>
      <c r="E144" t="s">
        <v>420</v>
      </c>
      <c r="F144" t="s">
        <v>421</v>
      </c>
      <c r="G144" t="s">
        <v>413</v>
      </c>
      <c r="H144" s="3">
        <v>1031</v>
      </c>
      <c r="I144">
        <v>2</v>
      </c>
      <c r="J144" t="s">
        <v>56</v>
      </c>
      <c r="K144">
        <v>46.4</v>
      </c>
      <c r="L144">
        <v>53.3</v>
      </c>
      <c r="M144">
        <v>1</v>
      </c>
      <c r="N144" t="s">
        <v>56</v>
      </c>
      <c r="O144" t="s">
        <v>413</v>
      </c>
      <c r="P144">
        <v>80.5</v>
      </c>
      <c r="Q144">
        <v>1.1000000000000001</v>
      </c>
      <c r="R144">
        <v>17</v>
      </c>
      <c r="S144">
        <v>0.7</v>
      </c>
      <c r="T144">
        <v>0</v>
      </c>
      <c r="U144">
        <v>0</v>
      </c>
      <c r="V144">
        <v>0.4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0.3</v>
      </c>
      <c r="AC144" t="s">
        <v>413</v>
      </c>
      <c r="AD144">
        <v>50</v>
      </c>
      <c r="AE144" t="s">
        <v>413</v>
      </c>
      <c r="AF144" s="4" t="s">
        <v>80</v>
      </c>
      <c r="AG144" s="4">
        <v>536</v>
      </c>
      <c r="AH144" s="4" t="s">
        <v>81</v>
      </c>
      <c r="AI144" s="4">
        <v>495</v>
      </c>
      <c r="AJ144" t="s">
        <v>413</v>
      </c>
      <c r="AK144" t="s">
        <v>56</v>
      </c>
      <c r="AL144" t="s">
        <v>421</v>
      </c>
      <c r="AM144">
        <v>11</v>
      </c>
      <c r="AN144">
        <v>0</v>
      </c>
      <c r="AO144">
        <v>12</v>
      </c>
      <c r="AP144">
        <v>0</v>
      </c>
      <c r="AQ144" s="5">
        <v>110</v>
      </c>
      <c r="AR144">
        <v>16</v>
      </c>
      <c r="AS144">
        <v>0</v>
      </c>
      <c r="AT144">
        <v>17</v>
      </c>
      <c r="AU144">
        <v>0</v>
      </c>
      <c r="AV144" s="5">
        <v>83</v>
      </c>
      <c r="AW144" t="s">
        <v>56</v>
      </c>
      <c r="AX144" s="6">
        <v>1026</v>
      </c>
      <c r="AY144" t="s">
        <v>413</v>
      </c>
      <c r="AZ144" t="s">
        <v>56</v>
      </c>
    </row>
    <row r="145" spans="1:52" hidden="1" x14ac:dyDescent="0.45">
      <c r="A145">
        <v>509738.05138404103</v>
      </c>
      <c r="B145">
        <v>6931564.4688794203</v>
      </c>
      <c r="C145">
        <v>144</v>
      </c>
      <c r="D145" t="s">
        <v>422</v>
      </c>
      <c r="E145" t="s">
        <v>423</v>
      </c>
      <c r="F145" t="s">
        <v>424</v>
      </c>
      <c r="G145" t="s">
        <v>409</v>
      </c>
      <c r="H145" s="3">
        <v>545</v>
      </c>
      <c r="I145">
        <v>2</v>
      </c>
      <c r="J145" t="s">
        <v>56</v>
      </c>
      <c r="K145">
        <v>66.900000000000006</v>
      </c>
      <c r="L145">
        <v>77.8</v>
      </c>
      <c r="M145">
        <v>1</v>
      </c>
      <c r="N145" t="s">
        <v>56</v>
      </c>
      <c r="O145" t="s">
        <v>409</v>
      </c>
      <c r="P145">
        <v>73.400000000000006</v>
      </c>
      <c r="Q145">
        <v>2.5</v>
      </c>
      <c r="R145">
        <v>21</v>
      </c>
      <c r="S145">
        <v>1.3</v>
      </c>
      <c r="T145">
        <v>0.1</v>
      </c>
      <c r="U145">
        <v>0</v>
      </c>
      <c r="V145">
        <v>1.1000000000000001</v>
      </c>
      <c r="W145">
        <v>0.3</v>
      </c>
      <c r="X145">
        <v>0</v>
      </c>
      <c r="Y145">
        <v>0.1</v>
      </c>
      <c r="Z145">
        <v>0</v>
      </c>
      <c r="AA145">
        <v>0</v>
      </c>
      <c r="AB145">
        <v>0.2</v>
      </c>
      <c r="AC145" t="s">
        <v>409</v>
      </c>
      <c r="AD145">
        <v>60</v>
      </c>
      <c r="AE145" t="s">
        <v>409</v>
      </c>
      <c r="AF145" s="4" t="s">
        <v>57</v>
      </c>
      <c r="AG145" s="4">
        <v>281</v>
      </c>
      <c r="AH145" s="4" t="s">
        <v>58</v>
      </c>
      <c r="AI145" s="4">
        <v>264</v>
      </c>
      <c r="AJ145" t="s">
        <v>409</v>
      </c>
      <c r="AK145" t="s">
        <v>56</v>
      </c>
      <c r="AL145" t="s">
        <v>424</v>
      </c>
      <c r="AM145">
        <v>8</v>
      </c>
      <c r="AN145">
        <v>0</v>
      </c>
      <c r="AO145">
        <v>9</v>
      </c>
      <c r="AP145">
        <v>0</v>
      </c>
      <c r="AQ145" s="5">
        <v>47</v>
      </c>
      <c r="AR145">
        <v>15</v>
      </c>
      <c r="AS145">
        <v>0</v>
      </c>
      <c r="AT145">
        <v>16</v>
      </c>
      <c r="AU145">
        <v>0</v>
      </c>
      <c r="AV145" s="5">
        <v>57</v>
      </c>
      <c r="AW145" t="s">
        <v>56</v>
      </c>
      <c r="AX145" s="6">
        <v>563</v>
      </c>
      <c r="AY145" t="s">
        <v>409</v>
      </c>
      <c r="AZ145" t="s">
        <v>56</v>
      </c>
    </row>
    <row r="146" spans="1:52" hidden="1" x14ac:dyDescent="0.45">
      <c r="A146">
        <v>494910.30902866402</v>
      </c>
      <c r="B146">
        <v>6922182.7333585704</v>
      </c>
      <c r="C146">
        <v>145</v>
      </c>
      <c r="D146" t="s">
        <v>425</v>
      </c>
      <c r="E146" t="s">
        <v>426</v>
      </c>
      <c r="F146" t="s">
        <v>427</v>
      </c>
      <c r="G146" t="s">
        <v>413</v>
      </c>
      <c r="H146" s="3">
        <v>1106</v>
      </c>
      <c r="I146">
        <v>2</v>
      </c>
      <c r="J146" t="s">
        <v>56</v>
      </c>
      <c r="K146">
        <v>67.3</v>
      </c>
      <c r="L146">
        <v>76</v>
      </c>
      <c r="M146">
        <v>1</v>
      </c>
      <c r="N146" t="s">
        <v>56</v>
      </c>
      <c r="O146" t="s">
        <v>413</v>
      </c>
      <c r="P146">
        <v>72.2</v>
      </c>
      <c r="Q146">
        <v>1.9</v>
      </c>
      <c r="R146">
        <v>22.6</v>
      </c>
      <c r="S146">
        <v>1.5</v>
      </c>
      <c r="T146">
        <v>0.1</v>
      </c>
      <c r="U146">
        <v>0</v>
      </c>
      <c r="V146">
        <v>1.2</v>
      </c>
      <c r="W146">
        <v>0.1</v>
      </c>
      <c r="X146">
        <v>0.2</v>
      </c>
      <c r="Y146">
        <v>0</v>
      </c>
      <c r="Z146">
        <v>0</v>
      </c>
      <c r="AA146">
        <v>0</v>
      </c>
      <c r="AB146">
        <v>0.2</v>
      </c>
      <c r="AC146" t="s">
        <v>413</v>
      </c>
      <c r="AD146">
        <v>60</v>
      </c>
      <c r="AE146" t="s">
        <v>413</v>
      </c>
      <c r="AF146" s="4" t="s">
        <v>57</v>
      </c>
      <c r="AG146" s="4">
        <v>544</v>
      </c>
      <c r="AH146" s="4" t="s">
        <v>58</v>
      </c>
      <c r="AI146" s="4">
        <v>562</v>
      </c>
      <c r="AJ146" t="s">
        <v>413</v>
      </c>
      <c r="AK146" t="s">
        <v>56</v>
      </c>
      <c r="AL146" t="s">
        <v>427</v>
      </c>
      <c r="AM146">
        <v>8</v>
      </c>
      <c r="AN146">
        <v>0</v>
      </c>
      <c r="AO146">
        <v>9</v>
      </c>
      <c r="AP146">
        <v>0</v>
      </c>
      <c r="AQ146" s="5">
        <v>88</v>
      </c>
      <c r="AR146">
        <v>15</v>
      </c>
      <c r="AS146">
        <v>0</v>
      </c>
      <c r="AT146">
        <v>16</v>
      </c>
      <c r="AU146">
        <v>0</v>
      </c>
      <c r="AV146" s="5">
        <v>108</v>
      </c>
      <c r="AW146" t="s">
        <v>56</v>
      </c>
      <c r="AX146" s="6">
        <v>1139</v>
      </c>
      <c r="AY146" t="s">
        <v>413</v>
      </c>
      <c r="AZ146" t="s">
        <v>56</v>
      </c>
    </row>
    <row r="147" spans="1:52" hidden="1" x14ac:dyDescent="0.45">
      <c r="A147">
        <v>505179.299900538</v>
      </c>
      <c r="B147">
        <v>6939933.9808323504</v>
      </c>
      <c r="C147">
        <v>146</v>
      </c>
      <c r="D147" t="s">
        <v>428</v>
      </c>
      <c r="E147" t="s">
        <v>321</v>
      </c>
      <c r="F147" t="s">
        <v>429</v>
      </c>
      <c r="G147" t="s">
        <v>430</v>
      </c>
      <c r="H147" s="3">
        <v>11552</v>
      </c>
      <c r="I147">
        <v>2</v>
      </c>
      <c r="J147" t="s">
        <v>56</v>
      </c>
      <c r="K147">
        <v>55.8</v>
      </c>
      <c r="L147">
        <v>61.2</v>
      </c>
      <c r="M147">
        <v>1</v>
      </c>
      <c r="N147" t="s">
        <v>56</v>
      </c>
      <c r="O147" t="s">
        <v>430</v>
      </c>
      <c r="P147">
        <v>88.9</v>
      </c>
      <c r="Q147">
        <v>1</v>
      </c>
      <c r="R147">
        <v>9.5</v>
      </c>
      <c r="S147">
        <v>0.2</v>
      </c>
      <c r="T147">
        <v>0</v>
      </c>
      <c r="U147">
        <v>0</v>
      </c>
      <c r="V147">
        <v>0.3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0.1</v>
      </c>
      <c r="AC147" t="s">
        <v>430</v>
      </c>
      <c r="AD147">
        <v>60</v>
      </c>
      <c r="AE147" t="s">
        <v>430</v>
      </c>
      <c r="AF147" s="4" t="s">
        <v>80</v>
      </c>
      <c r="AG147" s="4">
        <v>6297</v>
      </c>
      <c r="AH147" s="4" t="s">
        <v>81</v>
      </c>
      <c r="AI147" s="4">
        <v>5255</v>
      </c>
      <c r="AJ147" t="s">
        <v>430</v>
      </c>
      <c r="AK147" t="s">
        <v>56</v>
      </c>
      <c r="AL147" t="s">
        <v>429</v>
      </c>
      <c r="AM147">
        <v>8</v>
      </c>
      <c r="AN147">
        <v>0</v>
      </c>
      <c r="AO147">
        <v>9</v>
      </c>
      <c r="AP147">
        <v>0</v>
      </c>
      <c r="AQ147" s="5">
        <v>1164</v>
      </c>
      <c r="AR147">
        <v>15</v>
      </c>
      <c r="AS147">
        <v>0</v>
      </c>
      <c r="AT147">
        <v>16</v>
      </c>
      <c r="AU147">
        <v>0</v>
      </c>
      <c r="AV147" s="5">
        <v>1231</v>
      </c>
      <c r="AW147" t="s">
        <v>56</v>
      </c>
      <c r="AX147" s="6">
        <v>12414</v>
      </c>
      <c r="AY147" t="s">
        <v>430</v>
      </c>
      <c r="AZ147" t="s">
        <v>56</v>
      </c>
    </row>
    <row r="148" spans="1:52" hidden="1" x14ac:dyDescent="0.45">
      <c r="A148">
        <v>518283.78409944399</v>
      </c>
      <c r="B148">
        <v>6933526.8840519199</v>
      </c>
      <c r="C148">
        <v>147</v>
      </c>
      <c r="D148" t="s">
        <v>431</v>
      </c>
      <c r="E148" t="s">
        <v>63</v>
      </c>
      <c r="F148" t="s">
        <v>432</v>
      </c>
      <c r="G148" t="s">
        <v>433</v>
      </c>
      <c r="H148" s="3">
        <v>2097</v>
      </c>
      <c r="I148">
        <v>1</v>
      </c>
      <c r="J148" t="s">
        <v>56</v>
      </c>
      <c r="K148">
        <v>60.1</v>
      </c>
      <c r="L148">
        <v>68.8</v>
      </c>
      <c r="M148">
        <v>1</v>
      </c>
      <c r="N148" t="s">
        <v>56</v>
      </c>
      <c r="O148" t="s">
        <v>433</v>
      </c>
      <c r="P148">
        <v>86.8</v>
      </c>
      <c r="Q148">
        <v>1.4</v>
      </c>
      <c r="R148">
        <v>11.2</v>
      </c>
      <c r="S148">
        <v>0.3</v>
      </c>
      <c r="T148">
        <v>0</v>
      </c>
      <c r="U148">
        <v>0</v>
      </c>
      <c r="V148">
        <v>0.2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0.1</v>
      </c>
      <c r="AC148" t="s">
        <v>433</v>
      </c>
      <c r="AD148">
        <v>60</v>
      </c>
      <c r="AE148" t="s">
        <v>433</v>
      </c>
      <c r="AF148" s="4" t="s">
        <v>80</v>
      </c>
      <c r="AG148" s="4">
        <v>2097</v>
      </c>
      <c r="AJ148" t="s">
        <v>433</v>
      </c>
      <c r="AK148" t="s">
        <v>56</v>
      </c>
      <c r="AL148" t="s">
        <v>432</v>
      </c>
      <c r="AM148">
        <v>8</v>
      </c>
      <c r="AN148">
        <v>0</v>
      </c>
      <c r="AO148">
        <v>9</v>
      </c>
      <c r="AP148">
        <v>0</v>
      </c>
      <c r="AQ148" s="5">
        <v>447</v>
      </c>
      <c r="AR148">
        <v>15</v>
      </c>
      <c r="AS148">
        <v>0</v>
      </c>
      <c r="AT148">
        <v>16</v>
      </c>
      <c r="AU148">
        <v>0</v>
      </c>
      <c r="AV148" s="5">
        <v>472</v>
      </c>
      <c r="AW148" t="s">
        <v>56</v>
      </c>
      <c r="AX148" s="6">
        <v>2097</v>
      </c>
      <c r="AY148" t="s">
        <v>433</v>
      </c>
      <c r="AZ148" t="s">
        <v>56</v>
      </c>
    </row>
    <row r="149" spans="1:52" hidden="1" x14ac:dyDescent="0.45">
      <c r="A149">
        <v>518283.78409944399</v>
      </c>
      <c r="B149">
        <v>6933526.8840519199</v>
      </c>
      <c r="C149">
        <v>148</v>
      </c>
      <c r="D149" t="s">
        <v>431</v>
      </c>
      <c r="E149" t="s">
        <v>63</v>
      </c>
      <c r="F149" t="s">
        <v>432</v>
      </c>
      <c r="G149" t="s">
        <v>433</v>
      </c>
      <c r="H149" s="3">
        <v>1926</v>
      </c>
      <c r="I149">
        <v>1</v>
      </c>
      <c r="J149" t="s">
        <v>56</v>
      </c>
      <c r="K149">
        <v>60.1</v>
      </c>
      <c r="L149">
        <v>68.8</v>
      </c>
      <c r="M149">
        <v>1</v>
      </c>
      <c r="N149" t="s">
        <v>56</v>
      </c>
      <c r="O149" t="s">
        <v>433</v>
      </c>
      <c r="P149">
        <v>86.8</v>
      </c>
      <c r="Q149">
        <v>1.4</v>
      </c>
      <c r="R149">
        <v>11.2</v>
      </c>
      <c r="S149">
        <v>0.3</v>
      </c>
      <c r="T149">
        <v>0</v>
      </c>
      <c r="U149">
        <v>0</v>
      </c>
      <c r="V149">
        <v>0.2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0.1</v>
      </c>
      <c r="AC149" t="s">
        <v>433</v>
      </c>
      <c r="AD149">
        <v>60</v>
      </c>
      <c r="AE149" t="s">
        <v>433</v>
      </c>
      <c r="AH149" s="4" t="s">
        <v>81</v>
      </c>
      <c r="AI149" s="4">
        <v>1926</v>
      </c>
      <c r="AJ149" t="s">
        <v>433</v>
      </c>
      <c r="AK149" t="s">
        <v>56</v>
      </c>
      <c r="AL149" t="s">
        <v>432</v>
      </c>
      <c r="AM149">
        <v>8</v>
      </c>
      <c r="AN149">
        <v>0</v>
      </c>
      <c r="AO149">
        <v>9</v>
      </c>
      <c r="AP149">
        <v>0</v>
      </c>
      <c r="AQ149" s="5">
        <v>447</v>
      </c>
      <c r="AR149">
        <v>15</v>
      </c>
      <c r="AS149">
        <v>0</v>
      </c>
      <c r="AT149">
        <v>16</v>
      </c>
      <c r="AU149">
        <v>0</v>
      </c>
      <c r="AV149" s="5">
        <v>472</v>
      </c>
      <c r="AW149" t="s">
        <v>56</v>
      </c>
      <c r="AX149" s="6">
        <v>1926</v>
      </c>
      <c r="AY149" t="s">
        <v>433</v>
      </c>
      <c r="AZ149" t="s">
        <v>56</v>
      </c>
    </row>
    <row r="150" spans="1:52" hidden="1" x14ac:dyDescent="0.45">
      <c r="A150">
        <v>518951.15297350602</v>
      </c>
      <c r="B150">
        <v>6931017.7730103899</v>
      </c>
      <c r="C150">
        <v>149</v>
      </c>
      <c r="D150" t="s">
        <v>434</v>
      </c>
      <c r="E150" t="s">
        <v>435</v>
      </c>
      <c r="F150" t="s">
        <v>436</v>
      </c>
      <c r="G150" t="s">
        <v>430</v>
      </c>
      <c r="H150" s="3">
        <v>2847</v>
      </c>
      <c r="I150">
        <v>2</v>
      </c>
      <c r="J150" t="s">
        <v>56</v>
      </c>
      <c r="K150">
        <v>57</v>
      </c>
      <c r="L150">
        <v>63.7</v>
      </c>
      <c r="M150">
        <v>1</v>
      </c>
      <c r="N150" t="s">
        <v>56</v>
      </c>
      <c r="O150" t="s">
        <v>430</v>
      </c>
      <c r="P150">
        <v>86.9</v>
      </c>
      <c r="Q150">
        <v>1.1000000000000001</v>
      </c>
      <c r="R150">
        <v>11.4</v>
      </c>
      <c r="S150">
        <v>0.1</v>
      </c>
      <c r="T150">
        <v>0</v>
      </c>
      <c r="U150">
        <v>0</v>
      </c>
      <c r="V150">
        <v>0.2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0.3</v>
      </c>
      <c r="AC150" t="s">
        <v>430</v>
      </c>
      <c r="AD150">
        <v>50</v>
      </c>
      <c r="AE150" t="s">
        <v>430</v>
      </c>
      <c r="AF150" s="4" t="s">
        <v>80</v>
      </c>
      <c r="AG150" s="4">
        <v>1370</v>
      </c>
      <c r="AH150" s="4" t="s">
        <v>81</v>
      </c>
      <c r="AI150" s="4">
        <v>1477</v>
      </c>
      <c r="AJ150" t="s">
        <v>430</v>
      </c>
      <c r="AK150" t="s">
        <v>56</v>
      </c>
      <c r="AL150" t="s">
        <v>436</v>
      </c>
      <c r="AM150">
        <v>8</v>
      </c>
      <c r="AN150">
        <v>0</v>
      </c>
      <c r="AO150">
        <v>9</v>
      </c>
      <c r="AP150">
        <v>0</v>
      </c>
      <c r="AQ150" s="5">
        <v>279</v>
      </c>
      <c r="AR150">
        <v>15</v>
      </c>
      <c r="AS150">
        <v>0</v>
      </c>
      <c r="AT150">
        <v>16</v>
      </c>
      <c r="AU150">
        <v>0</v>
      </c>
      <c r="AV150" s="5">
        <v>314</v>
      </c>
      <c r="AW150" t="s">
        <v>56</v>
      </c>
      <c r="AX150" s="6">
        <v>2976</v>
      </c>
      <c r="AY150" t="s">
        <v>430</v>
      </c>
      <c r="AZ150" t="s">
        <v>56</v>
      </c>
    </row>
    <row r="151" spans="1:52" hidden="1" x14ac:dyDescent="0.45">
      <c r="A151">
        <v>518680.51746582403</v>
      </c>
      <c r="B151">
        <v>6930372.9477914805</v>
      </c>
      <c r="C151">
        <v>150</v>
      </c>
      <c r="D151" t="s">
        <v>434</v>
      </c>
      <c r="E151" t="s">
        <v>435</v>
      </c>
      <c r="F151" t="s">
        <v>437</v>
      </c>
      <c r="G151" t="s">
        <v>430</v>
      </c>
      <c r="H151" s="3">
        <v>1180</v>
      </c>
      <c r="I151">
        <v>2</v>
      </c>
      <c r="J151" t="s">
        <v>56</v>
      </c>
      <c r="K151">
        <v>50</v>
      </c>
      <c r="L151">
        <v>57.6</v>
      </c>
      <c r="M151">
        <v>1</v>
      </c>
      <c r="N151" t="s">
        <v>56</v>
      </c>
      <c r="O151" t="s">
        <v>430</v>
      </c>
      <c r="P151">
        <v>80</v>
      </c>
      <c r="Q151">
        <v>1.1000000000000001</v>
      </c>
      <c r="R151">
        <v>18</v>
      </c>
      <c r="S151">
        <v>0.1</v>
      </c>
      <c r="T151">
        <v>0</v>
      </c>
      <c r="U151">
        <v>0</v>
      </c>
      <c r="V151">
        <v>0.4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0.4</v>
      </c>
      <c r="AC151" t="s">
        <v>430</v>
      </c>
      <c r="AD151">
        <v>50</v>
      </c>
      <c r="AE151" t="s">
        <v>430</v>
      </c>
      <c r="AF151" s="4" t="s">
        <v>80</v>
      </c>
      <c r="AG151" s="4">
        <v>551</v>
      </c>
      <c r="AH151" s="4" t="s">
        <v>81</v>
      </c>
      <c r="AI151" s="4">
        <v>629</v>
      </c>
      <c r="AJ151" t="s">
        <v>430</v>
      </c>
      <c r="AK151" t="s">
        <v>56</v>
      </c>
      <c r="AL151" t="s">
        <v>437</v>
      </c>
      <c r="AM151">
        <v>8</v>
      </c>
      <c r="AN151">
        <v>0</v>
      </c>
      <c r="AO151">
        <v>9</v>
      </c>
      <c r="AP151">
        <v>0</v>
      </c>
      <c r="AQ151" s="5">
        <v>139</v>
      </c>
      <c r="AR151">
        <v>15</v>
      </c>
      <c r="AS151">
        <v>0</v>
      </c>
      <c r="AT151">
        <v>16</v>
      </c>
      <c r="AU151">
        <v>0</v>
      </c>
      <c r="AV151" s="5">
        <v>181</v>
      </c>
      <c r="AW151" t="s">
        <v>56</v>
      </c>
      <c r="AX151" s="6">
        <v>1250</v>
      </c>
      <c r="AY151" t="s">
        <v>430</v>
      </c>
      <c r="AZ151" t="s">
        <v>56</v>
      </c>
    </row>
    <row r="152" spans="1:52" hidden="1" x14ac:dyDescent="0.45">
      <c r="A152">
        <v>511353.68187178898</v>
      </c>
      <c r="B152">
        <v>6940299.9802347198</v>
      </c>
      <c r="C152">
        <v>151</v>
      </c>
      <c r="D152" t="s">
        <v>438</v>
      </c>
      <c r="E152" t="s">
        <v>140</v>
      </c>
      <c r="F152" t="s">
        <v>439</v>
      </c>
      <c r="G152" t="s">
        <v>440</v>
      </c>
      <c r="H152" s="3">
        <v>1478</v>
      </c>
      <c r="I152">
        <v>2</v>
      </c>
      <c r="J152" t="s">
        <v>56</v>
      </c>
      <c r="K152">
        <v>50.4</v>
      </c>
      <c r="L152">
        <v>58</v>
      </c>
      <c r="M152">
        <v>1</v>
      </c>
      <c r="N152" t="s">
        <v>56</v>
      </c>
      <c r="O152" t="s">
        <v>440</v>
      </c>
      <c r="P152">
        <v>90.9</v>
      </c>
      <c r="Q152">
        <v>0.6</v>
      </c>
      <c r="R152">
        <v>8.1</v>
      </c>
      <c r="S152">
        <v>0.1</v>
      </c>
      <c r="T152">
        <v>0.1</v>
      </c>
      <c r="U152">
        <v>0</v>
      </c>
      <c r="V152">
        <v>0.1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0.1</v>
      </c>
      <c r="AC152" t="s">
        <v>440</v>
      </c>
      <c r="AD152">
        <v>50</v>
      </c>
      <c r="AE152" t="s">
        <v>440</v>
      </c>
      <c r="AF152" s="4" t="s">
        <v>57</v>
      </c>
      <c r="AG152" s="4">
        <v>963</v>
      </c>
      <c r="AH152" s="4" t="s">
        <v>58</v>
      </c>
      <c r="AI152" s="4">
        <v>515</v>
      </c>
      <c r="AJ152" t="s">
        <v>440</v>
      </c>
      <c r="AK152" t="s">
        <v>56</v>
      </c>
      <c r="AL152" t="s">
        <v>439</v>
      </c>
      <c r="AM152">
        <v>8</v>
      </c>
      <c r="AN152">
        <v>0</v>
      </c>
      <c r="AO152">
        <v>9</v>
      </c>
      <c r="AP152">
        <v>0</v>
      </c>
      <c r="AQ152" s="5">
        <v>335</v>
      </c>
      <c r="AR152">
        <v>15</v>
      </c>
      <c r="AS152">
        <v>0</v>
      </c>
      <c r="AT152">
        <v>16</v>
      </c>
      <c r="AU152">
        <v>0</v>
      </c>
      <c r="AV152" s="5">
        <v>328</v>
      </c>
      <c r="AW152" t="s">
        <v>56</v>
      </c>
      <c r="AX152" s="6">
        <v>1844</v>
      </c>
      <c r="AY152" t="s">
        <v>440</v>
      </c>
      <c r="AZ152" t="s">
        <v>56</v>
      </c>
    </row>
    <row r="153" spans="1:52" hidden="1" x14ac:dyDescent="0.45">
      <c r="A153">
        <v>502640.202825004</v>
      </c>
      <c r="B153">
        <v>6939515.4221035196</v>
      </c>
      <c r="C153">
        <v>152</v>
      </c>
      <c r="D153" t="s">
        <v>70</v>
      </c>
      <c r="E153" t="s">
        <v>71</v>
      </c>
      <c r="F153" t="s">
        <v>441</v>
      </c>
      <c r="G153" t="s">
        <v>442</v>
      </c>
      <c r="H153" s="3">
        <v>696</v>
      </c>
      <c r="I153">
        <v>2</v>
      </c>
      <c r="J153" t="s">
        <v>56</v>
      </c>
      <c r="K153">
        <v>42.3</v>
      </c>
      <c r="L153">
        <v>49.3</v>
      </c>
      <c r="M153">
        <v>1</v>
      </c>
      <c r="N153" t="s">
        <v>56</v>
      </c>
      <c r="O153" t="s">
        <v>442</v>
      </c>
      <c r="P153">
        <v>83.7</v>
      </c>
      <c r="Q153">
        <v>0.6</v>
      </c>
      <c r="R153">
        <v>15.2</v>
      </c>
      <c r="S153">
        <v>0.2</v>
      </c>
      <c r="T153">
        <v>0</v>
      </c>
      <c r="U153">
        <v>0</v>
      </c>
      <c r="V153">
        <v>0.1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0.2</v>
      </c>
      <c r="AC153" t="s">
        <v>442</v>
      </c>
      <c r="AD153">
        <v>50</v>
      </c>
      <c r="AE153" t="s">
        <v>442</v>
      </c>
      <c r="AF153" s="4" t="s">
        <v>57</v>
      </c>
      <c r="AG153" s="4">
        <v>345</v>
      </c>
      <c r="AH153" s="4" t="s">
        <v>58</v>
      </c>
      <c r="AI153" s="4">
        <v>351</v>
      </c>
      <c r="AJ153" t="s">
        <v>442</v>
      </c>
      <c r="AK153" t="s">
        <v>56</v>
      </c>
      <c r="AL153" t="s">
        <v>441</v>
      </c>
      <c r="AM153">
        <v>8</v>
      </c>
      <c r="AN153">
        <v>0</v>
      </c>
      <c r="AO153">
        <v>9</v>
      </c>
      <c r="AP153">
        <v>0</v>
      </c>
      <c r="AQ153" s="5">
        <v>62</v>
      </c>
      <c r="AR153">
        <v>16</v>
      </c>
      <c r="AS153">
        <v>0</v>
      </c>
      <c r="AT153">
        <v>17</v>
      </c>
      <c r="AU153">
        <v>0</v>
      </c>
      <c r="AV153" s="5">
        <v>74</v>
      </c>
      <c r="AW153" t="s">
        <v>56</v>
      </c>
      <c r="AX153" s="6">
        <v>753</v>
      </c>
      <c r="AY153" t="s">
        <v>442</v>
      </c>
      <c r="AZ153" t="s">
        <v>56</v>
      </c>
    </row>
    <row r="154" spans="1:52" hidden="1" x14ac:dyDescent="0.45">
      <c r="A154">
        <v>502808.38358979701</v>
      </c>
      <c r="B154">
        <v>6939648.3082180005</v>
      </c>
      <c r="C154">
        <v>153</v>
      </c>
      <c r="D154" t="s">
        <v>70</v>
      </c>
      <c r="E154" t="s">
        <v>71</v>
      </c>
      <c r="F154" t="s">
        <v>443</v>
      </c>
      <c r="G154" t="s">
        <v>442</v>
      </c>
      <c r="H154" s="3">
        <v>1134</v>
      </c>
      <c r="I154">
        <v>2</v>
      </c>
      <c r="J154" t="s">
        <v>56</v>
      </c>
      <c r="K154">
        <v>43.2</v>
      </c>
      <c r="L154">
        <v>51.1</v>
      </c>
      <c r="M154">
        <v>1</v>
      </c>
      <c r="N154" t="s">
        <v>56</v>
      </c>
      <c r="O154" t="s">
        <v>442</v>
      </c>
      <c r="P154">
        <v>80.400000000000006</v>
      </c>
      <c r="Q154">
        <v>0.9</v>
      </c>
      <c r="R154">
        <v>18</v>
      </c>
      <c r="S154">
        <v>0.1</v>
      </c>
      <c r="T154">
        <v>0</v>
      </c>
      <c r="U154">
        <v>0</v>
      </c>
      <c r="V154">
        <v>0.5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0.1</v>
      </c>
      <c r="AC154" t="s">
        <v>442</v>
      </c>
      <c r="AD154">
        <v>50</v>
      </c>
      <c r="AE154" t="s">
        <v>442</v>
      </c>
      <c r="AF154" s="4" t="s">
        <v>80</v>
      </c>
      <c r="AG154" s="4">
        <v>571</v>
      </c>
      <c r="AH154" s="4" t="s">
        <v>81</v>
      </c>
      <c r="AI154" s="4">
        <v>563</v>
      </c>
      <c r="AJ154" t="s">
        <v>442</v>
      </c>
      <c r="AK154" t="s">
        <v>56</v>
      </c>
      <c r="AL154" t="s">
        <v>443</v>
      </c>
      <c r="AM154">
        <v>8</v>
      </c>
      <c r="AN154">
        <v>0</v>
      </c>
      <c r="AO154">
        <v>9</v>
      </c>
      <c r="AP154">
        <v>0</v>
      </c>
      <c r="AQ154" s="5">
        <v>101</v>
      </c>
      <c r="AR154">
        <v>17</v>
      </c>
      <c r="AS154">
        <v>0</v>
      </c>
      <c r="AT154">
        <v>18</v>
      </c>
      <c r="AU154">
        <v>0</v>
      </c>
      <c r="AV154" s="5">
        <v>105</v>
      </c>
      <c r="AW154" t="s">
        <v>56</v>
      </c>
      <c r="AX154" s="6">
        <v>1201</v>
      </c>
      <c r="AY154" t="s">
        <v>442</v>
      </c>
      <c r="AZ154" t="s">
        <v>56</v>
      </c>
    </row>
    <row r="155" spans="1:52" hidden="1" x14ac:dyDescent="0.45">
      <c r="A155">
        <v>502874.35452436801</v>
      </c>
      <c r="B155">
        <v>6940033.1069905004</v>
      </c>
      <c r="C155">
        <v>154</v>
      </c>
      <c r="D155" t="s">
        <v>70</v>
      </c>
      <c r="E155" t="s">
        <v>71</v>
      </c>
      <c r="F155" t="s">
        <v>444</v>
      </c>
      <c r="G155" t="s">
        <v>442</v>
      </c>
      <c r="H155" s="3">
        <v>3783</v>
      </c>
      <c r="I155">
        <v>2</v>
      </c>
      <c r="J155" t="s">
        <v>56</v>
      </c>
      <c r="K155">
        <v>35.200000000000003</v>
      </c>
      <c r="L155">
        <v>40.299999999999997</v>
      </c>
      <c r="M155">
        <v>1</v>
      </c>
      <c r="N155" t="s">
        <v>56</v>
      </c>
      <c r="O155" t="s">
        <v>442</v>
      </c>
      <c r="P155">
        <v>90.5</v>
      </c>
      <c r="Q155">
        <v>0.8</v>
      </c>
      <c r="R155">
        <v>8.3000000000000007</v>
      </c>
      <c r="S155">
        <v>0.1</v>
      </c>
      <c r="T155">
        <v>0</v>
      </c>
      <c r="U155">
        <v>0</v>
      </c>
      <c r="V155">
        <v>0.2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0.1</v>
      </c>
      <c r="AC155" t="s">
        <v>442</v>
      </c>
      <c r="AD155">
        <v>50</v>
      </c>
      <c r="AE155" t="s">
        <v>442</v>
      </c>
      <c r="AF155" s="4" t="s">
        <v>80</v>
      </c>
      <c r="AG155" s="4">
        <v>1945</v>
      </c>
      <c r="AH155" s="4" t="s">
        <v>81</v>
      </c>
      <c r="AI155" s="4">
        <v>1838</v>
      </c>
      <c r="AJ155" t="s">
        <v>442</v>
      </c>
      <c r="AK155" t="s">
        <v>56</v>
      </c>
      <c r="AL155" t="s">
        <v>444</v>
      </c>
      <c r="AM155">
        <v>8</v>
      </c>
      <c r="AN155">
        <v>0</v>
      </c>
      <c r="AO155">
        <v>9</v>
      </c>
      <c r="AP155">
        <v>0</v>
      </c>
      <c r="AQ155" s="5">
        <v>351</v>
      </c>
      <c r="AR155">
        <v>16</v>
      </c>
      <c r="AS155">
        <v>0</v>
      </c>
      <c r="AT155">
        <v>17</v>
      </c>
      <c r="AU155">
        <v>0</v>
      </c>
      <c r="AV155" s="5">
        <v>396</v>
      </c>
      <c r="AW155" t="s">
        <v>56</v>
      </c>
      <c r="AX155" s="6">
        <v>4134</v>
      </c>
      <c r="AY155" t="s">
        <v>442</v>
      </c>
      <c r="AZ155" t="s">
        <v>56</v>
      </c>
    </row>
    <row r="156" spans="1:52" s="3" customFormat="1" hidden="1" x14ac:dyDescent="0.45">
      <c r="A156" s="3">
        <v>513369.35159233899</v>
      </c>
      <c r="B156" s="3">
        <v>6941558.71633026</v>
      </c>
      <c r="C156" s="3">
        <v>155</v>
      </c>
      <c r="D156" s="3" t="s">
        <v>445</v>
      </c>
      <c r="E156" s="3" t="s">
        <v>415</v>
      </c>
      <c r="F156" s="3" t="s">
        <v>446</v>
      </c>
      <c r="G156" s="3" t="s">
        <v>447</v>
      </c>
      <c r="H156" s="3">
        <v>2814</v>
      </c>
      <c r="I156" s="3">
        <v>2</v>
      </c>
      <c r="J156" s="3" t="s">
        <v>56</v>
      </c>
      <c r="K156" s="3">
        <v>55.9</v>
      </c>
      <c r="L156" s="3">
        <v>62.3</v>
      </c>
      <c r="M156" s="3">
        <v>1</v>
      </c>
      <c r="N156" s="3" t="s">
        <v>56</v>
      </c>
      <c r="O156" s="3" t="s">
        <v>447</v>
      </c>
      <c r="P156" s="3">
        <v>81.5</v>
      </c>
      <c r="Q156" s="3">
        <v>0.8</v>
      </c>
      <c r="R156" s="3">
        <v>15.9</v>
      </c>
      <c r="S156" s="3">
        <v>0.5</v>
      </c>
      <c r="T156" s="3">
        <v>0.6</v>
      </c>
      <c r="U156" s="3">
        <v>0</v>
      </c>
      <c r="V156" s="3">
        <v>0.4</v>
      </c>
      <c r="W156" s="3">
        <v>0</v>
      </c>
      <c r="X156" s="3">
        <v>0.1</v>
      </c>
      <c r="Y156" s="3">
        <v>0</v>
      </c>
      <c r="Z156" s="3">
        <v>0</v>
      </c>
      <c r="AA156" s="3">
        <v>0</v>
      </c>
      <c r="AB156" s="3">
        <v>0.2</v>
      </c>
      <c r="AC156" s="3" t="s">
        <v>447</v>
      </c>
      <c r="AD156" s="3">
        <v>60</v>
      </c>
      <c r="AE156" s="3" t="s">
        <v>447</v>
      </c>
      <c r="AF156" s="4" t="s">
        <v>80</v>
      </c>
      <c r="AG156" s="4">
        <v>1582</v>
      </c>
      <c r="AH156" s="4" t="s">
        <v>81</v>
      </c>
      <c r="AI156" s="4">
        <v>1232</v>
      </c>
      <c r="AJ156" s="3" t="s">
        <v>447</v>
      </c>
      <c r="AK156" s="3" t="s">
        <v>56</v>
      </c>
      <c r="AL156" s="3" t="s">
        <v>446</v>
      </c>
      <c r="AM156" s="3">
        <v>8</v>
      </c>
      <c r="AN156" s="3">
        <v>0</v>
      </c>
      <c r="AO156" s="3">
        <v>9</v>
      </c>
      <c r="AP156" s="3">
        <v>0</v>
      </c>
      <c r="AQ156" s="5">
        <v>273</v>
      </c>
      <c r="AR156" s="3">
        <v>15</v>
      </c>
      <c r="AS156" s="3">
        <v>0</v>
      </c>
      <c r="AT156" s="3">
        <v>16</v>
      </c>
      <c r="AU156" s="3">
        <v>0</v>
      </c>
      <c r="AV156" s="5">
        <v>282</v>
      </c>
      <c r="AW156" s="3" t="s">
        <v>56</v>
      </c>
      <c r="AX156" s="6">
        <v>3094</v>
      </c>
      <c r="AY156" s="3" t="s">
        <v>447</v>
      </c>
      <c r="AZ156" s="3" t="s">
        <v>56</v>
      </c>
    </row>
    <row r="157" spans="1:52" hidden="1" x14ac:dyDescent="0.45">
      <c r="A157">
        <v>512103.65251236298</v>
      </c>
      <c r="B157">
        <v>6938714.1380909802</v>
      </c>
      <c r="C157">
        <v>156</v>
      </c>
      <c r="D157" t="s">
        <v>448</v>
      </c>
      <c r="E157" t="s">
        <v>112</v>
      </c>
      <c r="F157" t="s">
        <v>449</v>
      </c>
      <c r="G157" t="s">
        <v>450</v>
      </c>
      <c r="H157" s="3">
        <v>817</v>
      </c>
      <c r="I157">
        <v>2</v>
      </c>
      <c r="J157" t="s">
        <v>56</v>
      </c>
      <c r="K157">
        <v>49.6</v>
      </c>
      <c r="L157">
        <v>59.4</v>
      </c>
      <c r="M157">
        <v>1</v>
      </c>
      <c r="N157" t="s">
        <v>56</v>
      </c>
      <c r="O157" t="s">
        <v>450</v>
      </c>
      <c r="P157">
        <v>86.2</v>
      </c>
      <c r="Q157">
        <v>0.8</v>
      </c>
      <c r="R157">
        <v>12.1</v>
      </c>
      <c r="S157">
        <v>0.1</v>
      </c>
      <c r="T157">
        <v>0.1</v>
      </c>
      <c r="U157">
        <v>0</v>
      </c>
      <c r="V157">
        <v>0.5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0.2</v>
      </c>
      <c r="AC157" t="s">
        <v>450</v>
      </c>
      <c r="AD157">
        <v>50</v>
      </c>
      <c r="AE157" t="s">
        <v>450</v>
      </c>
      <c r="AF157" s="4" t="s">
        <v>80</v>
      </c>
      <c r="AG157" s="4">
        <v>414</v>
      </c>
      <c r="AH157" s="4" t="s">
        <v>81</v>
      </c>
      <c r="AI157" s="4">
        <v>403</v>
      </c>
      <c r="AJ157" t="s">
        <v>450</v>
      </c>
      <c r="AK157" t="s">
        <v>56</v>
      </c>
      <c r="AL157" t="s">
        <v>449</v>
      </c>
      <c r="AM157">
        <v>8</v>
      </c>
      <c r="AN157">
        <v>0</v>
      </c>
      <c r="AO157">
        <v>9</v>
      </c>
      <c r="AP157">
        <v>0</v>
      </c>
      <c r="AQ157" s="5">
        <v>57</v>
      </c>
      <c r="AR157">
        <v>17</v>
      </c>
      <c r="AS157">
        <v>0</v>
      </c>
      <c r="AT157">
        <v>18</v>
      </c>
      <c r="AU157">
        <v>0</v>
      </c>
      <c r="AV157" s="5">
        <v>85</v>
      </c>
      <c r="AW157" t="s">
        <v>56</v>
      </c>
      <c r="AX157" s="6">
        <v>850</v>
      </c>
      <c r="AY157" t="s">
        <v>450</v>
      </c>
      <c r="AZ157" t="s">
        <v>56</v>
      </c>
    </row>
    <row r="158" spans="1:52" hidden="1" x14ac:dyDescent="0.45">
      <c r="A158">
        <v>510050.132817654</v>
      </c>
      <c r="B158">
        <v>6938176.7789357398</v>
      </c>
      <c r="C158">
        <v>157</v>
      </c>
      <c r="D158" t="s">
        <v>451</v>
      </c>
      <c r="E158" t="s">
        <v>452</v>
      </c>
      <c r="F158" t="s">
        <v>453</v>
      </c>
      <c r="G158" t="s">
        <v>454</v>
      </c>
      <c r="H158" s="3">
        <v>932</v>
      </c>
      <c r="I158">
        <v>2</v>
      </c>
      <c r="J158" t="s">
        <v>56</v>
      </c>
      <c r="K158">
        <v>44.5</v>
      </c>
      <c r="L158">
        <v>54.4</v>
      </c>
      <c r="M158">
        <v>1</v>
      </c>
      <c r="N158" t="s">
        <v>56</v>
      </c>
      <c r="O158" t="s">
        <v>454</v>
      </c>
      <c r="P158">
        <v>85.7</v>
      </c>
      <c r="Q158">
        <v>1</v>
      </c>
      <c r="R158">
        <v>12.2</v>
      </c>
      <c r="S158">
        <v>0.2</v>
      </c>
      <c r="T158">
        <v>0</v>
      </c>
      <c r="U158">
        <v>0</v>
      </c>
      <c r="V158">
        <v>0.6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0.3</v>
      </c>
      <c r="AC158" t="s">
        <v>454</v>
      </c>
      <c r="AD158">
        <v>50</v>
      </c>
      <c r="AE158" t="s">
        <v>454</v>
      </c>
      <c r="AF158" s="4" t="s">
        <v>80</v>
      </c>
      <c r="AG158" s="4">
        <v>467</v>
      </c>
      <c r="AH158" s="4" t="s">
        <v>81</v>
      </c>
      <c r="AI158" s="4">
        <v>465</v>
      </c>
      <c r="AJ158" t="s">
        <v>454</v>
      </c>
      <c r="AK158" t="s">
        <v>56</v>
      </c>
      <c r="AL158" t="s">
        <v>453</v>
      </c>
      <c r="AM158">
        <v>8</v>
      </c>
      <c r="AN158">
        <v>0</v>
      </c>
      <c r="AO158">
        <v>9</v>
      </c>
      <c r="AP158">
        <v>0</v>
      </c>
      <c r="AQ158" s="5">
        <v>91</v>
      </c>
      <c r="AR158">
        <v>17</v>
      </c>
      <c r="AS158">
        <v>0</v>
      </c>
      <c r="AT158">
        <v>18</v>
      </c>
      <c r="AU158">
        <v>0</v>
      </c>
      <c r="AV158" s="5">
        <v>102</v>
      </c>
      <c r="AW158" t="s">
        <v>56</v>
      </c>
      <c r="AX158" s="6">
        <v>968</v>
      </c>
      <c r="AY158" t="s">
        <v>454</v>
      </c>
      <c r="AZ158" t="s">
        <v>56</v>
      </c>
    </row>
    <row r="159" spans="1:52" hidden="1" x14ac:dyDescent="0.45">
      <c r="A159">
        <v>512799.58803209802</v>
      </c>
      <c r="B159">
        <v>6947642.0058971504</v>
      </c>
      <c r="C159">
        <v>158</v>
      </c>
      <c r="D159" t="s">
        <v>455</v>
      </c>
      <c r="E159" t="s">
        <v>109</v>
      </c>
      <c r="F159" t="s">
        <v>456</v>
      </c>
      <c r="G159" t="s">
        <v>457</v>
      </c>
      <c r="H159" s="3">
        <v>258</v>
      </c>
      <c r="I159">
        <v>2</v>
      </c>
      <c r="J159" t="s">
        <v>56</v>
      </c>
      <c r="K159">
        <v>42.8</v>
      </c>
      <c r="L159">
        <v>54</v>
      </c>
      <c r="M159">
        <v>1</v>
      </c>
      <c r="N159" t="s">
        <v>56</v>
      </c>
      <c r="O159" t="s">
        <v>457</v>
      </c>
      <c r="P159">
        <v>86.4</v>
      </c>
      <c r="Q159">
        <v>1.3</v>
      </c>
      <c r="R159">
        <v>11.9</v>
      </c>
      <c r="S159">
        <v>0.3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0.1</v>
      </c>
      <c r="AC159" t="s">
        <v>457</v>
      </c>
      <c r="AD159">
        <v>50</v>
      </c>
      <c r="AE159" t="s">
        <v>457</v>
      </c>
      <c r="AF159" s="4" t="s">
        <v>80</v>
      </c>
      <c r="AG159" s="4">
        <v>125</v>
      </c>
      <c r="AH159" s="4" t="s">
        <v>81</v>
      </c>
      <c r="AI159" s="4">
        <v>133</v>
      </c>
      <c r="AJ159" t="s">
        <v>457</v>
      </c>
      <c r="AK159" t="s">
        <v>56</v>
      </c>
      <c r="AL159" t="s">
        <v>456</v>
      </c>
      <c r="AM159">
        <v>8</v>
      </c>
      <c r="AN159">
        <v>0</v>
      </c>
      <c r="AO159">
        <v>9</v>
      </c>
      <c r="AP159">
        <v>0</v>
      </c>
      <c r="AQ159" s="5">
        <v>28</v>
      </c>
      <c r="AR159">
        <v>15</v>
      </c>
      <c r="AS159">
        <v>0</v>
      </c>
      <c r="AT159">
        <v>16</v>
      </c>
      <c r="AU159">
        <v>0</v>
      </c>
      <c r="AV159" s="5">
        <v>23</v>
      </c>
      <c r="AW159" t="s">
        <v>56</v>
      </c>
      <c r="AX159" s="6">
        <v>261</v>
      </c>
      <c r="AY159" t="s">
        <v>457</v>
      </c>
      <c r="AZ159" t="s">
        <v>56</v>
      </c>
    </row>
    <row r="160" spans="1:52" hidden="1" x14ac:dyDescent="0.45">
      <c r="A160">
        <v>508493.27600765199</v>
      </c>
      <c r="B160">
        <v>6939186.3054929003</v>
      </c>
      <c r="C160">
        <v>159</v>
      </c>
      <c r="D160" t="s">
        <v>458</v>
      </c>
      <c r="E160" t="s">
        <v>452</v>
      </c>
      <c r="F160" t="s">
        <v>459</v>
      </c>
      <c r="G160" t="s">
        <v>460</v>
      </c>
      <c r="H160" s="3">
        <v>2433</v>
      </c>
      <c r="I160">
        <v>2</v>
      </c>
      <c r="J160" t="s">
        <v>56</v>
      </c>
      <c r="K160">
        <v>57.1</v>
      </c>
      <c r="L160">
        <v>63.7</v>
      </c>
      <c r="M160">
        <v>1</v>
      </c>
      <c r="N160" t="s">
        <v>56</v>
      </c>
      <c r="O160" t="s">
        <v>460</v>
      </c>
      <c r="P160">
        <v>90.1</v>
      </c>
      <c r="Q160">
        <v>0.8</v>
      </c>
      <c r="R160">
        <v>8.1</v>
      </c>
      <c r="S160">
        <v>0.3</v>
      </c>
      <c r="T160">
        <v>0.1</v>
      </c>
      <c r="U160">
        <v>0</v>
      </c>
      <c r="V160">
        <v>0.2</v>
      </c>
      <c r="W160">
        <v>0</v>
      </c>
      <c r="X160">
        <v>0.1</v>
      </c>
      <c r="Y160">
        <v>0</v>
      </c>
      <c r="Z160">
        <v>0</v>
      </c>
      <c r="AA160">
        <v>0</v>
      </c>
      <c r="AB160">
        <v>0.3</v>
      </c>
      <c r="AC160" t="s">
        <v>460</v>
      </c>
      <c r="AD160">
        <v>60</v>
      </c>
      <c r="AE160" t="s">
        <v>460</v>
      </c>
      <c r="AF160" s="4" t="s">
        <v>80</v>
      </c>
      <c r="AG160" s="4">
        <v>1361</v>
      </c>
      <c r="AH160" s="4" t="s">
        <v>81</v>
      </c>
      <c r="AI160" s="4">
        <v>1072</v>
      </c>
      <c r="AJ160" t="s">
        <v>460</v>
      </c>
      <c r="AK160" t="s">
        <v>56</v>
      </c>
      <c r="AL160" t="s">
        <v>459</v>
      </c>
      <c r="AM160">
        <v>8</v>
      </c>
      <c r="AN160">
        <v>0</v>
      </c>
      <c r="AO160">
        <v>9</v>
      </c>
      <c r="AP160">
        <v>0</v>
      </c>
      <c r="AQ160" s="5">
        <v>379</v>
      </c>
      <c r="AR160">
        <v>16</v>
      </c>
      <c r="AS160">
        <v>0</v>
      </c>
      <c r="AT160">
        <v>17</v>
      </c>
      <c r="AU160">
        <v>0</v>
      </c>
      <c r="AV160" s="5">
        <v>359</v>
      </c>
      <c r="AW160" t="s">
        <v>56</v>
      </c>
      <c r="AX160" s="6">
        <v>2697</v>
      </c>
      <c r="AY160" t="s">
        <v>460</v>
      </c>
      <c r="AZ160" t="s">
        <v>56</v>
      </c>
    </row>
    <row r="161" spans="1:52" hidden="1" x14ac:dyDescent="0.45">
      <c r="A161">
        <v>502141.44282510498</v>
      </c>
      <c r="B161">
        <v>6919821.9457374699</v>
      </c>
      <c r="C161">
        <v>160</v>
      </c>
      <c r="D161" t="s">
        <v>461</v>
      </c>
      <c r="E161" t="s">
        <v>331</v>
      </c>
      <c r="F161" t="s">
        <v>462</v>
      </c>
      <c r="G161" t="s">
        <v>463</v>
      </c>
      <c r="H161" s="3">
        <v>5687</v>
      </c>
      <c r="I161">
        <v>2</v>
      </c>
      <c r="J161" t="s">
        <v>56</v>
      </c>
      <c r="K161">
        <v>69.7</v>
      </c>
      <c r="L161">
        <v>77.8</v>
      </c>
      <c r="M161">
        <v>1</v>
      </c>
      <c r="N161" t="s">
        <v>56</v>
      </c>
      <c r="O161" t="s">
        <v>463</v>
      </c>
      <c r="P161">
        <v>74.099999999999994</v>
      </c>
      <c r="Q161">
        <v>1.3</v>
      </c>
      <c r="R161">
        <v>22.5</v>
      </c>
      <c r="S161">
        <v>0.7</v>
      </c>
      <c r="T161">
        <v>0.1</v>
      </c>
      <c r="U161">
        <v>0</v>
      </c>
      <c r="V161">
        <v>0.8</v>
      </c>
      <c r="W161">
        <v>0.1</v>
      </c>
      <c r="X161">
        <v>0.3</v>
      </c>
      <c r="Y161">
        <v>0.1</v>
      </c>
      <c r="Z161">
        <v>0</v>
      </c>
      <c r="AA161">
        <v>0</v>
      </c>
      <c r="AB161">
        <v>0</v>
      </c>
      <c r="AC161" t="s">
        <v>463</v>
      </c>
      <c r="AD161">
        <v>80</v>
      </c>
      <c r="AE161" t="s">
        <v>463</v>
      </c>
      <c r="AF161" s="4" t="s">
        <v>80</v>
      </c>
      <c r="AG161" s="4">
        <v>2884</v>
      </c>
      <c r="AH161" s="4" t="s">
        <v>81</v>
      </c>
      <c r="AI161" s="4">
        <v>2803</v>
      </c>
      <c r="AJ161" t="s">
        <v>463</v>
      </c>
      <c r="AK161" t="s">
        <v>56</v>
      </c>
      <c r="AL161" t="s">
        <v>462</v>
      </c>
      <c r="AM161">
        <v>8</v>
      </c>
      <c r="AN161">
        <v>0</v>
      </c>
      <c r="AO161">
        <v>9</v>
      </c>
      <c r="AP161">
        <v>0</v>
      </c>
      <c r="AQ161" s="5">
        <v>610</v>
      </c>
      <c r="AR161">
        <v>15</v>
      </c>
      <c r="AS161">
        <v>0</v>
      </c>
      <c r="AT161">
        <v>16</v>
      </c>
      <c r="AU161">
        <v>0</v>
      </c>
      <c r="AV161" s="5">
        <v>614</v>
      </c>
      <c r="AW161" t="s">
        <v>56</v>
      </c>
      <c r="AX161" s="6">
        <v>5938</v>
      </c>
      <c r="AY161" t="s">
        <v>463</v>
      </c>
      <c r="AZ161" t="s">
        <v>56</v>
      </c>
    </row>
    <row r="162" spans="1:52" hidden="1" x14ac:dyDescent="0.45">
      <c r="A162">
        <v>513341.55752436398</v>
      </c>
      <c r="B162">
        <v>6941758.9078407902</v>
      </c>
      <c r="C162">
        <v>161</v>
      </c>
      <c r="D162" t="s">
        <v>464</v>
      </c>
      <c r="E162" t="s">
        <v>465</v>
      </c>
      <c r="F162" t="s">
        <v>466</v>
      </c>
      <c r="G162" t="s">
        <v>463</v>
      </c>
      <c r="H162" s="3">
        <v>310</v>
      </c>
      <c r="I162">
        <v>2</v>
      </c>
      <c r="J162" t="s">
        <v>56</v>
      </c>
      <c r="K162">
        <v>42.6</v>
      </c>
      <c r="L162">
        <v>51.1</v>
      </c>
      <c r="M162">
        <v>1</v>
      </c>
      <c r="N162" t="s">
        <v>56</v>
      </c>
      <c r="O162" t="s">
        <v>463</v>
      </c>
      <c r="P162">
        <v>82.7</v>
      </c>
      <c r="Q162">
        <v>0.8</v>
      </c>
      <c r="R162">
        <v>15.3</v>
      </c>
      <c r="S162">
        <v>0.4</v>
      </c>
      <c r="T162">
        <v>0.2</v>
      </c>
      <c r="U162">
        <v>0</v>
      </c>
      <c r="V162">
        <v>0.5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0.1</v>
      </c>
      <c r="AC162" t="s">
        <v>463</v>
      </c>
      <c r="AD162">
        <v>50</v>
      </c>
      <c r="AE162" t="s">
        <v>463</v>
      </c>
      <c r="AF162" s="4" t="s">
        <v>57</v>
      </c>
      <c r="AG162" s="4">
        <v>148</v>
      </c>
      <c r="AH162" s="4" t="s">
        <v>58</v>
      </c>
      <c r="AI162" s="4">
        <v>162</v>
      </c>
      <c r="AJ162" t="s">
        <v>463</v>
      </c>
      <c r="AK162" t="s">
        <v>56</v>
      </c>
      <c r="AL162" t="s">
        <v>466</v>
      </c>
      <c r="AM162">
        <v>10</v>
      </c>
      <c r="AN162">
        <v>0</v>
      </c>
      <c r="AO162">
        <v>11</v>
      </c>
      <c r="AP162">
        <v>0</v>
      </c>
      <c r="AQ162" s="5">
        <v>24</v>
      </c>
      <c r="AR162">
        <v>13</v>
      </c>
      <c r="AS162">
        <v>0</v>
      </c>
      <c r="AT162">
        <v>14</v>
      </c>
      <c r="AU162">
        <v>0</v>
      </c>
      <c r="AV162" s="5">
        <v>41</v>
      </c>
      <c r="AW162" t="s">
        <v>56</v>
      </c>
      <c r="AX162" s="6">
        <v>311</v>
      </c>
      <c r="AY162" t="s">
        <v>463</v>
      </c>
      <c r="AZ162" t="s">
        <v>56</v>
      </c>
    </row>
    <row r="163" spans="1:52" hidden="1" x14ac:dyDescent="0.45">
      <c r="A163">
        <v>508334.62351426802</v>
      </c>
      <c r="B163">
        <v>6939367.9671636</v>
      </c>
      <c r="C163">
        <v>162</v>
      </c>
      <c r="D163" t="s">
        <v>467</v>
      </c>
      <c r="E163" t="s">
        <v>468</v>
      </c>
      <c r="F163" t="s">
        <v>469</v>
      </c>
      <c r="G163" t="s">
        <v>470</v>
      </c>
      <c r="H163" s="3">
        <v>1596</v>
      </c>
      <c r="I163">
        <v>2</v>
      </c>
      <c r="J163" t="s">
        <v>56</v>
      </c>
      <c r="K163">
        <v>48.1</v>
      </c>
      <c r="L163">
        <v>55.4</v>
      </c>
      <c r="M163">
        <v>1</v>
      </c>
      <c r="N163" t="s">
        <v>56</v>
      </c>
      <c r="O163" t="s">
        <v>470</v>
      </c>
      <c r="P163">
        <v>84.4</v>
      </c>
      <c r="Q163">
        <v>1.2</v>
      </c>
      <c r="R163">
        <v>13.1</v>
      </c>
      <c r="S163">
        <v>0.9</v>
      </c>
      <c r="T163">
        <v>0</v>
      </c>
      <c r="U163">
        <v>0</v>
      </c>
      <c r="V163">
        <v>0.2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0.2</v>
      </c>
      <c r="AC163" t="s">
        <v>470</v>
      </c>
      <c r="AD163">
        <v>50</v>
      </c>
      <c r="AE163" t="s">
        <v>470</v>
      </c>
      <c r="AF163" s="4" t="s">
        <v>57</v>
      </c>
      <c r="AG163" s="4">
        <v>41</v>
      </c>
      <c r="AH163" s="4" t="s">
        <v>58</v>
      </c>
      <c r="AI163" s="4">
        <v>1555</v>
      </c>
      <c r="AJ163" t="s">
        <v>470</v>
      </c>
      <c r="AK163" t="s">
        <v>56</v>
      </c>
      <c r="AL163" t="s">
        <v>469</v>
      </c>
      <c r="AM163">
        <v>8</v>
      </c>
      <c r="AN163">
        <v>0</v>
      </c>
      <c r="AO163">
        <v>9</v>
      </c>
      <c r="AP163">
        <v>0</v>
      </c>
      <c r="AQ163" s="5">
        <v>140</v>
      </c>
      <c r="AR163">
        <v>17</v>
      </c>
      <c r="AS163">
        <v>0</v>
      </c>
      <c r="AT163">
        <v>18</v>
      </c>
      <c r="AU163">
        <v>0</v>
      </c>
      <c r="AV163" s="5">
        <v>251</v>
      </c>
      <c r="AW163" t="s">
        <v>56</v>
      </c>
      <c r="AX163" s="6">
        <v>1866</v>
      </c>
      <c r="AY163" t="s">
        <v>470</v>
      </c>
      <c r="AZ163" t="s">
        <v>56</v>
      </c>
    </row>
    <row r="164" spans="1:52" hidden="1" x14ac:dyDescent="0.45">
      <c r="A164">
        <v>514771.26763753901</v>
      </c>
      <c r="B164">
        <v>6942505.6185465502</v>
      </c>
      <c r="C164">
        <v>163</v>
      </c>
      <c r="D164" t="s">
        <v>471</v>
      </c>
      <c r="E164" t="s">
        <v>472</v>
      </c>
      <c r="F164" t="s">
        <v>473</v>
      </c>
      <c r="G164" t="s">
        <v>470</v>
      </c>
      <c r="H164" s="3">
        <v>447</v>
      </c>
      <c r="I164">
        <v>2</v>
      </c>
      <c r="J164" t="s">
        <v>56</v>
      </c>
      <c r="K164">
        <v>43</v>
      </c>
      <c r="L164">
        <v>51.5</v>
      </c>
      <c r="M164">
        <v>1</v>
      </c>
      <c r="N164" t="s">
        <v>56</v>
      </c>
      <c r="O164" t="s">
        <v>470</v>
      </c>
      <c r="P164">
        <v>84</v>
      </c>
      <c r="Q164">
        <v>0.6</v>
      </c>
      <c r="R164">
        <v>15</v>
      </c>
      <c r="S164">
        <v>0.2</v>
      </c>
      <c r="T164">
        <v>0</v>
      </c>
      <c r="U164">
        <v>0</v>
      </c>
      <c r="V164">
        <v>0.1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0.1</v>
      </c>
      <c r="AC164" t="s">
        <v>470</v>
      </c>
      <c r="AD164">
        <v>50</v>
      </c>
      <c r="AE164" t="s">
        <v>470</v>
      </c>
      <c r="AF164" s="4" t="s">
        <v>57</v>
      </c>
      <c r="AG164" s="4">
        <v>176</v>
      </c>
      <c r="AH164" s="4" t="s">
        <v>58</v>
      </c>
      <c r="AI164" s="4">
        <v>271</v>
      </c>
      <c r="AJ164" t="s">
        <v>470</v>
      </c>
      <c r="AK164" t="s">
        <v>56</v>
      </c>
      <c r="AL164" t="s">
        <v>473</v>
      </c>
      <c r="AM164">
        <v>7</v>
      </c>
      <c r="AN164">
        <v>0</v>
      </c>
      <c r="AO164">
        <v>8</v>
      </c>
      <c r="AP164">
        <v>0</v>
      </c>
      <c r="AQ164" s="5">
        <v>49</v>
      </c>
      <c r="AR164">
        <v>17</v>
      </c>
      <c r="AS164">
        <v>0</v>
      </c>
      <c r="AT164">
        <v>18</v>
      </c>
      <c r="AU164">
        <v>0</v>
      </c>
      <c r="AV164" s="5">
        <v>55</v>
      </c>
      <c r="AW164" t="s">
        <v>56</v>
      </c>
      <c r="AX164" s="6">
        <v>487</v>
      </c>
      <c r="AY164" t="s">
        <v>470</v>
      </c>
      <c r="AZ164" t="s">
        <v>56</v>
      </c>
    </row>
    <row r="165" spans="1:52" hidden="1" x14ac:dyDescent="0.45">
      <c r="A165">
        <v>508069.92856029997</v>
      </c>
      <c r="B165">
        <v>6939223.7015808504</v>
      </c>
      <c r="C165">
        <v>164</v>
      </c>
      <c r="D165" t="s">
        <v>474</v>
      </c>
      <c r="E165" t="s">
        <v>468</v>
      </c>
      <c r="F165" t="s">
        <v>475</v>
      </c>
      <c r="G165" t="s">
        <v>470</v>
      </c>
      <c r="H165" s="3">
        <v>1919</v>
      </c>
      <c r="I165">
        <v>2</v>
      </c>
      <c r="J165" t="s">
        <v>56</v>
      </c>
      <c r="K165">
        <v>49.1</v>
      </c>
      <c r="L165">
        <v>56.5</v>
      </c>
      <c r="M165">
        <v>1</v>
      </c>
      <c r="N165" t="s">
        <v>56</v>
      </c>
      <c r="O165" t="s">
        <v>470</v>
      </c>
      <c r="P165">
        <v>86</v>
      </c>
      <c r="Q165">
        <v>1.2</v>
      </c>
      <c r="R165">
        <v>11.7</v>
      </c>
      <c r="S165">
        <v>0.8</v>
      </c>
      <c r="T165">
        <v>0</v>
      </c>
      <c r="U165">
        <v>0</v>
      </c>
      <c r="V165">
        <v>0.1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0.2</v>
      </c>
      <c r="AC165" t="s">
        <v>470</v>
      </c>
      <c r="AD165">
        <v>50</v>
      </c>
      <c r="AE165" t="s">
        <v>470</v>
      </c>
      <c r="AF165" s="4" t="s">
        <v>80</v>
      </c>
      <c r="AG165" s="4">
        <v>219</v>
      </c>
      <c r="AH165" s="4" t="s">
        <v>81</v>
      </c>
      <c r="AI165" s="4">
        <v>1700</v>
      </c>
      <c r="AJ165" t="s">
        <v>470</v>
      </c>
      <c r="AK165" t="s">
        <v>56</v>
      </c>
      <c r="AL165" t="s">
        <v>475</v>
      </c>
      <c r="AM165">
        <v>8</v>
      </c>
      <c r="AN165">
        <v>0</v>
      </c>
      <c r="AO165">
        <v>9</v>
      </c>
      <c r="AP165">
        <v>0</v>
      </c>
      <c r="AQ165" s="5">
        <v>159</v>
      </c>
      <c r="AR165">
        <v>17</v>
      </c>
      <c r="AS165">
        <v>0</v>
      </c>
      <c r="AT165">
        <v>18</v>
      </c>
      <c r="AU165">
        <v>0</v>
      </c>
      <c r="AV165" s="5">
        <v>280</v>
      </c>
      <c r="AW165" t="s">
        <v>56</v>
      </c>
      <c r="AX165" s="6">
        <v>2189</v>
      </c>
      <c r="AY165" t="s">
        <v>470</v>
      </c>
      <c r="AZ165" t="s">
        <v>56</v>
      </c>
    </row>
    <row r="166" spans="1:52" hidden="1" x14ac:dyDescent="0.45">
      <c r="A166">
        <v>518248.25345682498</v>
      </c>
      <c r="B166">
        <v>6934743.9802074302</v>
      </c>
      <c r="C166">
        <v>165</v>
      </c>
      <c r="D166" t="s">
        <v>476</v>
      </c>
      <c r="E166" t="s">
        <v>477</v>
      </c>
      <c r="F166" t="s">
        <v>478</v>
      </c>
      <c r="G166" t="s">
        <v>457</v>
      </c>
      <c r="H166" s="3">
        <v>618</v>
      </c>
      <c r="I166">
        <v>2</v>
      </c>
      <c r="J166" t="s">
        <v>56</v>
      </c>
      <c r="K166">
        <v>38.6</v>
      </c>
      <c r="L166">
        <v>48.2</v>
      </c>
      <c r="M166">
        <v>1</v>
      </c>
      <c r="N166" t="s">
        <v>56</v>
      </c>
      <c r="O166" t="s">
        <v>457</v>
      </c>
      <c r="P166">
        <v>60.1</v>
      </c>
      <c r="Q166">
        <v>0.9</v>
      </c>
      <c r="R166">
        <v>27.4</v>
      </c>
      <c r="S166">
        <v>2.6</v>
      </c>
      <c r="T166">
        <v>5.6</v>
      </c>
      <c r="U166">
        <v>0</v>
      </c>
      <c r="V166">
        <v>0.4</v>
      </c>
      <c r="W166">
        <v>0.4</v>
      </c>
      <c r="X166">
        <v>1.7</v>
      </c>
      <c r="Y166">
        <v>0.3</v>
      </c>
      <c r="Z166">
        <v>0</v>
      </c>
      <c r="AA166">
        <v>0</v>
      </c>
      <c r="AB166">
        <v>0.6</v>
      </c>
      <c r="AC166" t="s">
        <v>457</v>
      </c>
      <c r="AD166">
        <v>50</v>
      </c>
      <c r="AE166" t="s">
        <v>457</v>
      </c>
      <c r="AF166" s="4" t="s">
        <v>80</v>
      </c>
      <c r="AG166" s="4">
        <v>343</v>
      </c>
      <c r="AH166" s="4" t="s">
        <v>81</v>
      </c>
      <c r="AI166" s="4">
        <v>275</v>
      </c>
      <c r="AJ166" t="s">
        <v>457</v>
      </c>
      <c r="AK166" t="s">
        <v>56</v>
      </c>
      <c r="AL166" t="s">
        <v>478</v>
      </c>
      <c r="AM166">
        <v>9</v>
      </c>
      <c r="AN166">
        <v>0</v>
      </c>
      <c r="AO166">
        <v>10</v>
      </c>
      <c r="AP166">
        <v>0</v>
      </c>
      <c r="AQ166" s="5">
        <v>77</v>
      </c>
      <c r="AR166">
        <v>12</v>
      </c>
      <c r="AS166">
        <v>0</v>
      </c>
      <c r="AT166">
        <v>13</v>
      </c>
      <c r="AU166">
        <v>0</v>
      </c>
      <c r="AV166" s="5">
        <v>77</v>
      </c>
      <c r="AW166" t="s">
        <v>56</v>
      </c>
      <c r="AX166" s="6">
        <v>781</v>
      </c>
      <c r="AY166" t="s">
        <v>457</v>
      </c>
      <c r="AZ166" t="s">
        <v>56</v>
      </c>
    </row>
    <row r="167" spans="1:52" hidden="1" x14ac:dyDescent="0.45">
      <c r="A167">
        <v>518115.04085976502</v>
      </c>
      <c r="B167">
        <v>6934594.30634824</v>
      </c>
      <c r="C167">
        <v>166</v>
      </c>
      <c r="D167" t="s">
        <v>479</v>
      </c>
      <c r="E167" t="s">
        <v>63</v>
      </c>
      <c r="F167" t="s">
        <v>480</v>
      </c>
      <c r="G167" t="s">
        <v>457</v>
      </c>
      <c r="H167" s="3">
        <v>1178</v>
      </c>
      <c r="I167">
        <v>2</v>
      </c>
      <c r="J167" t="s">
        <v>56</v>
      </c>
      <c r="K167">
        <v>38.200000000000003</v>
      </c>
      <c r="L167">
        <v>45.4</v>
      </c>
      <c r="M167">
        <v>1</v>
      </c>
      <c r="N167" t="s">
        <v>56</v>
      </c>
      <c r="O167" t="s">
        <v>457</v>
      </c>
      <c r="P167">
        <v>70.2</v>
      </c>
      <c r="Q167">
        <v>2.9</v>
      </c>
      <c r="R167">
        <v>16.5</v>
      </c>
      <c r="S167">
        <v>3.1</v>
      </c>
      <c r="T167">
        <v>2.5</v>
      </c>
      <c r="U167">
        <v>0.1</v>
      </c>
      <c r="V167">
        <v>0.8</v>
      </c>
      <c r="W167">
        <v>0.5</v>
      </c>
      <c r="X167">
        <v>0.3</v>
      </c>
      <c r="Y167">
        <v>0.4</v>
      </c>
      <c r="Z167">
        <v>0.1</v>
      </c>
      <c r="AA167">
        <v>0.3</v>
      </c>
      <c r="AB167">
        <v>2.2999999999999998</v>
      </c>
      <c r="AC167" t="s">
        <v>457</v>
      </c>
      <c r="AD167">
        <v>50</v>
      </c>
      <c r="AE167" t="s">
        <v>457</v>
      </c>
      <c r="AF167" s="4" t="s">
        <v>80</v>
      </c>
      <c r="AG167" s="4">
        <v>622</v>
      </c>
      <c r="AH167" s="4" t="s">
        <v>81</v>
      </c>
      <c r="AI167" s="4">
        <v>556</v>
      </c>
      <c r="AJ167" t="s">
        <v>457</v>
      </c>
      <c r="AK167" t="s">
        <v>56</v>
      </c>
      <c r="AL167" t="s">
        <v>480</v>
      </c>
      <c r="AM167">
        <v>6</v>
      </c>
      <c r="AN167">
        <v>0</v>
      </c>
      <c r="AO167">
        <v>7</v>
      </c>
      <c r="AP167">
        <v>0</v>
      </c>
      <c r="AQ167" s="5">
        <v>122</v>
      </c>
      <c r="AR167">
        <v>13</v>
      </c>
      <c r="AS167">
        <v>0</v>
      </c>
      <c r="AT167">
        <v>14</v>
      </c>
      <c r="AU167">
        <v>0</v>
      </c>
      <c r="AV167" s="5">
        <v>146</v>
      </c>
      <c r="AW167" t="s">
        <v>56</v>
      </c>
      <c r="AX167" s="6">
        <v>1507</v>
      </c>
      <c r="AY167" t="s">
        <v>457</v>
      </c>
      <c r="AZ167" t="s">
        <v>56</v>
      </c>
    </row>
    <row r="168" spans="1:52" hidden="1" x14ac:dyDescent="0.45">
      <c r="A168">
        <v>509754.57900576002</v>
      </c>
      <c r="B168">
        <v>6928587.3653188804</v>
      </c>
      <c r="C168">
        <v>167</v>
      </c>
      <c r="D168" t="s">
        <v>481</v>
      </c>
      <c r="E168" t="s">
        <v>482</v>
      </c>
      <c r="F168" t="s">
        <v>483</v>
      </c>
      <c r="G168" t="s">
        <v>484</v>
      </c>
      <c r="H168" s="3">
        <v>6010</v>
      </c>
      <c r="I168">
        <v>2</v>
      </c>
      <c r="J168" t="s">
        <v>56</v>
      </c>
      <c r="K168">
        <v>74</v>
      </c>
      <c r="L168">
        <v>81</v>
      </c>
      <c r="M168">
        <v>1</v>
      </c>
      <c r="N168" t="s">
        <v>56</v>
      </c>
      <c r="O168" t="s">
        <v>484</v>
      </c>
      <c r="P168">
        <v>72.599999999999994</v>
      </c>
      <c r="Q168">
        <v>1.5</v>
      </c>
      <c r="R168">
        <v>22.7</v>
      </c>
      <c r="S168">
        <v>0.9</v>
      </c>
      <c r="T168">
        <v>0.3</v>
      </c>
      <c r="U168">
        <v>0</v>
      </c>
      <c r="V168">
        <v>1.1000000000000001</v>
      </c>
      <c r="W168">
        <v>0.1</v>
      </c>
      <c r="X168">
        <v>0.4</v>
      </c>
      <c r="Y168">
        <v>0.1</v>
      </c>
      <c r="Z168">
        <v>0</v>
      </c>
      <c r="AA168">
        <v>0</v>
      </c>
      <c r="AB168">
        <v>0.3</v>
      </c>
      <c r="AC168" t="s">
        <v>484</v>
      </c>
      <c r="AD168">
        <v>80</v>
      </c>
      <c r="AE168" t="s">
        <v>484</v>
      </c>
      <c r="AF168" s="4" t="s">
        <v>80</v>
      </c>
      <c r="AG168" s="4">
        <v>3049</v>
      </c>
      <c r="AH168" s="4" t="s">
        <v>81</v>
      </c>
      <c r="AI168" s="4">
        <v>2961</v>
      </c>
      <c r="AJ168" t="s">
        <v>484</v>
      </c>
      <c r="AK168" t="s">
        <v>56</v>
      </c>
      <c r="AL168" t="s">
        <v>483</v>
      </c>
      <c r="AM168">
        <v>8</v>
      </c>
      <c r="AN168">
        <v>0</v>
      </c>
      <c r="AO168">
        <v>9</v>
      </c>
      <c r="AP168">
        <v>0</v>
      </c>
      <c r="AQ168" s="5">
        <v>560</v>
      </c>
      <c r="AR168">
        <v>16</v>
      </c>
      <c r="AS168">
        <v>0</v>
      </c>
      <c r="AT168">
        <v>17</v>
      </c>
      <c r="AU168">
        <v>0</v>
      </c>
      <c r="AV168" s="5">
        <v>620</v>
      </c>
      <c r="AW168" t="s">
        <v>56</v>
      </c>
      <c r="AX168" s="6">
        <v>6634</v>
      </c>
      <c r="AY168" t="s">
        <v>484</v>
      </c>
      <c r="AZ168" t="s">
        <v>56</v>
      </c>
    </row>
    <row r="169" spans="1:52" hidden="1" x14ac:dyDescent="0.45">
      <c r="A169">
        <v>516977.60019039398</v>
      </c>
      <c r="B169">
        <v>6921728.7913397802</v>
      </c>
      <c r="C169">
        <v>168</v>
      </c>
      <c r="D169" t="s">
        <v>485</v>
      </c>
      <c r="E169" t="s">
        <v>486</v>
      </c>
      <c r="F169" t="s">
        <v>487</v>
      </c>
      <c r="G169" t="s">
        <v>457</v>
      </c>
      <c r="H169" s="3">
        <v>716</v>
      </c>
      <c r="I169">
        <v>2</v>
      </c>
      <c r="J169" t="s">
        <v>56</v>
      </c>
      <c r="K169">
        <v>76.900000000000006</v>
      </c>
      <c r="L169">
        <v>86.8</v>
      </c>
      <c r="M169">
        <v>1</v>
      </c>
      <c r="N169" t="s">
        <v>56</v>
      </c>
      <c r="O169" t="s">
        <v>457</v>
      </c>
      <c r="P169">
        <v>73.7</v>
      </c>
      <c r="Q169">
        <v>1.6</v>
      </c>
      <c r="R169">
        <v>22.1</v>
      </c>
      <c r="S169">
        <v>0.7</v>
      </c>
      <c r="T169">
        <v>0.1</v>
      </c>
      <c r="U169">
        <v>0</v>
      </c>
      <c r="V169">
        <v>1</v>
      </c>
      <c r="W169">
        <v>0</v>
      </c>
      <c r="X169">
        <v>0.1</v>
      </c>
      <c r="Y169">
        <v>0.1</v>
      </c>
      <c r="Z169">
        <v>0</v>
      </c>
      <c r="AA169">
        <v>0</v>
      </c>
      <c r="AB169">
        <v>0.6</v>
      </c>
      <c r="AC169" t="s">
        <v>457</v>
      </c>
      <c r="AD169">
        <v>80</v>
      </c>
      <c r="AE169" t="s">
        <v>457</v>
      </c>
      <c r="AF169" s="4" t="s">
        <v>80</v>
      </c>
      <c r="AG169" s="4">
        <v>348</v>
      </c>
      <c r="AH169" s="4" t="s">
        <v>81</v>
      </c>
      <c r="AI169" s="4">
        <v>368</v>
      </c>
      <c r="AJ169" t="s">
        <v>457</v>
      </c>
      <c r="AK169" t="s">
        <v>56</v>
      </c>
      <c r="AL169" t="s">
        <v>487</v>
      </c>
      <c r="AM169">
        <v>8</v>
      </c>
      <c r="AN169">
        <v>0</v>
      </c>
      <c r="AO169">
        <v>9</v>
      </c>
      <c r="AP169">
        <v>0</v>
      </c>
      <c r="AQ169" s="5">
        <v>73</v>
      </c>
      <c r="AR169">
        <v>16</v>
      </c>
      <c r="AS169">
        <v>0</v>
      </c>
      <c r="AT169">
        <v>17</v>
      </c>
      <c r="AU169">
        <v>0</v>
      </c>
      <c r="AV169" s="5">
        <v>71</v>
      </c>
      <c r="AW169" t="s">
        <v>56</v>
      </c>
      <c r="AX169" s="6">
        <v>797</v>
      </c>
      <c r="AY169" t="s">
        <v>457</v>
      </c>
      <c r="AZ169" t="s">
        <v>56</v>
      </c>
    </row>
    <row r="170" spans="1:52" hidden="1" x14ac:dyDescent="0.45">
      <c r="A170">
        <v>499552.65021888301</v>
      </c>
      <c r="B170">
        <v>6920859.8447852395</v>
      </c>
      <c r="C170">
        <v>169</v>
      </c>
      <c r="D170" t="s">
        <v>488</v>
      </c>
      <c r="E170" t="s">
        <v>331</v>
      </c>
      <c r="F170" t="s">
        <v>489</v>
      </c>
      <c r="G170" t="s">
        <v>484</v>
      </c>
      <c r="H170" s="3">
        <v>337</v>
      </c>
      <c r="I170">
        <v>2</v>
      </c>
      <c r="J170" t="s">
        <v>56</v>
      </c>
      <c r="K170">
        <v>54.6</v>
      </c>
      <c r="L170">
        <v>62.3</v>
      </c>
      <c r="M170">
        <v>1</v>
      </c>
      <c r="N170" t="s">
        <v>56</v>
      </c>
      <c r="O170" t="s">
        <v>484</v>
      </c>
      <c r="P170">
        <v>77.400000000000006</v>
      </c>
      <c r="Q170">
        <v>1.4</v>
      </c>
      <c r="R170">
        <v>18.3</v>
      </c>
      <c r="S170">
        <v>1.1000000000000001</v>
      </c>
      <c r="T170">
        <v>0</v>
      </c>
      <c r="U170">
        <v>0.2</v>
      </c>
      <c r="V170">
        <v>1.5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0.1</v>
      </c>
      <c r="AC170" t="s">
        <v>484</v>
      </c>
      <c r="AD170">
        <v>50</v>
      </c>
      <c r="AE170" t="s">
        <v>484</v>
      </c>
      <c r="AF170" s="4" t="s">
        <v>80</v>
      </c>
      <c r="AG170" s="4">
        <v>169</v>
      </c>
      <c r="AH170" s="4" t="s">
        <v>81</v>
      </c>
      <c r="AI170" s="4">
        <v>168</v>
      </c>
      <c r="AJ170" t="s">
        <v>484</v>
      </c>
      <c r="AK170" t="s">
        <v>56</v>
      </c>
      <c r="AL170" t="s">
        <v>489</v>
      </c>
      <c r="AM170">
        <v>10</v>
      </c>
      <c r="AN170">
        <v>0</v>
      </c>
      <c r="AO170">
        <v>11</v>
      </c>
      <c r="AP170">
        <v>0</v>
      </c>
      <c r="AQ170" s="5">
        <v>27</v>
      </c>
      <c r="AR170">
        <v>16</v>
      </c>
      <c r="AS170">
        <v>0</v>
      </c>
      <c r="AT170">
        <v>17</v>
      </c>
      <c r="AU170">
        <v>0</v>
      </c>
      <c r="AV170" s="5">
        <v>39</v>
      </c>
      <c r="AW170" t="s">
        <v>56</v>
      </c>
      <c r="AX170" s="6">
        <v>345</v>
      </c>
      <c r="AY170" t="s">
        <v>484</v>
      </c>
      <c r="AZ170" t="s">
        <v>56</v>
      </c>
    </row>
    <row r="171" spans="1:52" hidden="1" x14ac:dyDescent="0.45">
      <c r="A171">
        <v>514532.96947226598</v>
      </c>
      <c r="B171">
        <v>6933290.1400557104</v>
      </c>
      <c r="C171">
        <v>170</v>
      </c>
      <c r="D171" t="s">
        <v>490</v>
      </c>
      <c r="E171" t="s">
        <v>491</v>
      </c>
      <c r="F171" t="s">
        <v>492</v>
      </c>
      <c r="G171" t="s">
        <v>457</v>
      </c>
      <c r="H171" s="3">
        <v>1083</v>
      </c>
      <c r="I171">
        <v>2</v>
      </c>
      <c r="J171" t="s">
        <v>56</v>
      </c>
      <c r="K171">
        <v>70</v>
      </c>
      <c r="L171">
        <v>80.3</v>
      </c>
      <c r="M171">
        <v>1</v>
      </c>
      <c r="N171" t="s">
        <v>56</v>
      </c>
      <c r="O171" t="s">
        <v>457</v>
      </c>
      <c r="P171">
        <v>72</v>
      </c>
      <c r="Q171">
        <v>1.5</v>
      </c>
      <c r="R171">
        <v>24.3</v>
      </c>
      <c r="S171">
        <v>0.7</v>
      </c>
      <c r="T171">
        <v>0.1</v>
      </c>
      <c r="U171">
        <v>0</v>
      </c>
      <c r="V171">
        <v>0.6</v>
      </c>
      <c r="W171">
        <v>0</v>
      </c>
      <c r="X171">
        <v>0.2</v>
      </c>
      <c r="Y171">
        <v>0.1</v>
      </c>
      <c r="Z171">
        <v>0</v>
      </c>
      <c r="AA171">
        <v>0</v>
      </c>
      <c r="AB171">
        <v>0.5</v>
      </c>
      <c r="AC171" t="s">
        <v>457</v>
      </c>
      <c r="AD171">
        <v>60</v>
      </c>
      <c r="AE171" t="s">
        <v>457</v>
      </c>
      <c r="AF171" s="4" t="s">
        <v>80</v>
      </c>
      <c r="AG171" s="4">
        <v>527</v>
      </c>
      <c r="AH171" s="4" t="s">
        <v>81</v>
      </c>
      <c r="AI171" s="4">
        <v>556</v>
      </c>
      <c r="AJ171" t="s">
        <v>457</v>
      </c>
      <c r="AK171" t="s">
        <v>56</v>
      </c>
      <c r="AL171" t="s">
        <v>492</v>
      </c>
      <c r="AM171">
        <v>8</v>
      </c>
      <c r="AN171">
        <v>0</v>
      </c>
      <c r="AO171">
        <v>9</v>
      </c>
      <c r="AP171">
        <v>0</v>
      </c>
      <c r="AQ171" s="5">
        <v>90</v>
      </c>
      <c r="AR171">
        <v>15</v>
      </c>
      <c r="AS171">
        <v>0</v>
      </c>
      <c r="AT171">
        <v>16</v>
      </c>
      <c r="AU171">
        <v>0</v>
      </c>
      <c r="AV171" s="5">
        <v>113</v>
      </c>
      <c r="AW171" t="s">
        <v>56</v>
      </c>
      <c r="AX171" s="6">
        <v>1136</v>
      </c>
      <c r="AY171" t="s">
        <v>457</v>
      </c>
      <c r="AZ171" t="s">
        <v>56</v>
      </c>
    </row>
    <row r="172" spans="1:52" hidden="1" x14ac:dyDescent="0.45">
      <c r="A172">
        <v>514626.38293009298</v>
      </c>
      <c r="B172">
        <v>6931382.3260869598</v>
      </c>
      <c r="C172">
        <v>171</v>
      </c>
      <c r="D172" t="s">
        <v>493</v>
      </c>
      <c r="E172" t="s">
        <v>491</v>
      </c>
      <c r="F172" t="s">
        <v>494</v>
      </c>
      <c r="G172" t="s">
        <v>457</v>
      </c>
      <c r="H172" s="3">
        <v>127</v>
      </c>
      <c r="I172">
        <v>2</v>
      </c>
      <c r="J172" t="s">
        <v>56</v>
      </c>
      <c r="K172">
        <v>58.7</v>
      </c>
      <c r="L172">
        <v>70.900000000000006</v>
      </c>
      <c r="M172">
        <v>1</v>
      </c>
      <c r="N172" t="s">
        <v>56</v>
      </c>
      <c r="O172" t="s">
        <v>457</v>
      </c>
      <c r="P172">
        <v>62.7</v>
      </c>
      <c r="Q172">
        <v>1.7</v>
      </c>
      <c r="R172">
        <v>28</v>
      </c>
      <c r="S172">
        <v>1.9</v>
      </c>
      <c r="T172">
        <v>0.1</v>
      </c>
      <c r="U172">
        <v>0.1</v>
      </c>
      <c r="V172">
        <v>3.2</v>
      </c>
      <c r="W172">
        <v>0.1</v>
      </c>
      <c r="X172">
        <v>0.2</v>
      </c>
      <c r="Y172">
        <v>0</v>
      </c>
      <c r="Z172">
        <v>0</v>
      </c>
      <c r="AA172">
        <v>0</v>
      </c>
      <c r="AB172">
        <v>2</v>
      </c>
      <c r="AC172" t="s">
        <v>457</v>
      </c>
      <c r="AD172">
        <v>60</v>
      </c>
      <c r="AE172" t="s">
        <v>457</v>
      </c>
      <c r="AF172" s="4" t="s">
        <v>80</v>
      </c>
      <c r="AG172" s="4">
        <v>63</v>
      </c>
      <c r="AH172" s="4" t="s">
        <v>58</v>
      </c>
      <c r="AI172" s="4">
        <v>64</v>
      </c>
      <c r="AJ172" t="s">
        <v>457</v>
      </c>
      <c r="AK172" t="s">
        <v>56</v>
      </c>
      <c r="AL172" t="s">
        <v>494</v>
      </c>
      <c r="AM172">
        <v>9</v>
      </c>
      <c r="AN172">
        <v>0</v>
      </c>
      <c r="AO172">
        <v>10</v>
      </c>
      <c r="AP172">
        <v>0</v>
      </c>
      <c r="AQ172" s="5">
        <v>16</v>
      </c>
      <c r="AR172">
        <v>16</v>
      </c>
      <c r="AS172">
        <v>0</v>
      </c>
      <c r="AT172">
        <v>17</v>
      </c>
      <c r="AU172">
        <v>0</v>
      </c>
      <c r="AV172" s="5">
        <v>15</v>
      </c>
      <c r="AW172" t="s">
        <v>56</v>
      </c>
      <c r="AX172" s="6">
        <v>137</v>
      </c>
      <c r="AY172" t="s">
        <v>457</v>
      </c>
      <c r="AZ172" t="s">
        <v>56</v>
      </c>
    </row>
    <row r="173" spans="1:52" hidden="1" x14ac:dyDescent="0.45">
      <c r="A173">
        <v>513771.430492763</v>
      </c>
      <c r="B173">
        <v>6929492.5690296898</v>
      </c>
      <c r="C173">
        <v>172</v>
      </c>
      <c r="D173" t="s">
        <v>495</v>
      </c>
      <c r="E173" t="s">
        <v>161</v>
      </c>
      <c r="F173" t="s">
        <v>496</v>
      </c>
      <c r="G173" t="s">
        <v>457</v>
      </c>
      <c r="H173" s="3">
        <v>1249</v>
      </c>
      <c r="I173">
        <v>2</v>
      </c>
      <c r="J173" t="s">
        <v>56</v>
      </c>
      <c r="K173">
        <v>74.8</v>
      </c>
      <c r="L173">
        <v>85.3</v>
      </c>
      <c r="M173">
        <v>1</v>
      </c>
      <c r="N173" t="s">
        <v>56</v>
      </c>
      <c r="O173" t="s">
        <v>457</v>
      </c>
      <c r="P173">
        <v>70.099999999999994</v>
      </c>
      <c r="Q173">
        <v>1.6</v>
      </c>
      <c r="R173">
        <v>23.9</v>
      </c>
      <c r="S173">
        <v>0.4</v>
      </c>
      <c r="T173">
        <v>0.1</v>
      </c>
      <c r="U173">
        <v>0</v>
      </c>
      <c r="V173">
        <v>1</v>
      </c>
      <c r="W173">
        <v>0</v>
      </c>
      <c r="X173">
        <v>0.8</v>
      </c>
      <c r="Y173">
        <v>1.7</v>
      </c>
      <c r="Z173">
        <v>0</v>
      </c>
      <c r="AA173">
        <v>0</v>
      </c>
      <c r="AB173">
        <v>0.4</v>
      </c>
      <c r="AC173" t="s">
        <v>457</v>
      </c>
      <c r="AD173">
        <v>80</v>
      </c>
      <c r="AE173" t="s">
        <v>457</v>
      </c>
      <c r="AF173" s="4" t="s">
        <v>80</v>
      </c>
      <c r="AG173" s="4">
        <v>602</v>
      </c>
      <c r="AH173" s="4" t="s">
        <v>81</v>
      </c>
      <c r="AI173" s="4">
        <v>647</v>
      </c>
      <c r="AJ173" t="s">
        <v>457</v>
      </c>
      <c r="AK173" t="s">
        <v>56</v>
      </c>
      <c r="AL173" t="s">
        <v>497</v>
      </c>
      <c r="AM173">
        <v>8</v>
      </c>
      <c r="AN173">
        <v>0</v>
      </c>
      <c r="AO173">
        <v>9</v>
      </c>
      <c r="AP173">
        <v>0</v>
      </c>
      <c r="AQ173" s="5">
        <v>88</v>
      </c>
      <c r="AR173">
        <v>15</v>
      </c>
      <c r="AS173">
        <v>0</v>
      </c>
      <c r="AT173">
        <v>16</v>
      </c>
      <c r="AU173">
        <v>0</v>
      </c>
      <c r="AV173" s="5">
        <v>139</v>
      </c>
      <c r="AW173" t="s">
        <v>56</v>
      </c>
      <c r="AX173" s="6">
        <v>1310</v>
      </c>
      <c r="AY173" t="s">
        <v>457</v>
      </c>
      <c r="AZ173" t="s">
        <v>56</v>
      </c>
    </row>
    <row r="174" spans="1:52" hidden="1" x14ac:dyDescent="0.45">
      <c r="A174">
        <v>514655.028626338</v>
      </c>
      <c r="B174">
        <v>6935436.9552614596</v>
      </c>
      <c r="C174">
        <v>173</v>
      </c>
      <c r="D174" t="s">
        <v>498</v>
      </c>
      <c r="E174" t="s">
        <v>499</v>
      </c>
      <c r="F174" t="s">
        <v>500</v>
      </c>
      <c r="G174" t="s">
        <v>457</v>
      </c>
      <c r="H174" s="3">
        <v>547</v>
      </c>
      <c r="I174">
        <v>2</v>
      </c>
      <c r="J174" t="s">
        <v>56</v>
      </c>
      <c r="K174">
        <v>54.4</v>
      </c>
      <c r="L174">
        <v>63.7</v>
      </c>
      <c r="M174">
        <v>1</v>
      </c>
      <c r="N174" t="s">
        <v>56</v>
      </c>
      <c r="O174" t="s">
        <v>457</v>
      </c>
      <c r="P174">
        <v>85.9</v>
      </c>
      <c r="Q174">
        <v>0.6</v>
      </c>
      <c r="R174">
        <v>12.7</v>
      </c>
      <c r="S174">
        <v>0.3</v>
      </c>
      <c r="T174">
        <v>0.2</v>
      </c>
      <c r="U174">
        <v>0</v>
      </c>
      <c r="V174">
        <v>0.1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0.2</v>
      </c>
      <c r="AC174" t="s">
        <v>457</v>
      </c>
      <c r="AD174">
        <v>60</v>
      </c>
      <c r="AE174" t="s">
        <v>457</v>
      </c>
      <c r="AF174" s="4" t="s">
        <v>80</v>
      </c>
      <c r="AG174" s="4">
        <v>246</v>
      </c>
      <c r="AH174" s="4" t="s">
        <v>81</v>
      </c>
      <c r="AI174" s="4">
        <v>301</v>
      </c>
      <c r="AJ174" t="s">
        <v>457</v>
      </c>
      <c r="AK174" t="s">
        <v>56</v>
      </c>
      <c r="AL174" t="s">
        <v>500</v>
      </c>
      <c r="AM174">
        <v>8</v>
      </c>
      <c r="AN174">
        <v>0</v>
      </c>
      <c r="AO174">
        <v>9</v>
      </c>
      <c r="AP174">
        <v>0</v>
      </c>
      <c r="AQ174" s="5">
        <v>155</v>
      </c>
      <c r="AR174">
        <v>15</v>
      </c>
      <c r="AS174">
        <v>0</v>
      </c>
      <c r="AT174">
        <v>16</v>
      </c>
      <c r="AU174">
        <v>0</v>
      </c>
      <c r="AV174" s="5">
        <v>107</v>
      </c>
      <c r="AW174" t="s">
        <v>56</v>
      </c>
      <c r="AX174" s="6">
        <v>671</v>
      </c>
      <c r="AY174" t="s">
        <v>457</v>
      </c>
      <c r="AZ174" t="s">
        <v>56</v>
      </c>
    </row>
    <row r="175" spans="1:52" hidden="1" x14ac:dyDescent="0.45">
      <c r="A175">
        <v>514985.354047945</v>
      </c>
      <c r="B175">
        <v>6932603.3628471596</v>
      </c>
      <c r="C175">
        <v>174</v>
      </c>
      <c r="D175" t="s">
        <v>501</v>
      </c>
      <c r="E175" t="s">
        <v>491</v>
      </c>
      <c r="F175" t="s">
        <v>502</v>
      </c>
      <c r="G175" t="s">
        <v>457</v>
      </c>
      <c r="H175" s="3">
        <v>184</v>
      </c>
      <c r="I175">
        <v>2</v>
      </c>
      <c r="J175" t="s">
        <v>56</v>
      </c>
      <c r="K175">
        <v>54.6</v>
      </c>
      <c r="L175">
        <v>65.5</v>
      </c>
      <c r="M175">
        <v>1</v>
      </c>
      <c r="N175" t="s">
        <v>56</v>
      </c>
      <c r="O175" t="s">
        <v>457</v>
      </c>
      <c r="P175">
        <v>74.099999999999994</v>
      </c>
      <c r="Q175">
        <v>0.5</v>
      </c>
      <c r="R175">
        <v>22.3</v>
      </c>
      <c r="S175">
        <v>1.5</v>
      </c>
      <c r="T175">
        <v>0.2</v>
      </c>
      <c r="U175">
        <v>0</v>
      </c>
      <c r="V175">
        <v>1.1000000000000001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0.3</v>
      </c>
      <c r="AC175" t="s">
        <v>457</v>
      </c>
      <c r="AD175">
        <v>60</v>
      </c>
      <c r="AE175" t="s">
        <v>457</v>
      </c>
      <c r="AF175" s="4" t="s">
        <v>80</v>
      </c>
      <c r="AG175" s="4">
        <v>92</v>
      </c>
      <c r="AH175" s="4" t="s">
        <v>81</v>
      </c>
      <c r="AI175" s="4">
        <v>92</v>
      </c>
      <c r="AJ175" t="s">
        <v>457</v>
      </c>
      <c r="AK175" t="s">
        <v>56</v>
      </c>
      <c r="AL175" t="s">
        <v>502</v>
      </c>
      <c r="AM175">
        <v>8</v>
      </c>
      <c r="AN175">
        <v>0</v>
      </c>
      <c r="AO175">
        <v>9</v>
      </c>
      <c r="AP175">
        <v>0</v>
      </c>
      <c r="AQ175" s="5">
        <v>24</v>
      </c>
      <c r="AR175">
        <v>15</v>
      </c>
      <c r="AS175">
        <v>0</v>
      </c>
      <c r="AT175">
        <v>16</v>
      </c>
      <c r="AU175">
        <v>0</v>
      </c>
      <c r="AV175" s="5">
        <v>25</v>
      </c>
      <c r="AW175" t="s">
        <v>56</v>
      </c>
      <c r="AX175" s="6">
        <v>196</v>
      </c>
      <c r="AY175" t="s">
        <v>457</v>
      </c>
      <c r="AZ175" t="s">
        <v>56</v>
      </c>
    </row>
    <row r="176" spans="1:52" hidden="1" x14ac:dyDescent="0.45">
      <c r="A176">
        <v>501627.92012389901</v>
      </c>
      <c r="B176">
        <v>6933409.50055495</v>
      </c>
      <c r="C176">
        <v>175</v>
      </c>
      <c r="D176" t="s">
        <v>503</v>
      </c>
      <c r="E176" t="s">
        <v>504</v>
      </c>
      <c r="F176" t="s">
        <v>505</v>
      </c>
      <c r="G176" t="s">
        <v>506</v>
      </c>
      <c r="H176" s="3">
        <v>3770</v>
      </c>
      <c r="I176">
        <v>2</v>
      </c>
      <c r="J176" t="s">
        <v>56</v>
      </c>
      <c r="K176">
        <v>74.599999999999994</v>
      </c>
      <c r="L176">
        <v>81.7</v>
      </c>
      <c r="M176">
        <v>1</v>
      </c>
      <c r="N176" t="s">
        <v>56</v>
      </c>
      <c r="O176" t="s">
        <v>506</v>
      </c>
      <c r="P176">
        <v>73.599999999999994</v>
      </c>
      <c r="Q176">
        <v>1.5</v>
      </c>
      <c r="R176">
        <v>21.3</v>
      </c>
      <c r="S176">
        <v>1.1000000000000001</v>
      </c>
      <c r="T176">
        <v>0.2</v>
      </c>
      <c r="U176">
        <v>0.1</v>
      </c>
      <c r="V176">
        <v>1</v>
      </c>
      <c r="W176">
        <v>0.1</v>
      </c>
      <c r="X176">
        <v>0.5</v>
      </c>
      <c r="Y176">
        <v>0.2</v>
      </c>
      <c r="Z176">
        <v>0</v>
      </c>
      <c r="AA176">
        <v>0</v>
      </c>
      <c r="AB176">
        <v>0.4</v>
      </c>
      <c r="AC176" t="s">
        <v>506</v>
      </c>
      <c r="AD176">
        <v>70</v>
      </c>
      <c r="AE176" t="s">
        <v>506</v>
      </c>
      <c r="AF176" s="4" t="s">
        <v>57</v>
      </c>
      <c r="AG176" s="4">
        <v>1938</v>
      </c>
      <c r="AH176" s="4" t="s">
        <v>58</v>
      </c>
      <c r="AI176" s="4">
        <v>1832</v>
      </c>
      <c r="AJ176" t="s">
        <v>506</v>
      </c>
      <c r="AK176" t="s">
        <v>56</v>
      </c>
      <c r="AL176" t="s">
        <v>505</v>
      </c>
      <c r="AM176">
        <v>8</v>
      </c>
      <c r="AN176">
        <v>0</v>
      </c>
      <c r="AO176">
        <v>9</v>
      </c>
      <c r="AP176">
        <v>0</v>
      </c>
      <c r="AQ176" s="5">
        <v>374</v>
      </c>
      <c r="AR176">
        <v>16</v>
      </c>
      <c r="AS176">
        <v>0</v>
      </c>
      <c r="AT176">
        <v>17</v>
      </c>
      <c r="AU176">
        <v>0</v>
      </c>
      <c r="AV176" s="5">
        <v>448</v>
      </c>
      <c r="AW176" t="s">
        <v>56</v>
      </c>
      <c r="AX176" s="6">
        <v>4001</v>
      </c>
      <c r="AY176" t="s">
        <v>506</v>
      </c>
      <c r="AZ176" t="s">
        <v>56</v>
      </c>
    </row>
    <row r="177" spans="1:52" hidden="1" x14ac:dyDescent="0.45">
      <c r="A177">
        <v>498988.91898938298</v>
      </c>
      <c r="B177">
        <v>6933719.5039113397</v>
      </c>
      <c r="C177">
        <v>176</v>
      </c>
      <c r="D177" t="s">
        <v>503</v>
      </c>
      <c r="E177" t="s">
        <v>504</v>
      </c>
      <c r="F177" t="s">
        <v>507</v>
      </c>
      <c r="G177" t="s">
        <v>506</v>
      </c>
      <c r="H177" s="3">
        <v>3602</v>
      </c>
      <c r="I177">
        <v>2</v>
      </c>
      <c r="J177" t="s">
        <v>56</v>
      </c>
      <c r="K177">
        <v>71.400000000000006</v>
      </c>
      <c r="L177">
        <v>78.8</v>
      </c>
      <c r="M177">
        <v>1</v>
      </c>
      <c r="N177" t="s">
        <v>56</v>
      </c>
      <c r="O177" t="s">
        <v>506</v>
      </c>
      <c r="P177">
        <v>74.099999999999994</v>
      </c>
      <c r="Q177">
        <v>1.6</v>
      </c>
      <c r="R177">
        <v>20.9</v>
      </c>
      <c r="S177">
        <v>1</v>
      </c>
      <c r="T177">
        <v>0.2</v>
      </c>
      <c r="U177">
        <v>0.1</v>
      </c>
      <c r="V177">
        <v>1</v>
      </c>
      <c r="W177">
        <v>0.1</v>
      </c>
      <c r="X177">
        <v>0.5</v>
      </c>
      <c r="Y177">
        <v>0.2</v>
      </c>
      <c r="Z177">
        <v>0</v>
      </c>
      <c r="AA177">
        <v>0</v>
      </c>
      <c r="AB177">
        <v>0.3</v>
      </c>
      <c r="AC177" t="s">
        <v>506</v>
      </c>
      <c r="AD177">
        <v>70</v>
      </c>
      <c r="AE177" t="s">
        <v>506</v>
      </c>
      <c r="AF177" s="4" t="s">
        <v>57</v>
      </c>
      <c r="AG177" s="4">
        <v>1850</v>
      </c>
      <c r="AH177" s="4" t="s">
        <v>58</v>
      </c>
      <c r="AI177" s="4">
        <v>1752</v>
      </c>
      <c r="AJ177" t="s">
        <v>506</v>
      </c>
      <c r="AK177" t="s">
        <v>56</v>
      </c>
      <c r="AL177" t="s">
        <v>507</v>
      </c>
      <c r="AM177">
        <v>8</v>
      </c>
      <c r="AN177">
        <v>0</v>
      </c>
      <c r="AO177">
        <v>9</v>
      </c>
      <c r="AP177">
        <v>0</v>
      </c>
      <c r="AQ177" s="5">
        <v>340</v>
      </c>
      <c r="AR177">
        <v>16</v>
      </c>
      <c r="AS177">
        <v>0</v>
      </c>
      <c r="AT177">
        <v>17</v>
      </c>
      <c r="AU177">
        <v>0</v>
      </c>
      <c r="AV177" s="5">
        <v>423</v>
      </c>
      <c r="AW177" t="s">
        <v>56</v>
      </c>
      <c r="AX177" s="6">
        <v>3781</v>
      </c>
      <c r="AY177" t="s">
        <v>506</v>
      </c>
      <c r="AZ177" t="s">
        <v>56</v>
      </c>
    </row>
    <row r="178" spans="1:52" hidden="1" x14ac:dyDescent="0.45">
      <c r="A178">
        <v>508165.349019708</v>
      </c>
      <c r="B178">
        <v>6940629.3074115003</v>
      </c>
      <c r="C178">
        <v>177</v>
      </c>
      <c r="D178" t="s">
        <v>508</v>
      </c>
      <c r="E178" t="s">
        <v>358</v>
      </c>
      <c r="F178" t="s">
        <v>509</v>
      </c>
      <c r="G178" t="s">
        <v>409</v>
      </c>
      <c r="H178" s="3">
        <v>2852</v>
      </c>
      <c r="I178">
        <v>2</v>
      </c>
      <c r="J178" t="s">
        <v>56</v>
      </c>
      <c r="K178">
        <v>52.8</v>
      </c>
      <c r="L178">
        <v>60.1</v>
      </c>
      <c r="M178">
        <v>1</v>
      </c>
      <c r="N178" t="s">
        <v>56</v>
      </c>
      <c r="O178" t="s">
        <v>409</v>
      </c>
      <c r="P178">
        <v>86</v>
      </c>
      <c r="Q178">
        <v>0.6</v>
      </c>
      <c r="R178">
        <v>12.8</v>
      </c>
      <c r="S178">
        <v>0.3</v>
      </c>
      <c r="T178">
        <v>0</v>
      </c>
      <c r="U178">
        <v>0</v>
      </c>
      <c r="V178">
        <v>0.2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0.1</v>
      </c>
      <c r="AC178" t="s">
        <v>409</v>
      </c>
      <c r="AD178">
        <v>60</v>
      </c>
      <c r="AE178" t="s">
        <v>409</v>
      </c>
      <c r="AF178" s="4" t="s">
        <v>80</v>
      </c>
      <c r="AG178" s="4">
        <v>1555</v>
      </c>
      <c r="AH178" s="4" t="s">
        <v>81</v>
      </c>
      <c r="AI178" s="4">
        <v>1297</v>
      </c>
      <c r="AJ178" t="s">
        <v>409</v>
      </c>
      <c r="AK178" t="s">
        <v>56</v>
      </c>
      <c r="AL178" t="s">
        <v>509</v>
      </c>
      <c r="AM178">
        <v>8</v>
      </c>
      <c r="AN178">
        <v>0</v>
      </c>
      <c r="AO178">
        <v>9</v>
      </c>
      <c r="AP178">
        <v>0</v>
      </c>
      <c r="AQ178" s="5">
        <v>211</v>
      </c>
      <c r="AR178">
        <v>17</v>
      </c>
      <c r="AS178">
        <v>0</v>
      </c>
      <c r="AT178">
        <v>18</v>
      </c>
      <c r="AU178">
        <v>0</v>
      </c>
      <c r="AV178" s="5">
        <v>342</v>
      </c>
      <c r="AW178" t="s">
        <v>56</v>
      </c>
      <c r="AX178" s="6">
        <v>3033</v>
      </c>
      <c r="AY178" t="s">
        <v>409</v>
      </c>
      <c r="AZ178" t="s">
        <v>56</v>
      </c>
    </row>
    <row r="179" spans="1:52" hidden="1" x14ac:dyDescent="0.45">
      <c r="A179">
        <v>515685.130053083</v>
      </c>
      <c r="B179">
        <v>6937303.48433802</v>
      </c>
      <c r="C179">
        <v>178</v>
      </c>
      <c r="D179" t="s">
        <v>510</v>
      </c>
      <c r="E179" t="s">
        <v>511</v>
      </c>
      <c r="F179" t="s">
        <v>512</v>
      </c>
      <c r="G179" t="s">
        <v>409</v>
      </c>
      <c r="H179" s="3">
        <v>475</v>
      </c>
      <c r="I179">
        <v>2</v>
      </c>
      <c r="J179" t="s">
        <v>56</v>
      </c>
      <c r="K179">
        <v>36.9</v>
      </c>
      <c r="L179">
        <v>43.9</v>
      </c>
      <c r="M179">
        <v>1</v>
      </c>
      <c r="N179" t="s">
        <v>56</v>
      </c>
      <c r="O179" t="s">
        <v>409</v>
      </c>
      <c r="P179">
        <v>83.6</v>
      </c>
      <c r="Q179">
        <v>0.8</v>
      </c>
      <c r="R179">
        <v>14.6</v>
      </c>
      <c r="S179">
        <v>0.5</v>
      </c>
      <c r="T179">
        <v>0</v>
      </c>
      <c r="U179">
        <v>0</v>
      </c>
      <c r="V179">
        <v>0.2</v>
      </c>
      <c r="W179">
        <v>0.1</v>
      </c>
      <c r="X179">
        <v>0</v>
      </c>
      <c r="Y179">
        <v>0</v>
      </c>
      <c r="Z179">
        <v>0</v>
      </c>
      <c r="AA179">
        <v>0</v>
      </c>
      <c r="AB179">
        <v>0.2</v>
      </c>
      <c r="AC179" t="s">
        <v>409</v>
      </c>
      <c r="AD179">
        <v>50</v>
      </c>
      <c r="AE179" t="s">
        <v>409</v>
      </c>
      <c r="AF179" s="4" t="s">
        <v>80</v>
      </c>
      <c r="AG179" s="4">
        <v>238</v>
      </c>
      <c r="AH179" s="4" t="s">
        <v>81</v>
      </c>
      <c r="AI179" s="4">
        <v>237</v>
      </c>
      <c r="AJ179" t="s">
        <v>409</v>
      </c>
      <c r="AK179" t="s">
        <v>56</v>
      </c>
      <c r="AL179" t="s">
        <v>512</v>
      </c>
      <c r="AM179">
        <v>8</v>
      </c>
      <c r="AN179">
        <v>0</v>
      </c>
      <c r="AO179">
        <v>9</v>
      </c>
      <c r="AP179">
        <v>0</v>
      </c>
      <c r="AQ179" s="5">
        <v>41</v>
      </c>
      <c r="AR179">
        <v>17</v>
      </c>
      <c r="AS179">
        <v>0</v>
      </c>
      <c r="AT179">
        <v>18</v>
      </c>
      <c r="AU179">
        <v>0</v>
      </c>
      <c r="AV179" s="5">
        <v>47</v>
      </c>
      <c r="AW179" t="s">
        <v>56</v>
      </c>
      <c r="AX179" s="6">
        <v>487</v>
      </c>
      <c r="AY179" t="s">
        <v>409</v>
      </c>
      <c r="AZ179" t="s">
        <v>56</v>
      </c>
    </row>
    <row r="180" spans="1:52" hidden="1" x14ac:dyDescent="0.45">
      <c r="A180">
        <v>512631.82549310802</v>
      </c>
      <c r="B180">
        <v>6942029.2781637898</v>
      </c>
      <c r="C180">
        <v>179</v>
      </c>
      <c r="D180" t="s">
        <v>513</v>
      </c>
      <c r="E180" t="s">
        <v>415</v>
      </c>
      <c r="F180" t="s">
        <v>514</v>
      </c>
      <c r="G180" t="s">
        <v>409</v>
      </c>
      <c r="H180" s="3">
        <v>1996</v>
      </c>
      <c r="I180">
        <v>2</v>
      </c>
      <c r="J180" t="s">
        <v>56</v>
      </c>
      <c r="K180">
        <v>39.299999999999997</v>
      </c>
      <c r="L180">
        <v>47.9</v>
      </c>
      <c r="M180">
        <v>1</v>
      </c>
      <c r="N180" t="s">
        <v>56</v>
      </c>
      <c r="O180" t="s">
        <v>409</v>
      </c>
      <c r="P180">
        <v>88.2</v>
      </c>
      <c r="Q180">
        <v>0.7</v>
      </c>
      <c r="R180">
        <v>10.7</v>
      </c>
      <c r="S180">
        <v>0.1</v>
      </c>
      <c r="T180">
        <v>0</v>
      </c>
      <c r="U180">
        <v>0</v>
      </c>
      <c r="V180">
        <v>0.2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0.1</v>
      </c>
      <c r="AC180" t="s">
        <v>409</v>
      </c>
      <c r="AD180">
        <v>50</v>
      </c>
      <c r="AE180" t="s">
        <v>409</v>
      </c>
      <c r="AF180" s="4" t="s">
        <v>80</v>
      </c>
      <c r="AG180" s="4">
        <v>1112</v>
      </c>
      <c r="AH180" s="4" t="s">
        <v>81</v>
      </c>
      <c r="AI180" s="4">
        <v>884</v>
      </c>
      <c r="AJ180" t="s">
        <v>409</v>
      </c>
      <c r="AK180" t="s">
        <v>56</v>
      </c>
      <c r="AL180" t="s">
        <v>514</v>
      </c>
      <c r="AM180">
        <v>8</v>
      </c>
      <c r="AN180">
        <v>0</v>
      </c>
      <c r="AO180">
        <v>9</v>
      </c>
      <c r="AP180">
        <v>0</v>
      </c>
      <c r="AQ180" s="5">
        <v>219</v>
      </c>
      <c r="AR180">
        <v>14</v>
      </c>
      <c r="AS180">
        <v>0</v>
      </c>
      <c r="AT180">
        <v>15</v>
      </c>
      <c r="AU180">
        <v>0</v>
      </c>
      <c r="AV180" s="5">
        <v>211</v>
      </c>
      <c r="AW180" t="s">
        <v>56</v>
      </c>
      <c r="AX180" s="6">
        <v>2090</v>
      </c>
      <c r="AY180" t="s">
        <v>409</v>
      </c>
      <c r="AZ180" t="s">
        <v>56</v>
      </c>
    </row>
    <row r="181" spans="1:52" hidden="1" x14ac:dyDescent="0.45">
      <c r="A181">
        <v>509961.88563364698</v>
      </c>
      <c r="B181">
        <v>6941200.6495868796</v>
      </c>
      <c r="C181">
        <v>180</v>
      </c>
      <c r="D181" t="s">
        <v>515</v>
      </c>
      <c r="E181" t="s">
        <v>516</v>
      </c>
      <c r="F181" t="s">
        <v>517</v>
      </c>
      <c r="G181" t="s">
        <v>518</v>
      </c>
      <c r="H181" s="3">
        <v>228</v>
      </c>
      <c r="I181">
        <v>2</v>
      </c>
      <c r="J181" t="s">
        <v>56</v>
      </c>
      <c r="K181">
        <v>41.3</v>
      </c>
      <c r="L181">
        <v>51.1</v>
      </c>
      <c r="M181">
        <v>1</v>
      </c>
      <c r="N181" t="s">
        <v>56</v>
      </c>
      <c r="O181" t="s">
        <v>518</v>
      </c>
      <c r="P181">
        <v>89.4</v>
      </c>
      <c r="Q181">
        <v>0.8</v>
      </c>
      <c r="R181">
        <v>9.4</v>
      </c>
      <c r="S181">
        <v>0.2</v>
      </c>
      <c r="T181">
        <v>0.1</v>
      </c>
      <c r="U181">
        <v>0</v>
      </c>
      <c r="V181">
        <v>0.1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 t="s">
        <v>518</v>
      </c>
      <c r="AD181">
        <v>50</v>
      </c>
      <c r="AE181" t="s">
        <v>518</v>
      </c>
      <c r="AF181" s="4" t="s">
        <v>57</v>
      </c>
      <c r="AG181" s="4">
        <v>116</v>
      </c>
      <c r="AH181" s="4" t="s">
        <v>58</v>
      </c>
      <c r="AI181" s="4">
        <v>112</v>
      </c>
      <c r="AJ181" t="s">
        <v>518</v>
      </c>
      <c r="AK181" t="s">
        <v>56</v>
      </c>
      <c r="AL181" t="s">
        <v>517</v>
      </c>
      <c r="AM181">
        <v>8</v>
      </c>
      <c r="AN181">
        <v>0</v>
      </c>
      <c r="AO181">
        <v>9</v>
      </c>
      <c r="AP181">
        <v>0</v>
      </c>
      <c r="AQ181" s="5">
        <v>36</v>
      </c>
      <c r="AR181">
        <v>14</v>
      </c>
      <c r="AS181">
        <v>0</v>
      </c>
      <c r="AT181">
        <v>15</v>
      </c>
      <c r="AU181">
        <v>0</v>
      </c>
      <c r="AV181" s="5">
        <v>25</v>
      </c>
      <c r="AW181" t="s">
        <v>56</v>
      </c>
      <c r="AX181" s="6">
        <v>236</v>
      </c>
      <c r="AY181" t="s">
        <v>518</v>
      </c>
      <c r="AZ181" t="s">
        <v>56</v>
      </c>
    </row>
    <row r="182" spans="1:52" hidden="1" x14ac:dyDescent="0.45">
      <c r="A182">
        <v>497152.780546984</v>
      </c>
      <c r="B182">
        <v>6934083.6475356398</v>
      </c>
      <c r="C182">
        <v>181</v>
      </c>
      <c r="D182" t="s">
        <v>519</v>
      </c>
      <c r="E182" t="s">
        <v>504</v>
      </c>
      <c r="F182" t="s">
        <v>520</v>
      </c>
      <c r="G182" t="s">
        <v>521</v>
      </c>
      <c r="H182" s="3">
        <v>4509</v>
      </c>
      <c r="I182">
        <v>2</v>
      </c>
      <c r="J182" t="s">
        <v>56</v>
      </c>
      <c r="K182">
        <v>73.900000000000006</v>
      </c>
      <c r="L182">
        <v>82.4</v>
      </c>
      <c r="M182">
        <v>1</v>
      </c>
      <c r="N182" t="s">
        <v>56</v>
      </c>
      <c r="O182" t="s">
        <v>521</v>
      </c>
      <c r="P182">
        <v>78</v>
      </c>
      <c r="Q182">
        <v>1.4</v>
      </c>
      <c r="R182">
        <v>18.2</v>
      </c>
      <c r="S182">
        <v>0.8</v>
      </c>
      <c r="T182">
        <v>0.1</v>
      </c>
      <c r="U182">
        <v>0</v>
      </c>
      <c r="V182">
        <v>0.9</v>
      </c>
      <c r="W182">
        <v>0.1</v>
      </c>
      <c r="X182">
        <v>0.3</v>
      </c>
      <c r="Y182">
        <v>0.1</v>
      </c>
      <c r="Z182">
        <v>0.1</v>
      </c>
      <c r="AA182">
        <v>0</v>
      </c>
      <c r="AB182">
        <v>0</v>
      </c>
      <c r="AC182" t="s">
        <v>521</v>
      </c>
      <c r="AD182">
        <v>70</v>
      </c>
      <c r="AE182" t="s">
        <v>521</v>
      </c>
      <c r="AF182" s="4" t="s">
        <v>80</v>
      </c>
      <c r="AG182" s="4">
        <v>2256</v>
      </c>
      <c r="AH182" s="4" t="s">
        <v>81</v>
      </c>
      <c r="AI182" s="4">
        <v>2253</v>
      </c>
      <c r="AJ182" t="s">
        <v>521</v>
      </c>
      <c r="AK182" t="s">
        <v>56</v>
      </c>
      <c r="AL182" t="s">
        <v>520</v>
      </c>
      <c r="AM182">
        <v>8</v>
      </c>
      <c r="AN182">
        <v>0</v>
      </c>
      <c r="AO182">
        <v>9</v>
      </c>
      <c r="AP182">
        <v>0</v>
      </c>
      <c r="AQ182" s="5">
        <v>448</v>
      </c>
      <c r="AR182">
        <v>15</v>
      </c>
      <c r="AS182">
        <v>0</v>
      </c>
      <c r="AT182">
        <v>16</v>
      </c>
      <c r="AU182">
        <v>0</v>
      </c>
      <c r="AV182" s="5">
        <v>499</v>
      </c>
      <c r="AW182" t="s">
        <v>56</v>
      </c>
      <c r="AX182" s="6">
        <v>4775</v>
      </c>
      <c r="AY182" t="s">
        <v>521</v>
      </c>
      <c r="AZ182" t="s">
        <v>56</v>
      </c>
    </row>
    <row r="183" spans="1:52" hidden="1" x14ac:dyDescent="0.45">
      <c r="A183">
        <v>494843.16061431501</v>
      </c>
      <c r="B183">
        <v>6932559.56712538</v>
      </c>
      <c r="C183">
        <v>182</v>
      </c>
      <c r="D183" t="s">
        <v>519</v>
      </c>
      <c r="E183" t="s">
        <v>504</v>
      </c>
      <c r="F183" t="s">
        <v>522</v>
      </c>
      <c r="G183" t="s">
        <v>521</v>
      </c>
      <c r="H183" s="3">
        <v>3387</v>
      </c>
      <c r="I183">
        <v>2</v>
      </c>
      <c r="J183" t="s">
        <v>56</v>
      </c>
      <c r="K183">
        <v>72.5</v>
      </c>
      <c r="L183">
        <v>79.2</v>
      </c>
      <c r="M183">
        <v>1</v>
      </c>
      <c r="N183" t="s">
        <v>56</v>
      </c>
      <c r="O183" t="s">
        <v>521</v>
      </c>
      <c r="P183">
        <v>76.2</v>
      </c>
      <c r="Q183">
        <v>1.3</v>
      </c>
      <c r="R183">
        <v>20.2</v>
      </c>
      <c r="S183">
        <v>0.8</v>
      </c>
      <c r="T183">
        <v>0.1</v>
      </c>
      <c r="U183">
        <v>0</v>
      </c>
      <c r="V183">
        <v>0.7</v>
      </c>
      <c r="W183">
        <v>0.1</v>
      </c>
      <c r="X183">
        <v>0.2</v>
      </c>
      <c r="Y183">
        <v>0.1</v>
      </c>
      <c r="Z183">
        <v>0</v>
      </c>
      <c r="AA183">
        <v>0</v>
      </c>
      <c r="AB183">
        <v>0.3</v>
      </c>
      <c r="AC183" t="s">
        <v>521</v>
      </c>
      <c r="AD183">
        <v>80</v>
      </c>
      <c r="AE183" t="s">
        <v>521</v>
      </c>
      <c r="AF183" s="4" t="s">
        <v>80</v>
      </c>
      <c r="AG183" s="4">
        <v>1687</v>
      </c>
      <c r="AH183" s="4" t="s">
        <v>81</v>
      </c>
      <c r="AI183" s="4">
        <v>1700</v>
      </c>
      <c r="AJ183" t="s">
        <v>521</v>
      </c>
      <c r="AK183" t="s">
        <v>56</v>
      </c>
      <c r="AL183" t="s">
        <v>522</v>
      </c>
      <c r="AM183">
        <v>8</v>
      </c>
      <c r="AN183">
        <v>0</v>
      </c>
      <c r="AO183">
        <v>9</v>
      </c>
      <c r="AP183">
        <v>0</v>
      </c>
      <c r="AQ183" s="5">
        <v>319</v>
      </c>
      <c r="AR183">
        <v>15</v>
      </c>
      <c r="AS183">
        <v>0</v>
      </c>
      <c r="AT183">
        <v>16</v>
      </c>
      <c r="AU183">
        <v>0</v>
      </c>
      <c r="AV183" s="5">
        <v>357</v>
      </c>
      <c r="AW183" t="s">
        <v>56</v>
      </c>
      <c r="AX183" s="6">
        <v>3545</v>
      </c>
      <c r="AY183" t="s">
        <v>521</v>
      </c>
      <c r="AZ183" t="s">
        <v>56</v>
      </c>
    </row>
    <row r="184" spans="1:52" hidden="1" x14ac:dyDescent="0.45">
      <c r="A184">
        <v>509254.03296034201</v>
      </c>
      <c r="B184">
        <v>6940753.6983756199</v>
      </c>
      <c r="C184">
        <v>183</v>
      </c>
      <c r="D184" t="s">
        <v>373</v>
      </c>
      <c r="E184" t="s">
        <v>516</v>
      </c>
      <c r="F184" t="s">
        <v>523</v>
      </c>
      <c r="G184" t="s">
        <v>524</v>
      </c>
      <c r="H184" s="3">
        <v>1442</v>
      </c>
      <c r="I184">
        <v>2</v>
      </c>
      <c r="J184" t="s">
        <v>56</v>
      </c>
      <c r="K184">
        <v>46.1</v>
      </c>
      <c r="L184">
        <v>53.6</v>
      </c>
      <c r="M184">
        <v>1</v>
      </c>
      <c r="N184" t="s">
        <v>56</v>
      </c>
      <c r="O184" t="s">
        <v>524</v>
      </c>
      <c r="P184">
        <v>86.2</v>
      </c>
      <c r="Q184">
        <v>1</v>
      </c>
      <c r="R184">
        <v>12.2</v>
      </c>
      <c r="S184">
        <v>0.3</v>
      </c>
      <c r="T184">
        <v>0</v>
      </c>
      <c r="U184">
        <v>0</v>
      </c>
      <c r="V184">
        <v>0.2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0.1</v>
      </c>
      <c r="AC184" t="s">
        <v>524</v>
      </c>
      <c r="AD184">
        <v>50</v>
      </c>
      <c r="AE184" t="s">
        <v>524</v>
      </c>
      <c r="AF184" s="4" t="s">
        <v>57</v>
      </c>
      <c r="AG184" s="4">
        <v>798</v>
      </c>
      <c r="AH184" s="4" t="s">
        <v>58</v>
      </c>
      <c r="AI184" s="4">
        <v>644</v>
      </c>
      <c r="AJ184" t="s">
        <v>524</v>
      </c>
      <c r="AK184" t="s">
        <v>56</v>
      </c>
      <c r="AL184" t="s">
        <v>523</v>
      </c>
      <c r="AM184">
        <v>8</v>
      </c>
      <c r="AN184">
        <v>0</v>
      </c>
      <c r="AO184">
        <v>9</v>
      </c>
      <c r="AP184">
        <v>0</v>
      </c>
      <c r="AQ184" s="5">
        <v>178</v>
      </c>
      <c r="AR184">
        <v>15</v>
      </c>
      <c r="AS184">
        <v>0</v>
      </c>
      <c r="AT184">
        <v>16</v>
      </c>
      <c r="AU184">
        <v>0</v>
      </c>
      <c r="AV184" s="5">
        <v>171</v>
      </c>
      <c r="AW184" t="s">
        <v>56</v>
      </c>
      <c r="AX184" s="6">
        <v>1544</v>
      </c>
      <c r="AY184" t="s">
        <v>524</v>
      </c>
      <c r="AZ184" t="s">
        <v>56</v>
      </c>
    </row>
    <row r="185" spans="1:52" hidden="1" x14ac:dyDescent="0.45">
      <c r="A185">
        <v>510487.88193394803</v>
      </c>
      <c r="B185">
        <v>6947591.3742661998</v>
      </c>
      <c r="C185">
        <v>184</v>
      </c>
      <c r="D185" t="s">
        <v>525</v>
      </c>
      <c r="E185" t="s">
        <v>526</v>
      </c>
      <c r="F185" t="s">
        <v>527</v>
      </c>
      <c r="G185" t="s">
        <v>524</v>
      </c>
      <c r="H185" s="3">
        <v>691</v>
      </c>
      <c r="I185">
        <v>2</v>
      </c>
      <c r="J185" t="s">
        <v>56</v>
      </c>
      <c r="K185">
        <v>32.200000000000003</v>
      </c>
      <c r="L185">
        <v>39.6</v>
      </c>
      <c r="M185">
        <v>1</v>
      </c>
      <c r="N185" t="s">
        <v>56</v>
      </c>
      <c r="O185" t="s">
        <v>524</v>
      </c>
      <c r="P185">
        <v>90.8</v>
      </c>
      <c r="Q185">
        <v>0.5</v>
      </c>
      <c r="R185">
        <v>8.5</v>
      </c>
      <c r="S185">
        <v>0.1</v>
      </c>
      <c r="T185">
        <v>0</v>
      </c>
      <c r="U185">
        <v>0</v>
      </c>
      <c r="V185">
        <v>0.1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 t="s">
        <v>524</v>
      </c>
      <c r="AD185">
        <v>50</v>
      </c>
      <c r="AE185" t="s">
        <v>524</v>
      </c>
      <c r="AF185" s="4" t="s">
        <v>57</v>
      </c>
      <c r="AG185" s="4">
        <v>323</v>
      </c>
      <c r="AH185" s="4" t="s">
        <v>58</v>
      </c>
      <c r="AI185" s="4">
        <v>368</v>
      </c>
      <c r="AJ185" t="s">
        <v>524</v>
      </c>
      <c r="AK185" t="s">
        <v>56</v>
      </c>
      <c r="AL185" t="s">
        <v>527</v>
      </c>
      <c r="AM185">
        <v>8</v>
      </c>
      <c r="AN185">
        <v>0</v>
      </c>
      <c r="AO185">
        <v>9</v>
      </c>
      <c r="AP185">
        <v>0</v>
      </c>
      <c r="AQ185" s="5">
        <v>69</v>
      </c>
      <c r="AR185">
        <v>18</v>
      </c>
      <c r="AS185">
        <v>0</v>
      </c>
      <c r="AT185">
        <v>19</v>
      </c>
      <c r="AU185">
        <v>0</v>
      </c>
      <c r="AV185" s="5">
        <v>69</v>
      </c>
      <c r="AW185" t="s">
        <v>56</v>
      </c>
      <c r="AX185" s="6">
        <v>710</v>
      </c>
      <c r="AY185" t="s">
        <v>524</v>
      </c>
      <c r="AZ185" t="s">
        <v>56</v>
      </c>
    </row>
    <row r="186" spans="1:52" hidden="1" x14ac:dyDescent="0.45">
      <c r="A186">
        <v>519133.92553535302</v>
      </c>
      <c r="B186">
        <v>6940946.1076249704</v>
      </c>
      <c r="C186">
        <v>185</v>
      </c>
      <c r="D186" t="s">
        <v>528</v>
      </c>
      <c r="E186" t="s">
        <v>529</v>
      </c>
      <c r="F186" t="s">
        <v>530</v>
      </c>
      <c r="G186" t="s">
        <v>531</v>
      </c>
      <c r="H186" s="3">
        <v>1899</v>
      </c>
      <c r="I186">
        <v>2</v>
      </c>
      <c r="J186" t="s">
        <v>56</v>
      </c>
      <c r="K186">
        <v>50.6</v>
      </c>
      <c r="L186">
        <v>58.7</v>
      </c>
      <c r="M186">
        <v>1</v>
      </c>
      <c r="N186" t="s">
        <v>56</v>
      </c>
      <c r="O186" t="s">
        <v>531</v>
      </c>
      <c r="P186">
        <v>83</v>
      </c>
      <c r="Q186">
        <v>1.6</v>
      </c>
      <c r="R186">
        <v>15.1</v>
      </c>
      <c r="S186">
        <v>0</v>
      </c>
      <c r="T186">
        <v>0</v>
      </c>
      <c r="U186">
        <v>0</v>
      </c>
      <c r="V186">
        <v>0.2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0.1</v>
      </c>
      <c r="AC186" t="s">
        <v>531</v>
      </c>
      <c r="AD186">
        <v>50</v>
      </c>
      <c r="AE186" t="s">
        <v>531</v>
      </c>
      <c r="AF186" s="4" t="s">
        <v>57</v>
      </c>
      <c r="AG186" s="4">
        <v>1899</v>
      </c>
      <c r="AH186" s="4" t="s">
        <v>58</v>
      </c>
      <c r="AI186" s="4">
        <v>2117</v>
      </c>
      <c r="AJ186" t="s">
        <v>531</v>
      </c>
      <c r="AK186" t="s">
        <v>56</v>
      </c>
      <c r="AL186" t="s">
        <v>530</v>
      </c>
      <c r="AM186">
        <v>8</v>
      </c>
      <c r="AN186">
        <v>0</v>
      </c>
      <c r="AO186">
        <v>9</v>
      </c>
      <c r="AP186">
        <v>0</v>
      </c>
      <c r="AQ186" s="5">
        <v>195</v>
      </c>
      <c r="AR186">
        <v>15</v>
      </c>
      <c r="AS186">
        <v>0</v>
      </c>
      <c r="AT186">
        <v>16</v>
      </c>
      <c r="AU186">
        <v>0</v>
      </c>
      <c r="AV186" s="5">
        <v>262</v>
      </c>
      <c r="AW186" t="s">
        <v>56</v>
      </c>
      <c r="AX186" s="6">
        <v>2039</v>
      </c>
      <c r="AY186" t="s">
        <v>531</v>
      </c>
      <c r="AZ186" t="s">
        <v>56</v>
      </c>
    </row>
    <row r="187" spans="1:52" hidden="1" x14ac:dyDescent="0.45">
      <c r="A187">
        <v>520484.72678649798</v>
      </c>
      <c r="B187">
        <v>6935505.40003091</v>
      </c>
      <c r="C187">
        <v>186</v>
      </c>
      <c r="D187" t="s">
        <v>532</v>
      </c>
      <c r="E187" t="s">
        <v>411</v>
      </c>
      <c r="F187" t="s">
        <v>533</v>
      </c>
      <c r="G187" t="s">
        <v>534</v>
      </c>
      <c r="H187" s="3">
        <v>3444</v>
      </c>
      <c r="I187">
        <v>2</v>
      </c>
      <c r="J187" t="s">
        <v>56</v>
      </c>
      <c r="K187">
        <v>51.5</v>
      </c>
      <c r="L187">
        <v>58.3</v>
      </c>
      <c r="M187">
        <v>1</v>
      </c>
      <c r="N187" t="s">
        <v>56</v>
      </c>
      <c r="O187" t="s">
        <v>534</v>
      </c>
      <c r="P187">
        <v>86.8</v>
      </c>
      <c r="Q187">
        <v>0.8</v>
      </c>
      <c r="R187">
        <v>12</v>
      </c>
      <c r="S187">
        <v>0.1</v>
      </c>
      <c r="T187">
        <v>0</v>
      </c>
      <c r="U187">
        <v>0</v>
      </c>
      <c r="V187">
        <v>0.2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0.1</v>
      </c>
      <c r="AC187" t="s">
        <v>534</v>
      </c>
      <c r="AD187">
        <v>50</v>
      </c>
      <c r="AE187" t="s">
        <v>534</v>
      </c>
      <c r="AF187" s="4" t="s">
        <v>80</v>
      </c>
      <c r="AG187" s="4">
        <v>1356</v>
      </c>
      <c r="AH187" s="4" t="s">
        <v>81</v>
      </c>
      <c r="AI187" s="4">
        <v>2088</v>
      </c>
      <c r="AJ187" t="s">
        <v>534</v>
      </c>
      <c r="AK187" t="s">
        <v>56</v>
      </c>
      <c r="AL187" t="s">
        <v>533</v>
      </c>
      <c r="AM187">
        <v>8</v>
      </c>
      <c r="AN187">
        <v>0</v>
      </c>
      <c r="AO187">
        <v>9</v>
      </c>
      <c r="AP187">
        <v>0</v>
      </c>
      <c r="AQ187" s="5">
        <v>255</v>
      </c>
      <c r="AR187">
        <v>15</v>
      </c>
      <c r="AS187">
        <v>0</v>
      </c>
      <c r="AT187">
        <v>16</v>
      </c>
      <c r="AU187">
        <v>0</v>
      </c>
      <c r="AV187" s="5">
        <v>348</v>
      </c>
      <c r="AW187" t="s">
        <v>56</v>
      </c>
      <c r="AX187" s="6">
        <v>3606</v>
      </c>
      <c r="AY187" t="s">
        <v>534</v>
      </c>
      <c r="AZ187" t="s">
        <v>56</v>
      </c>
    </row>
    <row r="188" spans="1:52" hidden="1" x14ac:dyDescent="0.45">
      <c r="A188">
        <v>510337.34094554401</v>
      </c>
      <c r="B188">
        <v>6941141.2963557998</v>
      </c>
      <c r="C188">
        <v>187</v>
      </c>
      <c r="D188" t="s">
        <v>535</v>
      </c>
      <c r="E188" t="s">
        <v>516</v>
      </c>
      <c r="F188" t="s">
        <v>536</v>
      </c>
      <c r="G188" t="s">
        <v>531</v>
      </c>
      <c r="H188" s="3">
        <v>132</v>
      </c>
      <c r="I188">
        <v>2</v>
      </c>
      <c r="J188" t="s">
        <v>56</v>
      </c>
      <c r="K188">
        <v>39.700000000000003</v>
      </c>
      <c r="L188">
        <v>50.4</v>
      </c>
      <c r="M188">
        <v>1</v>
      </c>
      <c r="N188" t="s">
        <v>56</v>
      </c>
      <c r="O188" t="s">
        <v>531</v>
      </c>
      <c r="P188">
        <v>87.5</v>
      </c>
      <c r="Q188">
        <v>0.9</v>
      </c>
      <c r="R188">
        <v>10.6</v>
      </c>
      <c r="S188">
        <v>0.2</v>
      </c>
      <c r="T188">
        <v>0.2</v>
      </c>
      <c r="U188">
        <v>0</v>
      </c>
      <c r="V188">
        <v>0.6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 t="s">
        <v>531</v>
      </c>
      <c r="AD188">
        <v>50</v>
      </c>
      <c r="AE188" t="s">
        <v>531</v>
      </c>
      <c r="AF188" s="4" t="s">
        <v>57</v>
      </c>
      <c r="AG188" s="4">
        <v>62</v>
      </c>
      <c r="AH188" s="4" t="s">
        <v>58</v>
      </c>
      <c r="AI188" s="4">
        <v>70</v>
      </c>
      <c r="AJ188" t="s">
        <v>531</v>
      </c>
      <c r="AK188" t="s">
        <v>56</v>
      </c>
      <c r="AL188" t="s">
        <v>536</v>
      </c>
      <c r="AM188">
        <v>8</v>
      </c>
      <c r="AN188">
        <v>0</v>
      </c>
      <c r="AO188">
        <v>9</v>
      </c>
      <c r="AP188">
        <v>0</v>
      </c>
      <c r="AQ188" s="5">
        <v>15</v>
      </c>
      <c r="AR188">
        <v>16</v>
      </c>
      <c r="AS188">
        <v>0</v>
      </c>
      <c r="AT188">
        <v>17</v>
      </c>
      <c r="AU188">
        <v>0</v>
      </c>
      <c r="AV188" s="5">
        <v>18</v>
      </c>
      <c r="AW188" t="s">
        <v>56</v>
      </c>
      <c r="AX188" s="6">
        <v>136</v>
      </c>
      <c r="AY188" t="s">
        <v>531</v>
      </c>
      <c r="AZ188" t="s">
        <v>56</v>
      </c>
    </row>
    <row r="189" spans="1:52" hidden="1" x14ac:dyDescent="0.45">
      <c r="A189">
        <v>517681.54346774198</v>
      </c>
      <c r="B189">
        <v>6936944.8387115998</v>
      </c>
      <c r="C189">
        <v>188</v>
      </c>
      <c r="D189" t="s">
        <v>537</v>
      </c>
      <c r="E189" t="s">
        <v>538</v>
      </c>
      <c r="F189" t="s">
        <v>539</v>
      </c>
      <c r="G189" t="s">
        <v>540</v>
      </c>
      <c r="H189" s="3">
        <v>3464</v>
      </c>
      <c r="I189">
        <v>2</v>
      </c>
      <c r="J189" t="s">
        <v>56</v>
      </c>
      <c r="K189">
        <v>46.8</v>
      </c>
      <c r="L189">
        <v>52.6</v>
      </c>
      <c r="M189">
        <v>1</v>
      </c>
      <c r="N189" t="s">
        <v>56</v>
      </c>
      <c r="O189" t="s">
        <v>540</v>
      </c>
      <c r="P189">
        <v>87.2</v>
      </c>
      <c r="Q189">
        <v>0.9</v>
      </c>
      <c r="R189">
        <v>11.5</v>
      </c>
      <c r="S189">
        <v>0.1</v>
      </c>
      <c r="T189">
        <v>0</v>
      </c>
      <c r="U189">
        <v>0</v>
      </c>
      <c r="V189">
        <v>0.2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0.1</v>
      </c>
      <c r="AC189" t="s">
        <v>540</v>
      </c>
      <c r="AD189">
        <v>50</v>
      </c>
      <c r="AE189" t="s">
        <v>540</v>
      </c>
      <c r="AF189" s="4" t="s">
        <v>80</v>
      </c>
      <c r="AG189" s="4">
        <v>1724</v>
      </c>
      <c r="AH189" s="4" t="s">
        <v>81</v>
      </c>
      <c r="AI189" s="4">
        <v>1740</v>
      </c>
      <c r="AJ189" t="s">
        <v>540</v>
      </c>
      <c r="AK189" t="s">
        <v>56</v>
      </c>
      <c r="AL189" t="s">
        <v>539</v>
      </c>
      <c r="AM189">
        <v>8</v>
      </c>
      <c r="AN189">
        <v>0</v>
      </c>
      <c r="AO189">
        <v>9</v>
      </c>
      <c r="AP189">
        <v>0</v>
      </c>
      <c r="AQ189" s="5">
        <v>248</v>
      </c>
      <c r="AR189">
        <v>17</v>
      </c>
      <c r="AS189">
        <v>0</v>
      </c>
      <c r="AT189">
        <v>18</v>
      </c>
      <c r="AU189">
        <v>0</v>
      </c>
      <c r="AV189" s="5">
        <v>355</v>
      </c>
      <c r="AW189" t="s">
        <v>56</v>
      </c>
      <c r="AX189" s="6">
        <v>3518</v>
      </c>
      <c r="AY189" t="s">
        <v>540</v>
      </c>
      <c r="AZ189" t="s">
        <v>56</v>
      </c>
    </row>
    <row r="190" spans="1:52" hidden="1" x14ac:dyDescent="0.45">
      <c r="A190">
        <v>510703.74494418001</v>
      </c>
      <c r="B190">
        <v>6941224.5001745401</v>
      </c>
      <c r="C190">
        <v>189</v>
      </c>
      <c r="D190" t="s">
        <v>541</v>
      </c>
      <c r="E190" t="s">
        <v>140</v>
      </c>
      <c r="F190" t="s">
        <v>542</v>
      </c>
      <c r="G190" t="s">
        <v>543</v>
      </c>
      <c r="H190" s="3">
        <v>2235</v>
      </c>
      <c r="I190">
        <v>2</v>
      </c>
      <c r="J190" t="s">
        <v>56</v>
      </c>
      <c r="K190">
        <v>54.1</v>
      </c>
      <c r="L190">
        <v>61.2</v>
      </c>
      <c r="M190">
        <v>1</v>
      </c>
      <c r="N190" t="s">
        <v>56</v>
      </c>
      <c r="O190" t="s">
        <v>543</v>
      </c>
      <c r="P190">
        <v>88</v>
      </c>
      <c r="Q190">
        <v>0.7</v>
      </c>
      <c r="R190">
        <v>10.199999999999999</v>
      </c>
      <c r="S190">
        <v>0.8</v>
      </c>
      <c r="T190">
        <v>0</v>
      </c>
      <c r="U190">
        <v>0</v>
      </c>
      <c r="V190">
        <v>0.1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0.2</v>
      </c>
      <c r="AC190" t="s">
        <v>543</v>
      </c>
      <c r="AD190">
        <v>50</v>
      </c>
      <c r="AE190" t="s">
        <v>543</v>
      </c>
      <c r="AF190" s="4" t="s">
        <v>57</v>
      </c>
      <c r="AG190" s="4">
        <v>1106</v>
      </c>
      <c r="AH190" s="4" t="s">
        <v>58</v>
      </c>
      <c r="AI190" s="4">
        <v>1129</v>
      </c>
      <c r="AJ190" t="s">
        <v>543</v>
      </c>
      <c r="AK190" t="s">
        <v>56</v>
      </c>
      <c r="AL190" t="s">
        <v>542</v>
      </c>
      <c r="AM190">
        <v>8</v>
      </c>
      <c r="AN190">
        <v>0</v>
      </c>
      <c r="AO190">
        <v>9</v>
      </c>
      <c r="AP190">
        <v>0</v>
      </c>
      <c r="AQ190" s="5">
        <v>211</v>
      </c>
      <c r="AR190">
        <v>14</v>
      </c>
      <c r="AS190">
        <v>0</v>
      </c>
      <c r="AT190">
        <v>15</v>
      </c>
      <c r="AU190">
        <v>0</v>
      </c>
      <c r="AV190" s="5">
        <v>215</v>
      </c>
      <c r="AW190" t="s">
        <v>56</v>
      </c>
      <c r="AX190" s="6">
        <v>2330</v>
      </c>
      <c r="AY190" t="s">
        <v>543</v>
      </c>
      <c r="AZ190" t="s">
        <v>56</v>
      </c>
    </row>
    <row r="191" spans="1:52" hidden="1" x14ac:dyDescent="0.45">
      <c r="A191">
        <v>510994.26764663198</v>
      </c>
      <c r="B191">
        <v>6944111.3390344698</v>
      </c>
      <c r="C191">
        <v>190</v>
      </c>
      <c r="D191" t="s">
        <v>544</v>
      </c>
      <c r="E191" t="s">
        <v>545</v>
      </c>
      <c r="F191" t="s">
        <v>546</v>
      </c>
      <c r="G191" t="s">
        <v>547</v>
      </c>
      <c r="H191" s="3">
        <v>95</v>
      </c>
      <c r="I191">
        <v>2</v>
      </c>
      <c r="J191" t="s">
        <v>56</v>
      </c>
      <c r="K191">
        <v>37.9</v>
      </c>
      <c r="L191">
        <v>48.6</v>
      </c>
      <c r="M191">
        <v>1</v>
      </c>
      <c r="N191" t="s">
        <v>56</v>
      </c>
      <c r="O191" t="s">
        <v>547</v>
      </c>
      <c r="P191">
        <v>98.7</v>
      </c>
      <c r="Q191">
        <v>0.1</v>
      </c>
      <c r="R191">
        <v>0.6</v>
      </c>
      <c r="S191">
        <v>0.6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 t="s">
        <v>547</v>
      </c>
      <c r="AD191">
        <v>50</v>
      </c>
      <c r="AE191" t="s">
        <v>547</v>
      </c>
      <c r="AF191" s="4" t="s">
        <v>80</v>
      </c>
      <c r="AG191" s="4">
        <v>29</v>
      </c>
      <c r="AH191" s="4" t="s">
        <v>81</v>
      </c>
      <c r="AI191" s="4">
        <v>66</v>
      </c>
      <c r="AJ191" t="s">
        <v>547</v>
      </c>
      <c r="AK191" t="s">
        <v>56</v>
      </c>
      <c r="AL191" t="s">
        <v>544</v>
      </c>
      <c r="AM191">
        <v>8</v>
      </c>
      <c r="AN191">
        <v>0</v>
      </c>
      <c r="AO191">
        <v>9</v>
      </c>
      <c r="AP191">
        <v>0</v>
      </c>
      <c r="AQ191" s="5">
        <v>15</v>
      </c>
      <c r="AR191">
        <v>18</v>
      </c>
      <c r="AS191">
        <v>0</v>
      </c>
      <c r="AT191">
        <v>19</v>
      </c>
      <c r="AU191">
        <v>0</v>
      </c>
      <c r="AV191" s="5">
        <v>11</v>
      </c>
      <c r="AW191" t="s">
        <v>56</v>
      </c>
      <c r="AX191" s="6">
        <v>94</v>
      </c>
      <c r="AY191" t="s">
        <v>547</v>
      </c>
      <c r="AZ191" t="s">
        <v>56</v>
      </c>
    </row>
    <row r="192" spans="1:52" hidden="1" x14ac:dyDescent="0.45">
      <c r="A192">
        <v>514693.39819358703</v>
      </c>
      <c r="B192">
        <v>6937980.8660907196</v>
      </c>
      <c r="C192">
        <v>191</v>
      </c>
      <c r="D192" t="s">
        <v>548</v>
      </c>
      <c r="E192" t="s">
        <v>549</v>
      </c>
      <c r="F192" t="s">
        <v>550</v>
      </c>
      <c r="G192" t="s">
        <v>547</v>
      </c>
      <c r="H192" s="3">
        <v>1102</v>
      </c>
      <c r="I192">
        <v>2</v>
      </c>
      <c r="J192" t="s">
        <v>56</v>
      </c>
      <c r="K192">
        <v>57.9</v>
      </c>
      <c r="L192">
        <v>65.900000000000006</v>
      </c>
      <c r="M192">
        <v>1</v>
      </c>
      <c r="N192" t="s">
        <v>56</v>
      </c>
      <c r="O192" t="s">
        <v>547</v>
      </c>
      <c r="P192">
        <v>92.3</v>
      </c>
      <c r="Q192">
        <v>1.7</v>
      </c>
      <c r="R192">
        <v>5.2</v>
      </c>
      <c r="S192">
        <v>0.3</v>
      </c>
      <c r="T192">
        <v>0.2</v>
      </c>
      <c r="U192">
        <v>0</v>
      </c>
      <c r="V192">
        <v>0.2</v>
      </c>
      <c r="W192">
        <v>0</v>
      </c>
      <c r="X192">
        <v>0.1</v>
      </c>
      <c r="Y192">
        <v>0</v>
      </c>
      <c r="Z192">
        <v>0</v>
      </c>
      <c r="AA192">
        <v>0</v>
      </c>
      <c r="AB192">
        <v>0</v>
      </c>
      <c r="AC192" t="s">
        <v>547</v>
      </c>
      <c r="AD192">
        <v>60</v>
      </c>
      <c r="AE192" t="s">
        <v>547</v>
      </c>
      <c r="AF192" s="4" t="s">
        <v>80</v>
      </c>
      <c r="AG192" s="4">
        <v>649</v>
      </c>
      <c r="AH192" s="4" t="s">
        <v>81</v>
      </c>
      <c r="AI192" s="4">
        <v>512</v>
      </c>
      <c r="AJ192" t="s">
        <v>547</v>
      </c>
      <c r="AK192" t="s">
        <v>56</v>
      </c>
      <c r="AL192" t="s">
        <v>548</v>
      </c>
      <c r="AM192">
        <v>7</v>
      </c>
      <c r="AN192">
        <v>0</v>
      </c>
      <c r="AO192">
        <v>8</v>
      </c>
      <c r="AP192">
        <v>0</v>
      </c>
      <c r="AQ192" s="5">
        <v>73</v>
      </c>
      <c r="AR192">
        <v>17</v>
      </c>
      <c r="AS192">
        <v>0</v>
      </c>
      <c r="AT192">
        <v>18</v>
      </c>
      <c r="AU192">
        <v>0</v>
      </c>
      <c r="AV192" s="5">
        <v>172</v>
      </c>
      <c r="AW192" t="s">
        <v>56</v>
      </c>
      <c r="AX192" s="6">
        <v>1161</v>
      </c>
      <c r="AY192" t="s">
        <v>547</v>
      </c>
      <c r="AZ192" t="s">
        <v>56</v>
      </c>
    </row>
    <row r="193" spans="1:52" hidden="1" x14ac:dyDescent="0.45">
      <c r="A193">
        <v>513240.23791723198</v>
      </c>
      <c r="B193">
        <v>6937121.6274899803</v>
      </c>
      <c r="C193">
        <v>192</v>
      </c>
      <c r="D193" t="s">
        <v>551</v>
      </c>
      <c r="E193" t="s">
        <v>552</v>
      </c>
      <c r="F193" t="s">
        <v>553</v>
      </c>
      <c r="G193" t="s">
        <v>547</v>
      </c>
      <c r="H193" s="3">
        <v>2862</v>
      </c>
      <c r="I193">
        <v>2</v>
      </c>
      <c r="J193" t="s">
        <v>56</v>
      </c>
      <c r="K193">
        <v>49.9</v>
      </c>
      <c r="L193">
        <v>58.3</v>
      </c>
      <c r="M193">
        <v>1</v>
      </c>
      <c r="N193" t="s">
        <v>56</v>
      </c>
      <c r="O193" t="s">
        <v>547</v>
      </c>
      <c r="P193">
        <v>93.8</v>
      </c>
      <c r="Q193">
        <v>1</v>
      </c>
      <c r="R193">
        <v>4.7</v>
      </c>
      <c r="S193">
        <v>0.3</v>
      </c>
      <c r="T193">
        <v>0.1</v>
      </c>
      <c r="U193">
        <v>0</v>
      </c>
      <c r="V193">
        <v>0.1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 t="s">
        <v>547</v>
      </c>
      <c r="AD193">
        <v>50</v>
      </c>
      <c r="AE193" t="s">
        <v>547</v>
      </c>
      <c r="AF193" s="4" t="s">
        <v>57</v>
      </c>
      <c r="AG193" s="4">
        <v>1659</v>
      </c>
      <c r="AH193" s="4" t="s">
        <v>58</v>
      </c>
      <c r="AI193" s="4">
        <v>1836</v>
      </c>
      <c r="AJ193" t="s">
        <v>547</v>
      </c>
      <c r="AK193" t="s">
        <v>56</v>
      </c>
      <c r="AL193" t="s">
        <v>551</v>
      </c>
      <c r="AM193">
        <v>8</v>
      </c>
      <c r="AN193">
        <v>0</v>
      </c>
      <c r="AO193">
        <v>9</v>
      </c>
      <c r="AP193">
        <v>0</v>
      </c>
      <c r="AQ193" s="5">
        <v>495</v>
      </c>
      <c r="AR193">
        <v>14</v>
      </c>
      <c r="AS193">
        <v>0</v>
      </c>
      <c r="AT193">
        <v>15</v>
      </c>
      <c r="AU193">
        <v>0</v>
      </c>
      <c r="AV193" s="5">
        <v>374</v>
      </c>
      <c r="AW193" t="s">
        <v>56</v>
      </c>
      <c r="AX193" s="6">
        <v>3496</v>
      </c>
      <c r="AY193" t="s">
        <v>547</v>
      </c>
      <c r="AZ193" t="s">
        <v>56</v>
      </c>
    </row>
    <row r="194" spans="1:52" hidden="1" x14ac:dyDescent="0.45">
      <c r="A194">
        <v>510704.10023657698</v>
      </c>
      <c r="B194">
        <v>6944323.8313019499</v>
      </c>
      <c r="C194">
        <v>193</v>
      </c>
      <c r="D194" t="s">
        <v>554</v>
      </c>
      <c r="E194" t="s">
        <v>545</v>
      </c>
      <c r="F194" t="s">
        <v>555</v>
      </c>
      <c r="G194" t="s">
        <v>547</v>
      </c>
      <c r="H194" s="3">
        <v>329</v>
      </c>
      <c r="I194">
        <v>2</v>
      </c>
      <c r="J194" t="s">
        <v>56</v>
      </c>
      <c r="K194">
        <v>42.6</v>
      </c>
      <c r="L194">
        <v>53.3</v>
      </c>
      <c r="M194">
        <v>1</v>
      </c>
      <c r="N194" t="s">
        <v>56</v>
      </c>
      <c r="O194" t="s">
        <v>547</v>
      </c>
      <c r="P194">
        <v>97.5</v>
      </c>
      <c r="Q194">
        <v>0.3</v>
      </c>
      <c r="R194">
        <v>1.9</v>
      </c>
      <c r="S194">
        <v>0.3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 t="s">
        <v>547</v>
      </c>
      <c r="AD194">
        <v>50</v>
      </c>
      <c r="AE194" t="s">
        <v>547</v>
      </c>
      <c r="AF194" s="4" t="s">
        <v>57</v>
      </c>
      <c r="AG194" s="4">
        <v>161</v>
      </c>
      <c r="AH194" s="4" t="s">
        <v>58</v>
      </c>
      <c r="AI194" s="4">
        <v>202</v>
      </c>
      <c r="AJ194" t="s">
        <v>547</v>
      </c>
      <c r="AK194" t="s">
        <v>56</v>
      </c>
      <c r="AL194" t="s">
        <v>554</v>
      </c>
      <c r="AM194">
        <v>8</v>
      </c>
      <c r="AN194">
        <v>0</v>
      </c>
      <c r="AO194">
        <v>9</v>
      </c>
      <c r="AP194">
        <v>0</v>
      </c>
      <c r="AQ194" s="5">
        <v>45</v>
      </c>
      <c r="AR194">
        <v>15</v>
      </c>
      <c r="AS194">
        <v>0</v>
      </c>
      <c r="AT194">
        <v>16</v>
      </c>
      <c r="AU194">
        <v>0</v>
      </c>
      <c r="AV194" s="5">
        <v>46</v>
      </c>
      <c r="AW194" t="s">
        <v>56</v>
      </c>
      <c r="AX194" s="6">
        <v>362</v>
      </c>
      <c r="AY194" t="s">
        <v>547</v>
      </c>
      <c r="AZ194" t="s">
        <v>56</v>
      </c>
    </row>
    <row r="195" spans="1:52" hidden="1" x14ac:dyDescent="0.45">
      <c r="A195">
        <v>508076.87037845398</v>
      </c>
      <c r="B195">
        <v>6939281.6296597999</v>
      </c>
      <c r="C195">
        <v>194</v>
      </c>
      <c r="D195" t="s">
        <v>556</v>
      </c>
      <c r="E195" t="s">
        <v>452</v>
      </c>
      <c r="F195" t="s">
        <v>557</v>
      </c>
      <c r="G195" t="s">
        <v>547</v>
      </c>
      <c r="H195" s="3">
        <v>3127</v>
      </c>
      <c r="I195">
        <v>2</v>
      </c>
      <c r="J195" t="s">
        <v>56</v>
      </c>
      <c r="K195">
        <v>51.7</v>
      </c>
      <c r="L195">
        <v>58.7</v>
      </c>
      <c r="M195">
        <v>1</v>
      </c>
      <c r="N195" t="s">
        <v>56</v>
      </c>
      <c r="O195" t="s">
        <v>547</v>
      </c>
      <c r="P195">
        <v>95.9</v>
      </c>
      <c r="Q195">
        <v>1.2</v>
      </c>
      <c r="R195">
        <v>2.7</v>
      </c>
      <c r="S195">
        <v>0.2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 t="s">
        <v>547</v>
      </c>
      <c r="AD195">
        <v>50</v>
      </c>
      <c r="AE195" t="s">
        <v>547</v>
      </c>
      <c r="AF195" s="4" t="s">
        <v>80</v>
      </c>
      <c r="AG195" s="4">
        <v>1933</v>
      </c>
      <c r="AH195" s="4" t="s">
        <v>81</v>
      </c>
      <c r="AI195" s="4">
        <v>1616</v>
      </c>
      <c r="AJ195" t="s">
        <v>547</v>
      </c>
      <c r="AK195" t="s">
        <v>56</v>
      </c>
      <c r="AL195" t="s">
        <v>556</v>
      </c>
      <c r="AM195">
        <v>7</v>
      </c>
      <c r="AN195">
        <v>0</v>
      </c>
      <c r="AO195">
        <v>8</v>
      </c>
      <c r="AP195">
        <v>0</v>
      </c>
      <c r="AQ195" s="5">
        <v>440</v>
      </c>
      <c r="AR195">
        <v>16</v>
      </c>
      <c r="AS195">
        <v>0</v>
      </c>
      <c r="AT195">
        <v>17</v>
      </c>
      <c r="AU195">
        <v>0</v>
      </c>
      <c r="AV195" s="5">
        <v>451</v>
      </c>
      <c r="AW195" t="s">
        <v>56</v>
      </c>
      <c r="AX195" s="6">
        <v>3549</v>
      </c>
      <c r="AY195" t="s">
        <v>547</v>
      </c>
      <c r="AZ195" t="s">
        <v>56</v>
      </c>
    </row>
    <row r="196" spans="1:52" hidden="1" x14ac:dyDescent="0.45">
      <c r="A196">
        <v>508335.31302403001</v>
      </c>
      <c r="B196">
        <v>6939366.7482219199</v>
      </c>
      <c r="C196">
        <v>195</v>
      </c>
      <c r="D196" t="s">
        <v>467</v>
      </c>
      <c r="E196" t="s">
        <v>452</v>
      </c>
      <c r="F196" t="s">
        <v>558</v>
      </c>
      <c r="G196" t="s">
        <v>547</v>
      </c>
      <c r="H196" s="3">
        <v>3104</v>
      </c>
      <c r="I196">
        <v>2</v>
      </c>
      <c r="J196" t="s">
        <v>56</v>
      </c>
      <c r="K196">
        <v>54.9</v>
      </c>
      <c r="L196">
        <v>61.2</v>
      </c>
      <c r="M196">
        <v>1</v>
      </c>
      <c r="N196" t="s">
        <v>56</v>
      </c>
      <c r="O196" t="s">
        <v>547</v>
      </c>
      <c r="P196">
        <v>93.3</v>
      </c>
      <c r="Q196">
        <v>1</v>
      </c>
      <c r="R196">
        <v>5.4</v>
      </c>
      <c r="S196">
        <v>0.2</v>
      </c>
      <c r="T196">
        <v>0</v>
      </c>
      <c r="U196">
        <v>0.1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 t="s">
        <v>547</v>
      </c>
      <c r="AD196">
        <v>50</v>
      </c>
      <c r="AE196" t="s">
        <v>547</v>
      </c>
      <c r="AF196" s="4" t="s">
        <v>57</v>
      </c>
      <c r="AG196" s="4">
        <v>1914</v>
      </c>
      <c r="AH196" s="4" t="s">
        <v>58</v>
      </c>
      <c r="AI196" s="4">
        <v>1623</v>
      </c>
      <c r="AJ196" t="s">
        <v>547</v>
      </c>
      <c r="AK196" t="s">
        <v>56</v>
      </c>
      <c r="AL196" t="s">
        <v>467</v>
      </c>
      <c r="AM196">
        <v>7</v>
      </c>
      <c r="AN196">
        <v>0</v>
      </c>
      <c r="AO196">
        <v>8</v>
      </c>
      <c r="AP196">
        <v>0</v>
      </c>
      <c r="AQ196" s="5">
        <v>270</v>
      </c>
      <c r="AR196">
        <v>16</v>
      </c>
      <c r="AS196">
        <v>0</v>
      </c>
      <c r="AT196">
        <v>17</v>
      </c>
      <c r="AU196">
        <v>0</v>
      </c>
      <c r="AV196" s="5">
        <v>401</v>
      </c>
      <c r="AW196" t="s">
        <v>56</v>
      </c>
      <c r="AX196" s="6">
        <v>3537</v>
      </c>
      <c r="AY196" t="s">
        <v>547</v>
      </c>
      <c r="AZ196" t="s">
        <v>56</v>
      </c>
    </row>
    <row r="197" spans="1:52" hidden="1" x14ac:dyDescent="0.45">
      <c r="A197">
        <v>495633.96056615497</v>
      </c>
      <c r="B197">
        <v>6924600.61890708</v>
      </c>
      <c r="C197">
        <v>196</v>
      </c>
      <c r="D197" t="s">
        <v>559</v>
      </c>
      <c r="E197" t="s">
        <v>426</v>
      </c>
      <c r="F197" t="s">
        <v>560</v>
      </c>
      <c r="G197" t="s">
        <v>547</v>
      </c>
      <c r="H197" s="3">
        <v>208</v>
      </c>
      <c r="I197">
        <v>2</v>
      </c>
      <c r="J197" t="s">
        <v>56</v>
      </c>
      <c r="K197">
        <v>37.700000000000003</v>
      </c>
      <c r="L197">
        <v>46.8</v>
      </c>
      <c r="M197">
        <v>1</v>
      </c>
      <c r="N197" t="s">
        <v>56</v>
      </c>
      <c r="O197" t="s">
        <v>547</v>
      </c>
      <c r="P197">
        <v>93.4</v>
      </c>
      <c r="Q197">
        <v>1.2</v>
      </c>
      <c r="R197">
        <v>4.2</v>
      </c>
      <c r="S197">
        <v>0.6</v>
      </c>
      <c r="T197">
        <v>0.3</v>
      </c>
      <c r="U197">
        <v>0</v>
      </c>
      <c r="V197">
        <v>0.1</v>
      </c>
      <c r="W197">
        <v>0.1</v>
      </c>
      <c r="X197">
        <v>0.1</v>
      </c>
      <c r="Y197">
        <v>0</v>
      </c>
      <c r="Z197">
        <v>0</v>
      </c>
      <c r="AA197">
        <v>0</v>
      </c>
      <c r="AB197">
        <v>0</v>
      </c>
      <c r="AC197" t="s">
        <v>547</v>
      </c>
      <c r="AD197">
        <v>50</v>
      </c>
      <c r="AE197" t="s">
        <v>547</v>
      </c>
      <c r="AF197" s="4" t="s">
        <v>80</v>
      </c>
      <c r="AG197" s="4">
        <v>111</v>
      </c>
      <c r="AH197" s="4" t="s">
        <v>81</v>
      </c>
      <c r="AI197" s="4">
        <v>105</v>
      </c>
      <c r="AJ197" t="s">
        <v>547</v>
      </c>
      <c r="AK197" t="s">
        <v>56</v>
      </c>
      <c r="AL197" t="s">
        <v>559</v>
      </c>
      <c r="AM197">
        <v>7</v>
      </c>
      <c r="AN197">
        <v>0</v>
      </c>
      <c r="AO197">
        <v>8</v>
      </c>
      <c r="AP197">
        <v>0</v>
      </c>
      <c r="AQ197" s="5">
        <v>25</v>
      </c>
      <c r="AR197">
        <v>17</v>
      </c>
      <c r="AS197">
        <v>0</v>
      </c>
      <c r="AT197">
        <v>18</v>
      </c>
      <c r="AU197">
        <v>0</v>
      </c>
      <c r="AV197" s="5">
        <v>25</v>
      </c>
      <c r="AW197" t="s">
        <v>56</v>
      </c>
      <c r="AX197" s="6">
        <v>216</v>
      </c>
      <c r="AY197" t="s">
        <v>547</v>
      </c>
      <c r="AZ197" t="s">
        <v>56</v>
      </c>
    </row>
    <row r="198" spans="1:52" hidden="1" x14ac:dyDescent="0.45">
      <c r="A198">
        <v>510457.43774209899</v>
      </c>
      <c r="B198">
        <v>6940519.6644506603</v>
      </c>
      <c r="C198">
        <v>197</v>
      </c>
      <c r="D198" t="s">
        <v>561</v>
      </c>
      <c r="E198" t="s">
        <v>516</v>
      </c>
      <c r="F198" t="s">
        <v>562</v>
      </c>
      <c r="G198" t="s">
        <v>563</v>
      </c>
      <c r="H198" s="3">
        <v>1400</v>
      </c>
      <c r="I198">
        <v>2</v>
      </c>
      <c r="J198" t="s">
        <v>56</v>
      </c>
      <c r="K198">
        <v>52.6</v>
      </c>
      <c r="L198">
        <v>60.8</v>
      </c>
      <c r="M198">
        <v>1</v>
      </c>
      <c r="N198" t="s">
        <v>56</v>
      </c>
      <c r="O198" t="s">
        <v>563</v>
      </c>
      <c r="P198">
        <v>89.2</v>
      </c>
      <c r="Q198">
        <v>0.8</v>
      </c>
      <c r="R198">
        <v>9.4</v>
      </c>
      <c r="S198">
        <v>0.2</v>
      </c>
      <c r="T198">
        <v>0</v>
      </c>
      <c r="U198">
        <v>0</v>
      </c>
      <c r="V198">
        <v>0.1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0.3</v>
      </c>
      <c r="AC198" t="s">
        <v>563</v>
      </c>
      <c r="AD198">
        <v>50</v>
      </c>
      <c r="AE198" t="s">
        <v>563</v>
      </c>
      <c r="AF198" s="4" t="s">
        <v>57</v>
      </c>
      <c r="AG198" s="4">
        <v>696</v>
      </c>
      <c r="AH198" s="4" t="s">
        <v>58</v>
      </c>
      <c r="AI198" s="4">
        <v>704</v>
      </c>
      <c r="AJ198" t="s">
        <v>563</v>
      </c>
      <c r="AK198" t="s">
        <v>56</v>
      </c>
      <c r="AL198" t="s">
        <v>562</v>
      </c>
      <c r="AM198">
        <v>8</v>
      </c>
      <c r="AN198">
        <v>0</v>
      </c>
      <c r="AO198">
        <v>9</v>
      </c>
      <c r="AP198">
        <v>0</v>
      </c>
      <c r="AQ198" s="5">
        <v>185</v>
      </c>
      <c r="AR198">
        <v>15</v>
      </c>
      <c r="AS198">
        <v>0</v>
      </c>
      <c r="AT198">
        <v>16</v>
      </c>
      <c r="AU198">
        <v>0</v>
      </c>
      <c r="AV198" s="5">
        <v>172</v>
      </c>
      <c r="AW198" t="s">
        <v>56</v>
      </c>
      <c r="AX198" s="6">
        <v>1521</v>
      </c>
      <c r="AY198" t="s">
        <v>563</v>
      </c>
      <c r="AZ198" t="s">
        <v>56</v>
      </c>
    </row>
    <row r="199" spans="1:52" hidden="1" x14ac:dyDescent="0.45">
      <c r="A199">
        <v>510650.032316653</v>
      </c>
      <c r="B199">
        <v>6940485.3803652003</v>
      </c>
      <c r="C199">
        <v>198</v>
      </c>
      <c r="D199" t="s">
        <v>561</v>
      </c>
      <c r="E199" t="s">
        <v>516</v>
      </c>
      <c r="F199" t="s">
        <v>564</v>
      </c>
      <c r="G199" t="s">
        <v>565</v>
      </c>
      <c r="H199" s="3">
        <v>1166</v>
      </c>
      <c r="I199">
        <v>2</v>
      </c>
      <c r="J199" t="s">
        <v>56</v>
      </c>
      <c r="K199">
        <v>45.2</v>
      </c>
      <c r="L199">
        <v>52.6</v>
      </c>
      <c r="M199">
        <v>1</v>
      </c>
      <c r="N199" t="s">
        <v>56</v>
      </c>
      <c r="O199" t="s">
        <v>565</v>
      </c>
      <c r="P199">
        <v>86.2</v>
      </c>
      <c r="Q199">
        <v>0.8</v>
      </c>
      <c r="R199">
        <v>12.5</v>
      </c>
      <c r="S199">
        <v>0.2</v>
      </c>
      <c r="T199">
        <v>0</v>
      </c>
      <c r="U199">
        <v>0</v>
      </c>
      <c r="V199">
        <v>0.1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0.2</v>
      </c>
      <c r="AC199" t="s">
        <v>565</v>
      </c>
      <c r="AD199">
        <v>50</v>
      </c>
      <c r="AE199" t="s">
        <v>565</v>
      </c>
      <c r="AF199" s="4" t="s">
        <v>57</v>
      </c>
      <c r="AG199" s="4">
        <v>545</v>
      </c>
      <c r="AH199" s="4" t="s">
        <v>58</v>
      </c>
      <c r="AI199" s="4">
        <v>621</v>
      </c>
      <c r="AJ199" t="s">
        <v>565</v>
      </c>
      <c r="AK199" t="s">
        <v>56</v>
      </c>
      <c r="AL199" t="s">
        <v>564</v>
      </c>
      <c r="AM199">
        <v>8</v>
      </c>
      <c r="AN199">
        <v>0</v>
      </c>
      <c r="AO199">
        <v>9</v>
      </c>
      <c r="AP199">
        <v>0</v>
      </c>
      <c r="AQ199" s="5">
        <v>185</v>
      </c>
      <c r="AR199">
        <v>15</v>
      </c>
      <c r="AS199">
        <v>0</v>
      </c>
      <c r="AT199">
        <v>16</v>
      </c>
      <c r="AU199">
        <v>0</v>
      </c>
      <c r="AV199" s="5">
        <v>178</v>
      </c>
      <c r="AW199" t="s">
        <v>56</v>
      </c>
      <c r="AX199" s="6">
        <v>1273</v>
      </c>
      <c r="AY199" t="s">
        <v>565</v>
      </c>
      <c r="AZ199" t="s">
        <v>56</v>
      </c>
    </row>
    <row r="200" spans="1:52" hidden="1" x14ac:dyDescent="0.45">
      <c r="A200">
        <v>510654.18032397202</v>
      </c>
      <c r="B200">
        <v>6940379.0376643501</v>
      </c>
      <c r="C200">
        <v>199</v>
      </c>
      <c r="D200" t="s">
        <v>566</v>
      </c>
      <c r="E200" t="s">
        <v>516</v>
      </c>
      <c r="F200" t="s">
        <v>567</v>
      </c>
      <c r="G200" t="s">
        <v>568</v>
      </c>
      <c r="H200" s="3">
        <v>923</v>
      </c>
      <c r="I200">
        <v>2</v>
      </c>
      <c r="J200" t="s">
        <v>56</v>
      </c>
      <c r="K200">
        <v>38.200000000000003</v>
      </c>
      <c r="L200">
        <v>46.8</v>
      </c>
      <c r="M200">
        <v>1</v>
      </c>
      <c r="N200" t="s">
        <v>56</v>
      </c>
      <c r="O200" t="s">
        <v>568</v>
      </c>
      <c r="P200">
        <v>85.4</v>
      </c>
      <c r="Q200">
        <v>0.4</v>
      </c>
      <c r="R200">
        <v>13.4</v>
      </c>
      <c r="S200">
        <v>0.2</v>
      </c>
      <c r="T200">
        <v>0</v>
      </c>
      <c r="U200">
        <v>0</v>
      </c>
      <c r="V200">
        <v>0.5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0.1</v>
      </c>
      <c r="AC200" t="s">
        <v>568</v>
      </c>
      <c r="AD200">
        <v>50</v>
      </c>
      <c r="AE200" t="s">
        <v>568</v>
      </c>
      <c r="AF200" s="4" t="s">
        <v>57</v>
      </c>
      <c r="AG200" s="4">
        <v>427</v>
      </c>
      <c r="AH200" s="4" t="s">
        <v>58</v>
      </c>
      <c r="AI200" s="4">
        <v>496</v>
      </c>
      <c r="AJ200" t="s">
        <v>568</v>
      </c>
      <c r="AK200" t="s">
        <v>56</v>
      </c>
      <c r="AL200" t="s">
        <v>567</v>
      </c>
      <c r="AM200">
        <v>8</v>
      </c>
      <c r="AN200">
        <v>0</v>
      </c>
      <c r="AO200">
        <v>9</v>
      </c>
      <c r="AP200">
        <v>0</v>
      </c>
      <c r="AQ200" s="5">
        <v>79</v>
      </c>
      <c r="AR200">
        <v>15</v>
      </c>
      <c r="AS200">
        <v>0</v>
      </c>
      <c r="AT200">
        <v>16</v>
      </c>
      <c r="AU200">
        <v>0</v>
      </c>
      <c r="AV200" s="5">
        <v>120</v>
      </c>
      <c r="AW200" t="s">
        <v>56</v>
      </c>
      <c r="AX200" s="6">
        <v>949</v>
      </c>
      <c r="AY200" t="s">
        <v>568</v>
      </c>
      <c r="AZ200" t="s">
        <v>56</v>
      </c>
    </row>
    <row r="201" spans="1:52" hidden="1" x14ac:dyDescent="0.45">
      <c r="A201">
        <v>513108.84945488803</v>
      </c>
      <c r="B201">
        <v>6945046.0250459602</v>
      </c>
      <c r="C201">
        <v>200</v>
      </c>
      <c r="D201" t="s">
        <v>569</v>
      </c>
      <c r="E201" t="s">
        <v>335</v>
      </c>
      <c r="F201" t="s">
        <v>570</v>
      </c>
      <c r="G201" t="s">
        <v>565</v>
      </c>
      <c r="H201" s="3">
        <v>5873</v>
      </c>
      <c r="I201">
        <v>2</v>
      </c>
      <c r="J201" t="s">
        <v>56</v>
      </c>
      <c r="K201">
        <v>56</v>
      </c>
      <c r="L201">
        <v>62.6</v>
      </c>
      <c r="M201">
        <v>1</v>
      </c>
      <c r="N201" t="s">
        <v>56</v>
      </c>
      <c r="O201" t="s">
        <v>565</v>
      </c>
      <c r="P201">
        <v>75.3</v>
      </c>
      <c r="Q201">
        <v>10.8</v>
      </c>
      <c r="R201">
        <v>7.2</v>
      </c>
      <c r="S201">
        <v>1.7</v>
      </c>
      <c r="T201">
        <v>2.9</v>
      </c>
      <c r="U201">
        <v>0</v>
      </c>
      <c r="V201">
        <v>0.2</v>
      </c>
      <c r="W201">
        <v>0</v>
      </c>
      <c r="X201">
        <v>0.1</v>
      </c>
      <c r="Y201">
        <v>0</v>
      </c>
      <c r="Z201">
        <v>0</v>
      </c>
      <c r="AA201">
        <v>0</v>
      </c>
      <c r="AB201">
        <v>1.8</v>
      </c>
      <c r="AC201" t="s">
        <v>565</v>
      </c>
      <c r="AD201">
        <v>60</v>
      </c>
      <c r="AE201" t="s">
        <v>565</v>
      </c>
      <c r="AF201" s="4" t="s">
        <v>57</v>
      </c>
      <c r="AG201" s="4">
        <v>2835</v>
      </c>
      <c r="AH201" s="4" t="s">
        <v>58</v>
      </c>
      <c r="AI201" s="4">
        <v>3038</v>
      </c>
      <c r="AJ201" t="s">
        <v>565</v>
      </c>
      <c r="AK201" t="s">
        <v>56</v>
      </c>
      <c r="AL201" t="s">
        <v>570</v>
      </c>
      <c r="AM201">
        <v>8</v>
      </c>
      <c r="AN201">
        <v>0</v>
      </c>
      <c r="AO201">
        <v>9</v>
      </c>
      <c r="AP201">
        <v>0</v>
      </c>
      <c r="AQ201" s="5">
        <v>812</v>
      </c>
      <c r="AR201">
        <v>17</v>
      </c>
      <c r="AS201">
        <v>0</v>
      </c>
      <c r="AT201">
        <v>18</v>
      </c>
      <c r="AU201">
        <v>0</v>
      </c>
      <c r="AV201" s="5">
        <v>732</v>
      </c>
      <c r="AW201" t="s">
        <v>56</v>
      </c>
      <c r="AX201" s="6">
        <v>6330</v>
      </c>
      <c r="AY201" t="s">
        <v>565</v>
      </c>
      <c r="AZ201" t="s">
        <v>56</v>
      </c>
    </row>
    <row r="202" spans="1:52" hidden="1" x14ac:dyDescent="0.45">
      <c r="A202">
        <v>509555.06034642598</v>
      </c>
      <c r="B202">
        <v>6943901.20424667</v>
      </c>
      <c r="C202">
        <v>201</v>
      </c>
      <c r="D202" t="s">
        <v>571</v>
      </c>
      <c r="E202" t="s">
        <v>545</v>
      </c>
      <c r="F202" t="s">
        <v>572</v>
      </c>
      <c r="G202" t="s">
        <v>573</v>
      </c>
      <c r="H202" s="3">
        <v>85</v>
      </c>
      <c r="I202">
        <v>2</v>
      </c>
      <c r="J202" t="s">
        <v>56</v>
      </c>
      <c r="K202">
        <v>36.6</v>
      </c>
      <c r="L202">
        <v>47.5</v>
      </c>
      <c r="M202">
        <v>1</v>
      </c>
      <c r="N202" t="s">
        <v>56</v>
      </c>
      <c r="O202" t="s">
        <v>573</v>
      </c>
      <c r="P202">
        <v>86.8</v>
      </c>
      <c r="Q202">
        <v>1.3</v>
      </c>
      <c r="R202">
        <v>10.4</v>
      </c>
      <c r="S202">
        <v>1.1000000000000001</v>
      </c>
      <c r="T202">
        <v>0.1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0.3</v>
      </c>
      <c r="AC202" t="s">
        <v>573</v>
      </c>
      <c r="AD202">
        <v>50</v>
      </c>
      <c r="AE202" t="s">
        <v>573</v>
      </c>
      <c r="AF202" s="4" t="s">
        <v>80</v>
      </c>
      <c r="AG202" s="4">
        <v>41</v>
      </c>
      <c r="AH202" s="4" t="s">
        <v>81</v>
      </c>
      <c r="AI202" s="4">
        <v>44</v>
      </c>
      <c r="AJ202" t="s">
        <v>573</v>
      </c>
      <c r="AK202" t="s">
        <v>56</v>
      </c>
      <c r="AL202" t="s">
        <v>572</v>
      </c>
      <c r="AM202">
        <v>9</v>
      </c>
      <c r="AN202">
        <v>0</v>
      </c>
      <c r="AO202">
        <v>10</v>
      </c>
      <c r="AP202">
        <v>0</v>
      </c>
      <c r="AQ202" s="5">
        <v>12</v>
      </c>
      <c r="AR202">
        <v>14</v>
      </c>
      <c r="AS202">
        <v>0</v>
      </c>
      <c r="AT202">
        <v>15</v>
      </c>
      <c r="AU202">
        <v>0</v>
      </c>
      <c r="AV202" s="5">
        <v>13</v>
      </c>
      <c r="AW202" t="s">
        <v>56</v>
      </c>
      <c r="AX202" s="6">
        <v>86</v>
      </c>
      <c r="AY202" t="s">
        <v>573</v>
      </c>
      <c r="AZ202" t="s">
        <v>56</v>
      </c>
    </row>
    <row r="203" spans="1:52" hidden="1" x14ac:dyDescent="0.45">
      <c r="A203">
        <v>509903.838767651</v>
      </c>
      <c r="B203">
        <v>6943809.7626792304</v>
      </c>
      <c r="C203">
        <v>202</v>
      </c>
      <c r="D203" t="s">
        <v>574</v>
      </c>
      <c r="E203" t="s">
        <v>545</v>
      </c>
      <c r="F203" t="s">
        <v>575</v>
      </c>
      <c r="G203" t="s">
        <v>565</v>
      </c>
      <c r="H203" s="3">
        <v>577</v>
      </c>
      <c r="I203">
        <v>2</v>
      </c>
      <c r="J203" t="s">
        <v>56</v>
      </c>
      <c r="K203">
        <v>46.2</v>
      </c>
      <c r="L203">
        <v>57.6</v>
      </c>
      <c r="M203">
        <v>1</v>
      </c>
      <c r="N203" t="s">
        <v>56</v>
      </c>
      <c r="O203" t="s">
        <v>565</v>
      </c>
      <c r="P203">
        <v>87</v>
      </c>
      <c r="Q203">
        <v>0.6</v>
      </c>
      <c r="R203">
        <v>11.2</v>
      </c>
      <c r="S203">
        <v>0.8</v>
      </c>
      <c r="T203">
        <v>0</v>
      </c>
      <c r="U203">
        <v>0</v>
      </c>
      <c r="V203">
        <v>0.2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0.2</v>
      </c>
      <c r="AC203" t="s">
        <v>565</v>
      </c>
      <c r="AD203">
        <v>50</v>
      </c>
      <c r="AE203" t="s">
        <v>565</v>
      </c>
      <c r="AF203" s="4" t="s">
        <v>57</v>
      </c>
      <c r="AG203" s="4">
        <v>283</v>
      </c>
      <c r="AH203" s="4" t="s">
        <v>58</v>
      </c>
      <c r="AI203" s="4">
        <v>294</v>
      </c>
      <c r="AJ203" t="s">
        <v>565</v>
      </c>
      <c r="AK203" t="s">
        <v>56</v>
      </c>
      <c r="AL203" t="s">
        <v>575</v>
      </c>
      <c r="AM203">
        <v>8</v>
      </c>
      <c r="AN203">
        <v>0</v>
      </c>
      <c r="AO203">
        <v>9</v>
      </c>
      <c r="AP203">
        <v>0</v>
      </c>
      <c r="AQ203" s="5">
        <v>54</v>
      </c>
      <c r="AR203">
        <v>17</v>
      </c>
      <c r="AS203">
        <v>0</v>
      </c>
      <c r="AT203">
        <v>18</v>
      </c>
      <c r="AU203">
        <v>0</v>
      </c>
      <c r="AV203" s="5">
        <v>56</v>
      </c>
      <c r="AW203" t="s">
        <v>56</v>
      </c>
      <c r="AX203" s="6">
        <v>603</v>
      </c>
      <c r="AY203" t="s">
        <v>565</v>
      </c>
      <c r="AZ203" t="s">
        <v>56</v>
      </c>
    </row>
    <row r="204" spans="1:52" hidden="1" x14ac:dyDescent="0.45">
      <c r="A204">
        <v>512053.24039130798</v>
      </c>
      <c r="B204">
        <v>6941881.6545884097</v>
      </c>
      <c r="C204">
        <v>203</v>
      </c>
      <c r="D204" t="s">
        <v>576</v>
      </c>
      <c r="E204" t="s">
        <v>465</v>
      </c>
      <c r="F204" t="s">
        <v>577</v>
      </c>
      <c r="G204" t="s">
        <v>565</v>
      </c>
      <c r="H204" s="3">
        <v>280</v>
      </c>
      <c r="I204">
        <v>2</v>
      </c>
      <c r="J204" t="s">
        <v>56</v>
      </c>
      <c r="K204">
        <v>41.7</v>
      </c>
      <c r="L204">
        <v>51.8</v>
      </c>
      <c r="M204">
        <v>1</v>
      </c>
      <c r="N204" t="s">
        <v>56</v>
      </c>
      <c r="O204" t="s">
        <v>565</v>
      </c>
      <c r="P204">
        <v>88.6</v>
      </c>
      <c r="Q204">
        <v>0.8</v>
      </c>
      <c r="R204">
        <v>10.199999999999999</v>
      </c>
      <c r="S204">
        <v>0.1</v>
      </c>
      <c r="T204">
        <v>0</v>
      </c>
      <c r="U204">
        <v>0</v>
      </c>
      <c r="V204">
        <v>0.1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0.2</v>
      </c>
      <c r="AC204" t="s">
        <v>565</v>
      </c>
      <c r="AD204">
        <v>50</v>
      </c>
      <c r="AE204" t="s">
        <v>565</v>
      </c>
      <c r="AF204" s="4" t="s">
        <v>57</v>
      </c>
      <c r="AG204" s="4">
        <v>154</v>
      </c>
      <c r="AH204" s="4" t="s">
        <v>58</v>
      </c>
      <c r="AI204" s="4">
        <v>126</v>
      </c>
      <c r="AJ204" t="s">
        <v>565</v>
      </c>
      <c r="AK204" t="s">
        <v>56</v>
      </c>
      <c r="AL204" t="s">
        <v>577</v>
      </c>
      <c r="AM204">
        <v>11</v>
      </c>
      <c r="AN204">
        <v>0</v>
      </c>
      <c r="AO204">
        <v>12</v>
      </c>
      <c r="AP204">
        <v>0</v>
      </c>
      <c r="AQ204" s="5">
        <v>24</v>
      </c>
      <c r="AR204">
        <v>15</v>
      </c>
      <c r="AS204">
        <v>0</v>
      </c>
      <c r="AT204">
        <v>16</v>
      </c>
      <c r="AU204">
        <v>0</v>
      </c>
      <c r="AV204" s="5">
        <v>30</v>
      </c>
      <c r="AW204" t="s">
        <v>56</v>
      </c>
      <c r="AX204" s="6">
        <v>295</v>
      </c>
      <c r="AY204" t="s">
        <v>565</v>
      </c>
      <c r="AZ204" t="s">
        <v>56</v>
      </c>
    </row>
    <row r="205" spans="1:52" hidden="1" x14ac:dyDescent="0.45">
      <c r="A205">
        <v>512962.53090733802</v>
      </c>
      <c r="B205">
        <v>6944122.1434459696</v>
      </c>
      <c r="C205">
        <v>204</v>
      </c>
      <c r="D205" t="s">
        <v>578</v>
      </c>
      <c r="E205" t="s">
        <v>335</v>
      </c>
      <c r="F205" t="s">
        <v>579</v>
      </c>
      <c r="G205" t="s">
        <v>565</v>
      </c>
      <c r="H205" s="3">
        <v>257</v>
      </c>
      <c r="I205">
        <v>2</v>
      </c>
      <c r="J205" t="s">
        <v>56</v>
      </c>
      <c r="K205">
        <v>43.6</v>
      </c>
      <c r="L205">
        <v>52.9</v>
      </c>
      <c r="M205">
        <v>1</v>
      </c>
      <c r="N205" t="s">
        <v>56</v>
      </c>
      <c r="O205" t="s">
        <v>565</v>
      </c>
      <c r="P205">
        <v>88.2</v>
      </c>
      <c r="Q205">
        <v>0.3</v>
      </c>
      <c r="R205">
        <v>10.6</v>
      </c>
      <c r="S205">
        <v>0.2</v>
      </c>
      <c r="T205">
        <v>0.3</v>
      </c>
      <c r="U205">
        <v>0</v>
      </c>
      <c r="V205">
        <v>0.3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0.1</v>
      </c>
      <c r="AC205" t="s">
        <v>565</v>
      </c>
      <c r="AD205">
        <v>50</v>
      </c>
      <c r="AE205" t="s">
        <v>565</v>
      </c>
      <c r="AF205" s="4" t="s">
        <v>57</v>
      </c>
      <c r="AG205" s="4">
        <v>102</v>
      </c>
      <c r="AH205" s="4" t="s">
        <v>58</v>
      </c>
      <c r="AI205" s="4">
        <v>155</v>
      </c>
      <c r="AJ205" t="s">
        <v>565</v>
      </c>
      <c r="AK205" t="s">
        <v>56</v>
      </c>
      <c r="AL205" t="s">
        <v>579</v>
      </c>
      <c r="AM205">
        <v>10</v>
      </c>
      <c r="AN205">
        <v>0</v>
      </c>
      <c r="AO205">
        <v>11</v>
      </c>
      <c r="AP205">
        <v>0</v>
      </c>
      <c r="AQ205" s="5">
        <v>32</v>
      </c>
      <c r="AR205">
        <v>14</v>
      </c>
      <c r="AS205">
        <v>0</v>
      </c>
      <c r="AT205">
        <v>15</v>
      </c>
      <c r="AU205">
        <v>0</v>
      </c>
      <c r="AV205" s="5">
        <v>31</v>
      </c>
      <c r="AW205" t="s">
        <v>56</v>
      </c>
      <c r="AX205" s="6">
        <v>273</v>
      </c>
      <c r="AY205" t="s">
        <v>565</v>
      </c>
      <c r="AZ205" t="s">
        <v>56</v>
      </c>
    </row>
    <row r="206" spans="1:52" hidden="1" x14ac:dyDescent="0.45">
      <c r="A206">
        <v>519956.92147183098</v>
      </c>
      <c r="B206">
        <v>6933253.4130571596</v>
      </c>
      <c r="C206">
        <v>205</v>
      </c>
      <c r="D206" t="s">
        <v>580</v>
      </c>
      <c r="E206" t="s">
        <v>581</v>
      </c>
      <c r="F206" t="s">
        <v>582</v>
      </c>
      <c r="G206" t="s">
        <v>583</v>
      </c>
      <c r="H206" s="3">
        <v>2930</v>
      </c>
      <c r="I206">
        <v>2</v>
      </c>
      <c r="J206" t="s">
        <v>56</v>
      </c>
      <c r="K206">
        <v>51.5</v>
      </c>
      <c r="L206">
        <v>60.8</v>
      </c>
      <c r="M206">
        <v>1</v>
      </c>
      <c r="N206" t="s">
        <v>56</v>
      </c>
      <c r="O206" t="s">
        <v>583</v>
      </c>
      <c r="P206">
        <v>82.4</v>
      </c>
      <c r="Q206">
        <v>0.7</v>
      </c>
      <c r="R206">
        <v>16.2</v>
      </c>
      <c r="S206">
        <v>0.2</v>
      </c>
      <c r="T206">
        <v>0.1</v>
      </c>
      <c r="U206">
        <v>0</v>
      </c>
      <c r="V206">
        <v>0.2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0.2</v>
      </c>
      <c r="AC206" t="s">
        <v>583</v>
      </c>
      <c r="AD206">
        <v>50</v>
      </c>
      <c r="AE206" t="s">
        <v>583</v>
      </c>
      <c r="AF206" s="4" t="s">
        <v>57</v>
      </c>
      <c r="AG206" s="4">
        <v>2930</v>
      </c>
      <c r="AJ206" t="s">
        <v>583</v>
      </c>
      <c r="AK206" t="s">
        <v>56</v>
      </c>
      <c r="AL206" t="s">
        <v>582</v>
      </c>
      <c r="AM206">
        <v>8</v>
      </c>
      <c r="AN206">
        <v>0</v>
      </c>
      <c r="AO206">
        <v>9</v>
      </c>
      <c r="AP206">
        <v>0</v>
      </c>
      <c r="AQ206" s="5">
        <v>310</v>
      </c>
      <c r="AR206">
        <v>15</v>
      </c>
      <c r="AS206">
        <v>0</v>
      </c>
      <c r="AT206">
        <v>16</v>
      </c>
      <c r="AU206">
        <v>0</v>
      </c>
      <c r="AV206" s="5">
        <v>318</v>
      </c>
      <c r="AW206" t="s">
        <v>56</v>
      </c>
      <c r="AX206" s="6">
        <v>3122</v>
      </c>
      <c r="AY206" t="s">
        <v>583</v>
      </c>
      <c r="AZ206" t="s">
        <v>56</v>
      </c>
    </row>
    <row r="207" spans="1:52" hidden="1" x14ac:dyDescent="0.45">
      <c r="A207">
        <v>519959.84819916502</v>
      </c>
      <c r="B207">
        <v>6933234.9094217401</v>
      </c>
      <c r="C207">
        <v>206</v>
      </c>
      <c r="D207" t="s">
        <v>580</v>
      </c>
      <c r="E207" t="s">
        <v>581</v>
      </c>
      <c r="F207" t="s">
        <v>584</v>
      </c>
      <c r="G207" t="s">
        <v>583</v>
      </c>
      <c r="H207" s="3">
        <v>2470</v>
      </c>
      <c r="I207">
        <v>2</v>
      </c>
      <c r="J207" t="s">
        <v>56</v>
      </c>
      <c r="K207">
        <v>49.5</v>
      </c>
      <c r="L207">
        <v>59.4</v>
      </c>
      <c r="M207">
        <v>1</v>
      </c>
      <c r="N207" t="s">
        <v>56</v>
      </c>
      <c r="O207" t="s">
        <v>583</v>
      </c>
      <c r="P207">
        <v>83.5</v>
      </c>
      <c r="Q207">
        <v>0.9</v>
      </c>
      <c r="R207">
        <v>14.8</v>
      </c>
      <c r="S207">
        <v>0.4</v>
      </c>
      <c r="T207">
        <v>0.1</v>
      </c>
      <c r="U207">
        <v>0</v>
      </c>
      <c r="V207">
        <v>0.1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0.2</v>
      </c>
      <c r="AC207" t="s">
        <v>583</v>
      </c>
      <c r="AD207">
        <v>50</v>
      </c>
      <c r="AE207" t="s">
        <v>583</v>
      </c>
      <c r="AH207" s="4" t="s">
        <v>58</v>
      </c>
      <c r="AI207" s="4">
        <v>2470</v>
      </c>
      <c r="AJ207" t="s">
        <v>583</v>
      </c>
      <c r="AK207" t="s">
        <v>56</v>
      </c>
      <c r="AL207" t="s">
        <v>584</v>
      </c>
      <c r="AM207">
        <v>8</v>
      </c>
      <c r="AN207">
        <v>0</v>
      </c>
      <c r="AO207">
        <v>9</v>
      </c>
      <c r="AP207">
        <v>0</v>
      </c>
      <c r="AQ207" s="5">
        <v>305</v>
      </c>
      <c r="AR207">
        <v>15</v>
      </c>
      <c r="AS207">
        <v>0</v>
      </c>
      <c r="AT207">
        <v>16</v>
      </c>
      <c r="AU207">
        <v>0</v>
      </c>
      <c r="AV207" s="5">
        <v>330</v>
      </c>
      <c r="AW207" t="s">
        <v>56</v>
      </c>
      <c r="AX207" s="6">
        <v>2639</v>
      </c>
      <c r="AY207" t="s">
        <v>583</v>
      </c>
      <c r="AZ207" t="s">
        <v>56</v>
      </c>
    </row>
    <row r="208" spans="1:52" hidden="1" x14ac:dyDescent="0.45">
      <c r="A208">
        <v>520477.49772501702</v>
      </c>
      <c r="B208">
        <v>6935720.4189084498</v>
      </c>
      <c r="C208">
        <v>207</v>
      </c>
      <c r="D208" t="s">
        <v>585</v>
      </c>
      <c r="E208" t="s">
        <v>586</v>
      </c>
      <c r="F208" t="s">
        <v>587</v>
      </c>
      <c r="G208" t="s">
        <v>583</v>
      </c>
      <c r="H208" s="3">
        <v>351</v>
      </c>
      <c r="I208">
        <v>2</v>
      </c>
      <c r="J208" t="s">
        <v>56</v>
      </c>
      <c r="K208">
        <v>42.2</v>
      </c>
      <c r="L208">
        <v>51.8</v>
      </c>
      <c r="M208">
        <v>1</v>
      </c>
      <c r="N208" t="s">
        <v>56</v>
      </c>
      <c r="O208" t="s">
        <v>583</v>
      </c>
      <c r="P208">
        <v>77.2</v>
      </c>
      <c r="Q208">
        <v>1.3</v>
      </c>
      <c r="R208">
        <v>19.399999999999999</v>
      </c>
      <c r="S208">
        <v>1.3</v>
      </c>
      <c r="T208">
        <v>0.2</v>
      </c>
      <c r="U208">
        <v>0</v>
      </c>
      <c r="V208">
        <v>0.1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0.5</v>
      </c>
      <c r="AC208" t="s">
        <v>583</v>
      </c>
      <c r="AD208">
        <v>50</v>
      </c>
      <c r="AE208" t="s">
        <v>583</v>
      </c>
      <c r="AF208" s="4" t="s">
        <v>57</v>
      </c>
      <c r="AG208" s="4">
        <v>178</v>
      </c>
      <c r="AH208" s="4" t="s">
        <v>58</v>
      </c>
      <c r="AI208" s="4">
        <v>173</v>
      </c>
      <c r="AJ208" t="s">
        <v>583</v>
      </c>
      <c r="AK208" t="s">
        <v>56</v>
      </c>
      <c r="AL208" t="s">
        <v>587</v>
      </c>
      <c r="AM208">
        <v>8</v>
      </c>
      <c r="AN208">
        <v>0</v>
      </c>
      <c r="AO208">
        <v>9</v>
      </c>
      <c r="AP208">
        <v>0</v>
      </c>
      <c r="AQ208" s="5">
        <v>44</v>
      </c>
      <c r="AR208">
        <v>15</v>
      </c>
      <c r="AS208">
        <v>0</v>
      </c>
      <c r="AT208">
        <v>16</v>
      </c>
      <c r="AU208">
        <v>0</v>
      </c>
      <c r="AV208" s="5">
        <v>52</v>
      </c>
      <c r="AW208" t="s">
        <v>56</v>
      </c>
      <c r="AX208" s="6">
        <v>393</v>
      </c>
      <c r="AY208" t="s">
        <v>583</v>
      </c>
      <c r="AZ208" t="s">
        <v>56</v>
      </c>
    </row>
    <row r="209" spans="1:52" hidden="1" x14ac:dyDescent="0.45">
      <c r="A209">
        <v>520192.28532267502</v>
      </c>
      <c r="B209">
        <v>6935609.9036045196</v>
      </c>
      <c r="C209">
        <v>208</v>
      </c>
      <c r="D209" t="s">
        <v>585</v>
      </c>
      <c r="E209" t="s">
        <v>586</v>
      </c>
      <c r="F209" t="s">
        <v>588</v>
      </c>
      <c r="G209" t="s">
        <v>583</v>
      </c>
      <c r="H209" s="3">
        <v>845</v>
      </c>
      <c r="I209">
        <v>2</v>
      </c>
      <c r="J209" t="s">
        <v>56</v>
      </c>
      <c r="K209">
        <v>45.4</v>
      </c>
      <c r="L209">
        <v>54.4</v>
      </c>
      <c r="M209">
        <v>1</v>
      </c>
      <c r="N209" t="s">
        <v>56</v>
      </c>
      <c r="O209" t="s">
        <v>583</v>
      </c>
      <c r="P209">
        <v>80.599999999999994</v>
      </c>
      <c r="Q209">
        <v>1.1000000000000001</v>
      </c>
      <c r="R209">
        <v>15.3</v>
      </c>
      <c r="S209">
        <v>2.4</v>
      </c>
      <c r="T209">
        <v>0.2</v>
      </c>
      <c r="U209">
        <v>0</v>
      </c>
      <c r="V209">
        <v>0.1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0.3</v>
      </c>
      <c r="AC209" t="s">
        <v>583</v>
      </c>
      <c r="AD209">
        <v>50</v>
      </c>
      <c r="AE209" t="s">
        <v>583</v>
      </c>
      <c r="AF209" s="4" t="s">
        <v>80</v>
      </c>
      <c r="AG209" s="4">
        <v>352</v>
      </c>
      <c r="AH209" s="4" t="s">
        <v>81</v>
      </c>
      <c r="AI209" s="4">
        <v>493</v>
      </c>
      <c r="AJ209" t="s">
        <v>583</v>
      </c>
      <c r="AK209" t="s">
        <v>56</v>
      </c>
      <c r="AL209" t="s">
        <v>588</v>
      </c>
      <c r="AM209">
        <v>8</v>
      </c>
      <c r="AN209">
        <v>0</v>
      </c>
      <c r="AO209">
        <v>9</v>
      </c>
      <c r="AP209">
        <v>0</v>
      </c>
      <c r="AQ209" s="5">
        <v>98</v>
      </c>
      <c r="AR209">
        <v>15</v>
      </c>
      <c r="AS209">
        <v>0</v>
      </c>
      <c r="AT209">
        <v>16</v>
      </c>
      <c r="AU209">
        <v>0</v>
      </c>
      <c r="AV209" s="5">
        <v>121</v>
      </c>
      <c r="AW209" t="s">
        <v>56</v>
      </c>
      <c r="AX209" s="6">
        <v>960</v>
      </c>
      <c r="AY209" t="s">
        <v>583</v>
      </c>
      <c r="AZ209" t="s">
        <v>56</v>
      </c>
    </row>
    <row r="210" spans="1:52" hidden="1" x14ac:dyDescent="0.45">
      <c r="A210">
        <v>518689.36018501798</v>
      </c>
      <c r="B210">
        <v>6934900.2721343599</v>
      </c>
      <c r="C210">
        <v>209</v>
      </c>
      <c r="D210" t="s">
        <v>589</v>
      </c>
      <c r="E210" t="s">
        <v>590</v>
      </c>
      <c r="F210" t="s">
        <v>591</v>
      </c>
      <c r="G210" t="s">
        <v>583</v>
      </c>
      <c r="H210" s="3">
        <v>208</v>
      </c>
      <c r="I210">
        <v>2</v>
      </c>
      <c r="J210" t="s">
        <v>56</v>
      </c>
      <c r="K210">
        <v>40.299999999999997</v>
      </c>
      <c r="L210">
        <v>51.5</v>
      </c>
      <c r="M210">
        <v>1</v>
      </c>
      <c r="N210" t="s">
        <v>56</v>
      </c>
      <c r="O210" t="s">
        <v>583</v>
      </c>
      <c r="P210">
        <v>83.2</v>
      </c>
      <c r="Q210">
        <v>0.3</v>
      </c>
      <c r="R210">
        <v>15.7</v>
      </c>
      <c r="S210">
        <v>0.2</v>
      </c>
      <c r="T210">
        <v>0</v>
      </c>
      <c r="U210">
        <v>0</v>
      </c>
      <c r="V210">
        <v>0.3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0.3</v>
      </c>
      <c r="AC210" t="s">
        <v>583</v>
      </c>
      <c r="AD210">
        <v>50</v>
      </c>
      <c r="AE210" t="s">
        <v>583</v>
      </c>
      <c r="AF210" s="4" t="s">
        <v>80</v>
      </c>
      <c r="AG210" s="4">
        <v>131</v>
      </c>
      <c r="AH210" s="4" t="s">
        <v>81</v>
      </c>
      <c r="AI210" s="4">
        <v>77</v>
      </c>
      <c r="AJ210" t="s">
        <v>583</v>
      </c>
      <c r="AK210" t="s">
        <v>56</v>
      </c>
      <c r="AL210" t="s">
        <v>591</v>
      </c>
      <c r="AM210">
        <v>10</v>
      </c>
      <c r="AN210">
        <v>0</v>
      </c>
      <c r="AO210">
        <v>11</v>
      </c>
      <c r="AP210">
        <v>0</v>
      </c>
      <c r="AQ210" s="5">
        <v>21</v>
      </c>
      <c r="AR210">
        <v>15</v>
      </c>
      <c r="AS210">
        <v>0</v>
      </c>
      <c r="AT210">
        <v>16</v>
      </c>
      <c r="AU210">
        <v>0</v>
      </c>
      <c r="AV210" s="5">
        <v>29</v>
      </c>
      <c r="AW210" t="s">
        <v>56</v>
      </c>
      <c r="AX210" s="6">
        <v>224</v>
      </c>
      <c r="AY210" t="s">
        <v>583</v>
      </c>
      <c r="AZ210" t="s">
        <v>56</v>
      </c>
    </row>
    <row r="211" spans="1:52" hidden="1" x14ac:dyDescent="0.45">
      <c r="A211">
        <v>512287.98372977099</v>
      </c>
      <c r="B211">
        <v>6937659.0881528603</v>
      </c>
      <c r="C211">
        <v>210</v>
      </c>
      <c r="D211" t="s">
        <v>592</v>
      </c>
      <c r="E211" t="s">
        <v>593</v>
      </c>
      <c r="F211" t="s">
        <v>594</v>
      </c>
      <c r="G211" t="s">
        <v>573</v>
      </c>
      <c r="H211" s="3">
        <v>243</v>
      </c>
      <c r="I211">
        <v>2</v>
      </c>
      <c r="J211" t="s">
        <v>56</v>
      </c>
      <c r="K211">
        <v>37.1</v>
      </c>
      <c r="L211">
        <v>44.3</v>
      </c>
      <c r="M211">
        <v>1</v>
      </c>
      <c r="N211" t="s">
        <v>56</v>
      </c>
      <c r="O211" t="s">
        <v>573</v>
      </c>
      <c r="P211">
        <v>83.6</v>
      </c>
      <c r="Q211">
        <v>1.3</v>
      </c>
      <c r="R211">
        <v>14</v>
      </c>
      <c r="S211">
        <v>0.4</v>
      </c>
      <c r="T211">
        <v>0.1</v>
      </c>
      <c r="U211">
        <v>0</v>
      </c>
      <c r="V211">
        <v>0.3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0.3</v>
      </c>
      <c r="AC211" t="s">
        <v>573</v>
      </c>
      <c r="AD211">
        <v>50</v>
      </c>
      <c r="AE211" t="s">
        <v>573</v>
      </c>
      <c r="AF211" s="4" t="s">
        <v>80</v>
      </c>
      <c r="AG211" s="4">
        <v>125</v>
      </c>
      <c r="AH211" s="4" t="s">
        <v>81</v>
      </c>
      <c r="AI211" s="4">
        <v>118</v>
      </c>
      <c r="AJ211" t="s">
        <v>573</v>
      </c>
      <c r="AK211" t="s">
        <v>56</v>
      </c>
      <c r="AL211" t="s">
        <v>594</v>
      </c>
      <c r="AM211">
        <v>10</v>
      </c>
      <c r="AN211">
        <v>0</v>
      </c>
      <c r="AO211">
        <v>11</v>
      </c>
      <c r="AP211">
        <v>0</v>
      </c>
      <c r="AQ211" s="5">
        <v>24</v>
      </c>
      <c r="AR211">
        <v>15</v>
      </c>
      <c r="AS211">
        <v>0</v>
      </c>
      <c r="AT211">
        <v>16</v>
      </c>
      <c r="AU211">
        <v>0</v>
      </c>
      <c r="AV211" s="5">
        <v>23</v>
      </c>
      <c r="AW211" t="s">
        <v>56</v>
      </c>
      <c r="AX211" s="6">
        <v>251</v>
      </c>
      <c r="AY211" t="s">
        <v>573</v>
      </c>
      <c r="AZ211" t="s">
        <v>56</v>
      </c>
    </row>
    <row r="212" spans="1:52" hidden="1" x14ac:dyDescent="0.45">
      <c r="A212">
        <v>521097.83518789301</v>
      </c>
      <c r="B212">
        <v>6935094.7190427398</v>
      </c>
      <c r="C212">
        <v>211</v>
      </c>
      <c r="D212" t="s">
        <v>595</v>
      </c>
      <c r="E212" t="s">
        <v>411</v>
      </c>
      <c r="F212" t="s">
        <v>596</v>
      </c>
      <c r="G212" t="s">
        <v>597</v>
      </c>
      <c r="H212" s="3">
        <v>202</v>
      </c>
      <c r="I212">
        <v>2</v>
      </c>
      <c r="J212" t="s">
        <v>56</v>
      </c>
      <c r="K212">
        <v>41.8</v>
      </c>
      <c r="L212">
        <v>50.4</v>
      </c>
      <c r="M212">
        <v>1</v>
      </c>
      <c r="N212" t="s">
        <v>56</v>
      </c>
      <c r="O212" t="s">
        <v>597</v>
      </c>
      <c r="P212">
        <v>86.9</v>
      </c>
      <c r="Q212">
        <v>0.8</v>
      </c>
      <c r="R212">
        <v>11.3</v>
      </c>
      <c r="S212">
        <v>0.3</v>
      </c>
      <c r="T212">
        <v>0.2</v>
      </c>
      <c r="U212">
        <v>0</v>
      </c>
      <c r="V212">
        <v>0.4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0.1</v>
      </c>
      <c r="AC212" t="s">
        <v>597</v>
      </c>
      <c r="AD212">
        <v>50</v>
      </c>
      <c r="AE212" t="s">
        <v>597</v>
      </c>
      <c r="AF212" s="4" t="s">
        <v>80</v>
      </c>
      <c r="AG212" s="4">
        <v>101</v>
      </c>
      <c r="AH212" s="4" t="s">
        <v>81</v>
      </c>
      <c r="AI212" s="4">
        <v>101</v>
      </c>
      <c r="AJ212" t="s">
        <v>597</v>
      </c>
      <c r="AK212" t="s">
        <v>56</v>
      </c>
      <c r="AL212" t="s">
        <v>596</v>
      </c>
      <c r="AM212">
        <v>11</v>
      </c>
      <c r="AN212">
        <v>0</v>
      </c>
      <c r="AO212">
        <v>12</v>
      </c>
      <c r="AP212">
        <v>0</v>
      </c>
      <c r="AQ212" s="5">
        <v>22</v>
      </c>
      <c r="AR212">
        <v>15</v>
      </c>
      <c r="AS212">
        <v>0</v>
      </c>
      <c r="AT212">
        <v>16</v>
      </c>
      <c r="AU212">
        <v>0</v>
      </c>
      <c r="AV212" s="5">
        <v>25</v>
      </c>
      <c r="AW212" t="s">
        <v>56</v>
      </c>
      <c r="AX212" s="6">
        <v>211</v>
      </c>
      <c r="AY212" t="s">
        <v>597</v>
      </c>
      <c r="AZ212" t="s">
        <v>56</v>
      </c>
    </row>
    <row r="213" spans="1:52" hidden="1" x14ac:dyDescent="0.45">
      <c r="A213">
        <v>520830.90943251498</v>
      </c>
      <c r="B213">
        <v>6936214.8540853402</v>
      </c>
      <c r="C213">
        <v>212</v>
      </c>
      <c r="D213" t="s">
        <v>598</v>
      </c>
      <c r="E213" t="s">
        <v>411</v>
      </c>
      <c r="F213" t="s">
        <v>599</v>
      </c>
      <c r="G213" t="s">
        <v>597</v>
      </c>
      <c r="H213" s="3">
        <v>384</v>
      </c>
      <c r="I213">
        <v>2</v>
      </c>
      <c r="J213" t="s">
        <v>56</v>
      </c>
      <c r="K213">
        <v>47.1</v>
      </c>
      <c r="L213">
        <v>56.2</v>
      </c>
      <c r="M213">
        <v>1</v>
      </c>
      <c r="N213" t="s">
        <v>56</v>
      </c>
      <c r="O213" t="s">
        <v>597</v>
      </c>
      <c r="P213">
        <v>86.7</v>
      </c>
      <c r="Q213">
        <v>0.6</v>
      </c>
      <c r="R213">
        <v>12.2</v>
      </c>
      <c r="S213">
        <v>0.4</v>
      </c>
      <c r="T213">
        <v>0</v>
      </c>
      <c r="U213">
        <v>0</v>
      </c>
      <c r="V213">
        <v>0.1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 t="s">
        <v>597</v>
      </c>
      <c r="AD213">
        <v>50</v>
      </c>
      <c r="AE213" t="s">
        <v>597</v>
      </c>
      <c r="AF213" s="4" t="s">
        <v>57</v>
      </c>
      <c r="AG213" s="4">
        <v>193</v>
      </c>
      <c r="AH213" s="4" t="s">
        <v>58</v>
      </c>
      <c r="AI213" s="4">
        <v>191</v>
      </c>
      <c r="AJ213" t="s">
        <v>597</v>
      </c>
      <c r="AK213" t="s">
        <v>56</v>
      </c>
      <c r="AL213" t="s">
        <v>599</v>
      </c>
      <c r="AM213">
        <v>8</v>
      </c>
      <c r="AN213">
        <v>0</v>
      </c>
      <c r="AO213">
        <v>9</v>
      </c>
      <c r="AP213">
        <v>0</v>
      </c>
      <c r="AQ213" s="5">
        <v>42</v>
      </c>
      <c r="AR213">
        <v>17</v>
      </c>
      <c r="AS213">
        <v>0</v>
      </c>
      <c r="AT213">
        <v>18</v>
      </c>
      <c r="AU213">
        <v>0</v>
      </c>
      <c r="AV213" s="5">
        <v>39</v>
      </c>
      <c r="AW213" t="s">
        <v>56</v>
      </c>
      <c r="AX213" s="6">
        <v>397</v>
      </c>
      <c r="AY213" t="s">
        <v>597</v>
      </c>
      <c r="AZ213" t="s">
        <v>56</v>
      </c>
    </row>
    <row r="214" spans="1:52" hidden="1" x14ac:dyDescent="0.45">
      <c r="A214">
        <v>517005.29458492802</v>
      </c>
      <c r="B214">
        <v>6941149.6498168604</v>
      </c>
      <c r="C214">
        <v>213</v>
      </c>
      <c r="D214" t="s">
        <v>600</v>
      </c>
      <c r="E214" t="s">
        <v>67</v>
      </c>
      <c r="F214" t="s">
        <v>601</v>
      </c>
      <c r="G214" t="s">
        <v>602</v>
      </c>
      <c r="H214" s="3">
        <v>6538</v>
      </c>
      <c r="I214">
        <v>2</v>
      </c>
      <c r="J214" t="s">
        <v>56</v>
      </c>
      <c r="K214">
        <v>54.7</v>
      </c>
      <c r="L214">
        <v>60.5</v>
      </c>
      <c r="M214">
        <v>1</v>
      </c>
      <c r="N214" t="s">
        <v>56</v>
      </c>
      <c r="O214" t="s">
        <v>602</v>
      </c>
      <c r="P214">
        <v>84</v>
      </c>
      <c r="Q214">
        <v>0.7</v>
      </c>
      <c r="R214">
        <v>14.7</v>
      </c>
      <c r="S214">
        <v>0.3</v>
      </c>
      <c r="T214">
        <v>0</v>
      </c>
      <c r="U214">
        <v>0</v>
      </c>
      <c r="V214">
        <v>0.2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0.1</v>
      </c>
      <c r="AC214" t="s">
        <v>602</v>
      </c>
      <c r="AD214">
        <v>60</v>
      </c>
      <c r="AE214" t="s">
        <v>602</v>
      </c>
      <c r="AH214" s="4" t="s">
        <v>81</v>
      </c>
      <c r="AI214" s="4">
        <v>6538</v>
      </c>
      <c r="AJ214" t="s">
        <v>602</v>
      </c>
      <c r="AK214" t="s">
        <v>56</v>
      </c>
      <c r="AL214" t="s">
        <v>601</v>
      </c>
      <c r="AM214">
        <v>8</v>
      </c>
      <c r="AN214">
        <v>0</v>
      </c>
      <c r="AO214">
        <v>9</v>
      </c>
      <c r="AP214">
        <v>0</v>
      </c>
      <c r="AQ214" s="5">
        <v>684</v>
      </c>
      <c r="AR214">
        <v>17</v>
      </c>
      <c r="AS214">
        <v>0</v>
      </c>
      <c r="AT214">
        <v>18</v>
      </c>
      <c r="AU214">
        <v>0</v>
      </c>
      <c r="AV214" s="5">
        <v>1017</v>
      </c>
      <c r="AW214" t="s">
        <v>56</v>
      </c>
      <c r="AX214" s="6">
        <v>6944</v>
      </c>
      <c r="AY214" t="s">
        <v>602</v>
      </c>
      <c r="AZ214" t="s">
        <v>56</v>
      </c>
    </row>
    <row r="215" spans="1:52" hidden="1" x14ac:dyDescent="0.45">
      <c r="A215">
        <v>517002.16980683699</v>
      </c>
      <c r="B215">
        <v>6941172.2512737904</v>
      </c>
      <c r="C215">
        <v>214</v>
      </c>
      <c r="D215" t="s">
        <v>600</v>
      </c>
      <c r="E215" t="s">
        <v>67</v>
      </c>
      <c r="F215" t="s">
        <v>603</v>
      </c>
      <c r="G215" t="s">
        <v>597</v>
      </c>
      <c r="H215" s="3">
        <v>6259</v>
      </c>
      <c r="I215">
        <v>2</v>
      </c>
      <c r="J215" t="s">
        <v>56</v>
      </c>
      <c r="K215">
        <v>54.4</v>
      </c>
      <c r="L215">
        <v>60.8</v>
      </c>
      <c r="M215">
        <v>1</v>
      </c>
      <c r="N215" t="s">
        <v>56</v>
      </c>
      <c r="O215" t="s">
        <v>597</v>
      </c>
      <c r="P215">
        <v>85</v>
      </c>
      <c r="Q215">
        <v>0.6</v>
      </c>
      <c r="R215">
        <v>13.8</v>
      </c>
      <c r="S215">
        <v>0.2</v>
      </c>
      <c r="T215">
        <v>0</v>
      </c>
      <c r="U215">
        <v>0</v>
      </c>
      <c r="V215">
        <v>0.2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0.2</v>
      </c>
      <c r="AC215" t="s">
        <v>597</v>
      </c>
      <c r="AD215">
        <v>60</v>
      </c>
      <c r="AE215" t="s">
        <v>597</v>
      </c>
      <c r="AF215" s="4" t="s">
        <v>80</v>
      </c>
      <c r="AG215" s="4">
        <v>6259</v>
      </c>
      <c r="AJ215" t="s">
        <v>597</v>
      </c>
      <c r="AK215" t="s">
        <v>56</v>
      </c>
      <c r="AL215" t="s">
        <v>603</v>
      </c>
      <c r="AM215">
        <v>7</v>
      </c>
      <c r="AN215">
        <v>0</v>
      </c>
      <c r="AO215">
        <v>8</v>
      </c>
      <c r="AP215">
        <v>0</v>
      </c>
      <c r="AQ215" s="5">
        <v>433</v>
      </c>
      <c r="AR215">
        <v>17</v>
      </c>
      <c r="AS215">
        <v>0</v>
      </c>
      <c r="AT215">
        <v>18</v>
      </c>
      <c r="AU215">
        <v>0</v>
      </c>
      <c r="AV215" s="5">
        <v>726</v>
      </c>
      <c r="AW215" t="s">
        <v>56</v>
      </c>
      <c r="AX215" s="6">
        <v>6623</v>
      </c>
      <c r="AY215" t="s">
        <v>597</v>
      </c>
      <c r="AZ215" t="s">
        <v>56</v>
      </c>
    </row>
    <row r="216" spans="1:52" hidden="1" x14ac:dyDescent="0.45">
      <c r="A216">
        <v>521404.11349345301</v>
      </c>
      <c r="B216">
        <v>6935748.8409887897</v>
      </c>
      <c r="C216">
        <v>215</v>
      </c>
      <c r="D216" t="s">
        <v>604</v>
      </c>
      <c r="E216" t="s">
        <v>586</v>
      </c>
      <c r="F216" t="s">
        <v>605</v>
      </c>
      <c r="G216" t="s">
        <v>606</v>
      </c>
      <c r="H216" s="3">
        <v>125</v>
      </c>
      <c r="I216">
        <v>2</v>
      </c>
      <c r="J216" t="s">
        <v>56</v>
      </c>
      <c r="K216">
        <v>33</v>
      </c>
      <c r="L216">
        <v>41.8</v>
      </c>
      <c r="M216">
        <v>1</v>
      </c>
      <c r="N216" t="s">
        <v>56</v>
      </c>
      <c r="O216" t="s">
        <v>606</v>
      </c>
      <c r="P216">
        <v>84.4</v>
      </c>
      <c r="Q216">
        <v>1</v>
      </c>
      <c r="R216">
        <v>13.5</v>
      </c>
      <c r="S216">
        <v>0.7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0.4</v>
      </c>
      <c r="AC216" t="s">
        <v>606</v>
      </c>
      <c r="AD216">
        <v>50</v>
      </c>
      <c r="AE216" t="s">
        <v>606</v>
      </c>
      <c r="AF216" s="4" t="s">
        <v>80</v>
      </c>
      <c r="AG216" s="4">
        <v>62</v>
      </c>
      <c r="AH216" s="4" t="s">
        <v>81</v>
      </c>
      <c r="AI216" s="4">
        <v>63</v>
      </c>
      <c r="AJ216" t="s">
        <v>606</v>
      </c>
      <c r="AK216" t="s">
        <v>56</v>
      </c>
      <c r="AL216" t="s">
        <v>605</v>
      </c>
      <c r="AM216">
        <v>10</v>
      </c>
      <c r="AN216">
        <v>0</v>
      </c>
      <c r="AO216">
        <v>11</v>
      </c>
      <c r="AP216">
        <v>0</v>
      </c>
      <c r="AQ216" s="5">
        <v>15</v>
      </c>
      <c r="AR216">
        <v>16</v>
      </c>
      <c r="AS216">
        <v>0</v>
      </c>
      <c r="AT216">
        <v>17</v>
      </c>
      <c r="AU216">
        <v>0</v>
      </c>
      <c r="AV216" s="5">
        <v>15</v>
      </c>
      <c r="AW216" t="s">
        <v>56</v>
      </c>
      <c r="AX216" s="6">
        <v>132</v>
      </c>
      <c r="AY216" t="s">
        <v>606</v>
      </c>
      <c r="AZ216" t="s">
        <v>56</v>
      </c>
    </row>
    <row r="217" spans="1:52" hidden="1" x14ac:dyDescent="0.45">
      <c r="A217">
        <v>518559.54904785001</v>
      </c>
      <c r="B217">
        <v>6934207.1547471499</v>
      </c>
      <c r="C217">
        <v>216</v>
      </c>
      <c r="D217" t="s">
        <v>607</v>
      </c>
      <c r="E217" t="s">
        <v>590</v>
      </c>
      <c r="F217" t="s">
        <v>608</v>
      </c>
      <c r="G217" t="s">
        <v>606</v>
      </c>
      <c r="H217" s="3">
        <v>128</v>
      </c>
      <c r="I217">
        <v>2</v>
      </c>
      <c r="J217" t="s">
        <v>56</v>
      </c>
      <c r="K217">
        <v>39.700000000000003</v>
      </c>
      <c r="L217">
        <v>50</v>
      </c>
      <c r="M217">
        <v>1</v>
      </c>
      <c r="N217" t="s">
        <v>56</v>
      </c>
      <c r="O217" t="s">
        <v>606</v>
      </c>
      <c r="P217">
        <v>87.4</v>
      </c>
      <c r="Q217">
        <v>0.5</v>
      </c>
      <c r="R217">
        <v>10.9</v>
      </c>
      <c r="S217">
        <v>0.8</v>
      </c>
      <c r="T217">
        <v>0.1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0.3</v>
      </c>
      <c r="AC217" t="s">
        <v>606</v>
      </c>
      <c r="AD217">
        <v>50</v>
      </c>
      <c r="AE217" t="s">
        <v>606</v>
      </c>
      <c r="AF217" s="4" t="s">
        <v>57</v>
      </c>
      <c r="AG217" s="4">
        <v>50</v>
      </c>
      <c r="AH217" s="4" t="s">
        <v>58</v>
      </c>
      <c r="AI217" s="4">
        <v>78</v>
      </c>
      <c r="AJ217" t="s">
        <v>606</v>
      </c>
      <c r="AK217" t="s">
        <v>56</v>
      </c>
      <c r="AL217" t="s">
        <v>608</v>
      </c>
      <c r="AM217">
        <v>9</v>
      </c>
      <c r="AN217">
        <v>0</v>
      </c>
      <c r="AO217">
        <v>10</v>
      </c>
      <c r="AP217">
        <v>0</v>
      </c>
      <c r="AQ217" s="5">
        <v>22</v>
      </c>
      <c r="AR217">
        <v>13</v>
      </c>
      <c r="AS217">
        <v>0</v>
      </c>
      <c r="AT217">
        <v>14</v>
      </c>
      <c r="AU217">
        <v>0</v>
      </c>
      <c r="AV217" s="5">
        <v>15</v>
      </c>
      <c r="AW217" t="s">
        <v>56</v>
      </c>
      <c r="AX217" s="6">
        <v>141</v>
      </c>
      <c r="AY217" t="s">
        <v>606</v>
      </c>
      <c r="AZ217" t="s">
        <v>56</v>
      </c>
    </row>
    <row r="218" spans="1:52" hidden="1" x14ac:dyDescent="0.45">
      <c r="A218">
        <v>513249.48969103798</v>
      </c>
      <c r="B218">
        <v>6938463.7110281596</v>
      </c>
      <c r="C218">
        <v>217</v>
      </c>
      <c r="D218" t="s">
        <v>609</v>
      </c>
      <c r="E218" t="s">
        <v>593</v>
      </c>
      <c r="F218" t="s">
        <v>610</v>
      </c>
      <c r="G218" t="s">
        <v>611</v>
      </c>
      <c r="H218" s="3">
        <v>6263</v>
      </c>
      <c r="I218">
        <v>2</v>
      </c>
      <c r="J218" t="s">
        <v>56</v>
      </c>
      <c r="K218">
        <v>57.9</v>
      </c>
      <c r="L218">
        <v>63.7</v>
      </c>
      <c r="M218">
        <v>1</v>
      </c>
      <c r="N218" t="s">
        <v>56</v>
      </c>
      <c r="O218" t="s">
        <v>611</v>
      </c>
      <c r="P218">
        <v>87.2</v>
      </c>
      <c r="Q218">
        <v>0.7</v>
      </c>
      <c r="R218">
        <v>11.4</v>
      </c>
      <c r="S218">
        <v>0.2</v>
      </c>
      <c r="T218">
        <v>0</v>
      </c>
      <c r="U218">
        <v>0</v>
      </c>
      <c r="V218">
        <v>0.2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0.3</v>
      </c>
      <c r="AC218" t="s">
        <v>611</v>
      </c>
      <c r="AD218">
        <v>60</v>
      </c>
      <c r="AE218" t="s">
        <v>611</v>
      </c>
      <c r="AF218" s="4" t="s">
        <v>57</v>
      </c>
      <c r="AG218" s="4">
        <v>2851</v>
      </c>
      <c r="AH218" s="4" t="s">
        <v>58</v>
      </c>
      <c r="AI218" s="4">
        <v>3412</v>
      </c>
      <c r="AJ218" t="s">
        <v>611</v>
      </c>
      <c r="AK218" t="s">
        <v>56</v>
      </c>
      <c r="AL218" t="s">
        <v>610</v>
      </c>
      <c r="AM218">
        <v>8</v>
      </c>
      <c r="AN218">
        <v>0</v>
      </c>
      <c r="AO218">
        <v>9</v>
      </c>
      <c r="AP218">
        <v>0</v>
      </c>
      <c r="AQ218" s="5">
        <v>470</v>
      </c>
      <c r="AR218">
        <v>17</v>
      </c>
      <c r="AS218">
        <v>0</v>
      </c>
      <c r="AT218">
        <v>18</v>
      </c>
      <c r="AU218">
        <v>0</v>
      </c>
      <c r="AV218" s="5">
        <v>597</v>
      </c>
      <c r="AW218" t="s">
        <v>56</v>
      </c>
      <c r="AX218" s="6">
        <v>6370</v>
      </c>
      <c r="AY218" t="s">
        <v>611</v>
      </c>
      <c r="AZ218" t="s">
        <v>56</v>
      </c>
    </row>
    <row r="219" spans="1:52" hidden="1" x14ac:dyDescent="0.45">
      <c r="A219">
        <v>520499.71487179497</v>
      </c>
      <c r="B219">
        <v>6932995.6295957202</v>
      </c>
      <c r="C219">
        <v>218</v>
      </c>
      <c r="D219" t="s">
        <v>612</v>
      </c>
      <c r="E219" t="s">
        <v>613</v>
      </c>
      <c r="F219" t="s">
        <v>614</v>
      </c>
      <c r="G219" t="s">
        <v>611</v>
      </c>
      <c r="H219" s="3">
        <v>178</v>
      </c>
      <c r="I219">
        <v>2</v>
      </c>
      <c r="J219" t="s">
        <v>56</v>
      </c>
      <c r="K219">
        <v>42</v>
      </c>
      <c r="L219">
        <v>52.6</v>
      </c>
      <c r="M219">
        <v>1</v>
      </c>
      <c r="N219" t="s">
        <v>56</v>
      </c>
      <c r="O219" t="s">
        <v>611</v>
      </c>
      <c r="P219">
        <v>84.3</v>
      </c>
      <c r="Q219">
        <v>0.2</v>
      </c>
      <c r="R219">
        <v>14.4</v>
      </c>
      <c r="S219">
        <v>0.4</v>
      </c>
      <c r="T219">
        <v>0.2</v>
      </c>
      <c r="U219">
        <v>0</v>
      </c>
      <c r="V219">
        <v>0.3</v>
      </c>
      <c r="W219">
        <v>0.1</v>
      </c>
      <c r="X219">
        <v>0</v>
      </c>
      <c r="Y219">
        <v>0</v>
      </c>
      <c r="Z219">
        <v>0</v>
      </c>
      <c r="AA219">
        <v>0</v>
      </c>
      <c r="AB219">
        <v>0.1</v>
      </c>
      <c r="AC219" t="s">
        <v>611</v>
      </c>
      <c r="AD219">
        <v>50</v>
      </c>
      <c r="AE219" t="s">
        <v>611</v>
      </c>
      <c r="AF219" s="4" t="s">
        <v>80</v>
      </c>
      <c r="AG219" s="4">
        <v>89</v>
      </c>
      <c r="AH219" s="4" t="s">
        <v>81</v>
      </c>
      <c r="AI219" s="4">
        <v>89</v>
      </c>
      <c r="AJ219" t="s">
        <v>611</v>
      </c>
      <c r="AK219" t="s">
        <v>56</v>
      </c>
      <c r="AL219" t="s">
        <v>614</v>
      </c>
      <c r="AM219">
        <v>7</v>
      </c>
      <c r="AN219">
        <v>0</v>
      </c>
      <c r="AO219">
        <v>8</v>
      </c>
      <c r="AP219">
        <v>0</v>
      </c>
      <c r="AQ219" s="5">
        <v>20</v>
      </c>
      <c r="AR219">
        <v>15</v>
      </c>
      <c r="AS219">
        <v>0</v>
      </c>
      <c r="AT219">
        <v>16</v>
      </c>
      <c r="AU219">
        <v>0</v>
      </c>
      <c r="AV219" s="5">
        <v>23</v>
      </c>
      <c r="AW219" t="s">
        <v>56</v>
      </c>
      <c r="AX219" s="6">
        <v>187</v>
      </c>
      <c r="AY219" t="s">
        <v>611</v>
      </c>
      <c r="AZ219" t="s">
        <v>56</v>
      </c>
    </row>
    <row r="220" spans="1:52" hidden="1" x14ac:dyDescent="0.45">
      <c r="A220">
        <v>521018.424908399</v>
      </c>
      <c r="B220">
        <v>6933073.6118139401</v>
      </c>
      <c r="C220">
        <v>219</v>
      </c>
      <c r="D220" t="s">
        <v>615</v>
      </c>
      <c r="E220" t="s">
        <v>613</v>
      </c>
      <c r="F220" t="s">
        <v>616</v>
      </c>
      <c r="G220" t="s">
        <v>611</v>
      </c>
      <c r="H220" s="3">
        <v>2075</v>
      </c>
      <c r="I220">
        <v>2</v>
      </c>
      <c r="J220" t="s">
        <v>56</v>
      </c>
      <c r="K220">
        <v>52.1</v>
      </c>
      <c r="L220">
        <v>58.7</v>
      </c>
      <c r="M220">
        <v>1</v>
      </c>
      <c r="N220" t="s">
        <v>56</v>
      </c>
      <c r="O220" t="s">
        <v>611</v>
      </c>
      <c r="P220">
        <v>81.400000000000006</v>
      </c>
      <c r="Q220">
        <v>1.1000000000000001</v>
      </c>
      <c r="R220">
        <v>16.8</v>
      </c>
      <c r="S220">
        <v>0.2</v>
      </c>
      <c r="T220">
        <v>0</v>
      </c>
      <c r="U220">
        <v>0</v>
      </c>
      <c r="V220">
        <v>0.1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0.4</v>
      </c>
      <c r="AC220" t="s">
        <v>611</v>
      </c>
      <c r="AD220">
        <v>50</v>
      </c>
      <c r="AE220" t="s">
        <v>611</v>
      </c>
      <c r="AF220" s="4" t="s">
        <v>80</v>
      </c>
      <c r="AG220" s="4">
        <v>1110</v>
      </c>
      <c r="AH220" s="4" t="s">
        <v>81</v>
      </c>
      <c r="AI220" s="4">
        <v>965</v>
      </c>
      <c r="AJ220" t="s">
        <v>611</v>
      </c>
      <c r="AK220" t="s">
        <v>56</v>
      </c>
      <c r="AL220" t="s">
        <v>616</v>
      </c>
      <c r="AM220">
        <v>8</v>
      </c>
      <c r="AN220">
        <v>0</v>
      </c>
      <c r="AO220">
        <v>9</v>
      </c>
      <c r="AP220">
        <v>0</v>
      </c>
      <c r="AQ220" s="5">
        <v>169</v>
      </c>
      <c r="AR220">
        <v>15</v>
      </c>
      <c r="AS220">
        <v>0</v>
      </c>
      <c r="AT220">
        <v>16</v>
      </c>
      <c r="AU220">
        <v>0</v>
      </c>
      <c r="AV220" s="5">
        <v>217</v>
      </c>
      <c r="AW220" t="s">
        <v>56</v>
      </c>
      <c r="AX220" s="6">
        <v>2102</v>
      </c>
      <c r="AY220" t="s">
        <v>611</v>
      </c>
      <c r="AZ220" t="s">
        <v>56</v>
      </c>
    </row>
    <row r="221" spans="1:52" hidden="1" x14ac:dyDescent="0.45">
      <c r="A221">
        <v>520867.63856656803</v>
      </c>
      <c r="B221">
        <v>6932859.5291048102</v>
      </c>
      <c r="C221">
        <v>220</v>
      </c>
      <c r="D221" t="s">
        <v>615</v>
      </c>
      <c r="E221" t="s">
        <v>613</v>
      </c>
      <c r="F221" t="s">
        <v>617</v>
      </c>
      <c r="G221" t="s">
        <v>611</v>
      </c>
      <c r="H221" s="3">
        <v>248</v>
      </c>
      <c r="I221">
        <v>2</v>
      </c>
      <c r="J221" t="s">
        <v>56</v>
      </c>
      <c r="K221">
        <v>43.8</v>
      </c>
      <c r="L221">
        <v>53.3</v>
      </c>
      <c r="M221">
        <v>1</v>
      </c>
      <c r="N221" t="s">
        <v>56</v>
      </c>
      <c r="O221" t="s">
        <v>611</v>
      </c>
      <c r="P221">
        <v>78.900000000000006</v>
      </c>
      <c r="Q221">
        <v>1.9</v>
      </c>
      <c r="R221">
        <v>17.2</v>
      </c>
      <c r="S221">
        <v>1.1000000000000001</v>
      </c>
      <c r="T221">
        <v>0.2</v>
      </c>
      <c r="U221">
        <v>0</v>
      </c>
      <c r="V221">
        <v>0.3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0.4</v>
      </c>
      <c r="AC221" t="s">
        <v>611</v>
      </c>
      <c r="AD221">
        <v>50</v>
      </c>
      <c r="AE221" t="s">
        <v>611</v>
      </c>
      <c r="AF221" s="4" t="s">
        <v>57</v>
      </c>
      <c r="AG221" s="4">
        <v>114</v>
      </c>
      <c r="AH221" s="4" t="s">
        <v>58</v>
      </c>
      <c r="AI221" s="4">
        <v>134</v>
      </c>
      <c r="AJ221" t="s">
        <v>611</v>
      </c>
      <c r="AK221" t="s">
        <v>56</v>
      </c>
      <c r="AL221" t="s">
        <v>617</v>
      </c>
      <c r="AM221">
        <v>8</v>
      </c>
      <c r="AN221">
        <v>0</v>
      </c>
      <c r="AO221">
        <v>9</v>
      </c>
      <c r="AP221">
        <v>0</v>
      </c>
      <c r="AQ221" s="5">
        <v>27</v>
      </c>
      <c r="AR221">
        <v>16</v>
      </c>
      <c r="AS221">
        <v>0</v>
      </c>
      <c r="AT221">
        <v>17</v>
      </c>
      <c r="AU221">
        <v>0</v>
      </c>
      <c r="AV221" s="5">
        <v>33</v>
      </c>
      <c r="AW221" t="s">
        <v>56</v>
      </c>
      <c r="AX221" s="6">
        <v>249</v>
      </c>
      <c r="AY221" t="s">
        <v>611</v>
      </c>
      <c r="AZ221" t="s">
        <v>56</v>
      </c>
    </row>
    <row r="222" spans="1:52" hidden="1" x14ac:dyDescent="0.45">
      <c r="A222">
        <v>520859.89500104502</v>
      </c>
      <c r="B222">
        <v>6933056.8264648803</v>
      </c>
      <c r="C222">
        <v>221</v>
      </c>
      <c r="D222" t="s">
        <v>618</v>
      </c>
      <c r="E222" t="s">
        <v>613</v>
      </c>
      <c r="F222" t="s">
        <v>619</v>
      </c>
      <c r="G222" t="s">
        <v>611</v>
      </c>
      <c r="H222" s="3">
        <v>32</v>
      </c>
      <c r="I222">
        <v>2</v>
      </c>
      <c r="J222" t="s">
        <v>56</v>
      </c>
      <c r="K222">
        <v>26.2</v>
      </c>
      <c r="L222">
        <v>32.799999999999997</v>
      </c>
      <c r="M222">
        <v>1</v>
      </c>
      <c r="N222" t="s">
        <v>56</v>
      </c>
      <c r="O222" t="s">
        <v>611</v>
      </c>
      <c r="P222">
        <v>77.5</v>
      </c>
      <c r="Q222">
        <v>0.4</v>
      </c>
      <c r="R222">
        <v>21.7</v>
      </c>
      <c r="S222">
        <v>0</v>
      </c>
      <c r="T222">
        <v>0</v>
      </c>
      <c r="U222">
        <v>0</v>
      </c>
      <c r="V222">
        <v>0.4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 t="s">
        <v>611</v>
      </c>
      <c r="AD222">
        <v>50</v>
      </c>
      <c r="AE222" t="s">
        <v>611</v>
      </c>
      <c r="AF222" s="4" t="s">
        <v>80</v>
      </c>
      <c r="AG222" s="4">
        <v>7</v>
      </c>
      <c r="AH222" s="4" t="s">
        <v>81</v>
      </c>
      <c r="AI222" s="4">
        <v>25</v>
      </c>
      <c r="AJ222" t="s">
        <v>611</v>
      </c>
      <c r="AK222" t="s">
        <v>56</v>
      </c>
      <c r="AL222" t="s">
        <v>619</v>
      </c>
      <c r="AM222">
        <v>10</v>
      </c>
      <c r="AN222">
        <v>0</v>
      </c>
      <c r="AO222">
        <v>11</v>
      </c>
      <c r="AP222">
        <v>0</v>
      </c>
      <c r="AQ222" s="5">
        <v>5</v>
      </c>
      <c r="AR222">
        <v>16</v>
      </c>
      <c r="AS222">
        <v>0</v>
      </c>
      <c r="AT222">
        <v>17</v>
      </c>
      <c r="AU222">
        <v>0</v>
      </c>
      <c r="AV222" s="5">
        <v>6</v>
      </c>
      <c r="AW222" t="s">
        <v>56</v>
      </c>
      <c r="AX222" s="6">
        <v>32</v>
      </c>
      <c r="AY222" t="s">
        <v>611</v>
      </c>
      <c r="AZ222" t="s">
        <v>56</v>
      </c>
    </row>
    <row r="223" spans="1:52" hidden="1" x14ac:dyDescent="0.45">
      <c r="A223">
        <v>520595.083791557</v>
      </c>
      <c r="B223">
        <v>6936631.3118192405</v>
      </c>
      <c r="C223">
        <v>222</v>
      </c>
      <c r="D223" t="s">
        <v>620</v>
      </c>
      <c r="E223" t="s">
        <v>586</v>
      </c>
      <c r="F223" t="s">
        <v>621</v>
      </c>
      <c r="G223" t="s">
        <v>622</v>
      </c>
      <c r="H223" s="3">
        <v>1273</v>
      </c>
      <c r="I223">
        <v>2</v>
      </c>
      <c r="J223" t="s">
        <v>56</v>
      </c>
      <c r="K223">
        <v>49.8</v>
      </c>
      <c r="L223">
        <v>58</v>
      </c>
      <c r="M223">
        <v>1</v>
      </c>
      <c r="N223" t="s">
        <v>56</v>
      </c>
      <c r="O223" t="s">
        <v>622</v>
      </c>
      <c r="P223">
        <v>87.1</v>
      </c>
      <c r="Q223">
        <v>0.7</v>
      </c>
      <c r="R223">
        <v>11.5</v>
      </c>
      <c r="S223">
        <v>0.1</v>
      </c>
      <c r="T223">
        <v>0</v>
      </c>
      <c r="U223">
        <v>0</v>
      </c>
      <c r="V223">
        <v>0.2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0.4</v>
      </c>
      <c r="AC223" t="s">
        <v>622</v>
      </c>
      <c r="AD223">
        <v>50</v>
      </c>
      <c r="AE223" t="s">
        <v>622</v>
      </c>
      <c r="AF223" s="4" t="s">
        <v>57</v>
      </c>
      <c r="AG223" s="4">
        <v>631</v>
      </c>
      <c r="AH223" s="4" t="s">
        <v>58</v>
      </c>
      <c r="AI223" s="4">
        <v>642</v>
      </c>
      <c r="AJ223" t="s">
        <v>622</v>
      </c>
      <c r="AK223" t="s">
        <v>56</v>
      </c>
      <c r="AL223" t="s">
        <v>621</v>
      </c>
      <c r="AM223">
        <v>8</v>
      </c>
      <c r="AN223">
        <v>0</v>
      </c>
      <c r="AO223">
        <v>9</v>
      </c>
      <c r="AP223">
        <v>0</v>
      </c>
      <c r="AQ223" s="5">
        <v>141</v>
      </c>
      <c r="AR223">
        <v>15</v>
      </c>
      <c r="AS223">
        <v>0</v>
      </c>
      <c r="AT223">
        <v>16</v>
      </c>
      <c r="AU223">
        <v>0</v>
      </c>
      <c r="AV223" s="5">
        <v>144</v>
      </c>
      <c r="AW223" t="s">
        <v>56</v>
      </c>
      <c r="AX223" s="6">
        <v>1326</v>
      </c>
      <c r="AY223" t="s">
        <v>622</v>
      </c>
      <c r="AZ223" t="s">
        <v>56</v>
      </c>
    </row>
    <row r="224" spans="1:52" hidden="1" x14ac:dyDescent="0.45">
      <c r="A224">
        <v>521449.70122034301</v>
      </c>
      <c r="B224">
        <v>6936496.6870024102</v>
      </c>
      <c r="C224">
        <v>223</v>
      </c>
      <c r="D224" t="s">
        <v>620</v>
      </c>
      <c r="E224" t="s">
        <v>586</v>
      </c>
      <c r="F224" t="s">
        <v>623</v>
      </c>
      <c r="G224" t="s">
        <v>622</v>
      </c>
      <c r="H224" s="3">
        <v>2396</v>
      </c>
      <c r="I224">
        <v>2</v>
      </c>
      <c r="J224" t="s">
        <v>56</v>
      </c>
      <c r="K224">
        <v>51</v>
      </c>
      <c r="L224">
        <v>58.3</v>
      </c>
      <c r="M224">
        <v>1</v>
      </c>
      <c r="N224" t="s">
        <v>56</v>
      </c>
      <c r="O224" t="s">
        <v>622</v>
      </c>
      <c r="P224">
        <v>87.3</v>
      </c>
      <c r="Q224">
        <v>0.6</v>
      </c>
      <c r="R224">
        <v>11.1</v>
      </c>
      <c r="S224">
        <v>0.2</v>
      </c>
      <c r="T224">
        <v>0.1</v>
      </c>
      <c r="U224">
        <v>0</v>
      </c>
      <c r="V224">
        <v>0.1</v>
      </c>
      <c r="W224">
        <v>0</v>
      </c>
      <c r="X224">
        <v>0.2</v>
      </c>
      <c r="Y224">
        <v>0.2</v>
      </c>
      <c r="Z224">
        <v>0</v>
      </c>
      <c r="AA224">
        <v>0</v>
      </c>
      <c r="AB224">
        <v>0.2</v>
      </c>
      <c r="AC224" t="s">
        <v>622</v>
      </c>
      <c r="AD224">
        <v>50</v>
      </c>
      <c r="AE224" t="s">
        <v>622</v>
      </c>
      <c r="AF224" s="4" t="s">
        <v>57</v>
      </c>
      <c r="AG224" s="4">
        <v>1183</v>
      </c>
      <c r="AH224" s="4" t="s">
        <v>58</v>
      </c>
      <c r="AI224" s="4">
        <v>1213</v>
      </c>
      <c r="AJ224" t="s">
        <v>622</v>
      </c>
      <c r="AK224" t="s">
        <v>56</v>
      </c>
      <c r="AL224" t="s">
        <v>623</v>
      </c>
      <c r="AM224">
        <v>8</v>
      </c>
      <c r="AN224">
        <v>0</v>
      </c>
      <c r="AO224">
        <v>9</v>
      </c>
      <c r="AP224">
        <v>0</v>
      </c>
      <c r="AQ224" s="5">
        <v>198</v>
      </c>
      <c r="AR224">
        <v>15</v>
      </c>
      <c r="AS224">
        <v>0</v>
      </c>
      <c r="AT224">
        <v>16</v>
      </c>
      <c r="AU224">
        <v>0</v>
      </c>
      <c r="AV224" s="5">
        <v>254</v>
      </c>
      <c r="AW224" t="s">
        <v>56</v>
      </c>
      <c r="AX224" s="6">
        <v>2483</v>
      </c>
      <c r="AY224" t="s">
        <v>622</v>
      </c>
      <c r="AZ224" t="s">
        <v>56</v>
      </c>
    </row>
    <row r="225" spans="1:52" hidden="1" x14ac:dyDescent="0.45">
      <c r="A225">
        <v>521354.68197786098</v>
      </c>
      <c r="B225">
        <v>6935503.4590814104</v>
      </c>
      <c r="C225">
        <v>224</v>
      </c>
      <c r="D225" t="s">
        <v>624</v>
      </c>
      <c r="E225" t="s">
        <v>586</v>
      </c>
      <c r="F225" t="s">
        <v>625</v>
      </c>
      <c r="G225" t="s">
        <v>622</v>
      </c>
      <c r="H225" s="3">
        <v>471</v>
      </c>
      <c r="I225">
        <v>2</v>
      </c>
      <c r="J225" t="s">
        <v>56</v>
      </c>
      <c r="K225">
        <v>46.8</v>
      </c>
      <c r="L225">
        <v>55.8</v>
      </c>
      <c r="M225">
        <v>1</v>
      </c>
      <c r="N225" t="s">
        <v>56</v>
      </c>
      <c r="O225" t="s">
        <v>622</v>
      </c>
      <c r="P225">
        <v>90.1</v>
      </c>
      <c r="Q225">
        <v>0.7</v>
      </c>
      <c r="R225">
        <v>8.9</v>
      </c>
      <c r="S225">
        <v>0.2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0.1</v>
      </c>
      <c r="AC225" t="s">
        <v>622</v>
      </c>
      <c r="AD225">
        <v>50</v>
      </c>
      <c r="AE225" t="s">
        <v>622</v>
      </c>
      <c r="AF225" s="4" t="s">
        <v>80</v>
      </c>
      <c r="AG225" s="4">
        <v>244</v>
      </c>
      <c r="AH225" s="4" t="s">
        <v>81</v>
      </c>
      <c r="AI225" s="4">
        <v>227</v>
      </c>
      <c r="AJ225" t="s">
        <v>622</v>
      </c>
      <c r="AK225" t="s">
        <v>56</v>
      </c>
      <c r="AL225" t="s">
        <v>625</v>
      </c>
      <c r="AM225">
        <v>8</v>
      </c>
      <c r="AN225">
        <v>0</v>
      </c>
      <c r="AO225">
        <v>9</v>
      </c>
      <c r="AP225">
        <v>0</v>
      </c>
      <c r="AQ225" s="5">
        <v>48</v>
      </c>
      <c r="AR225">
        <v>14</v>
      </c>
      <c r="AS225">
        <v>0</v>
      </c>
      <c r="AT225">
        <v>15</v>
      </c>
      <c r="AU225">
        <v>0</v>
      </c>
      <c r="AV225" s="5">
        <v>55</v>
      </c>
      <c r="AW225" t="s">
        <v>56</v>
      </c>
      <c r="AX225" s="6">
        <v>496</v>
      </c>
      <c r="AY225" t="s">
        <v>622</v>
      </c>
      <c r="AZ225" t="s">
        <v>56</v>
      </c>
    </row>
    <row r="226" spans="1:52" hidden="1" x14ac:dyDescent="0.45">
      <c r="A226">
        <v>521143.13000768097</v>
      </c>
      <c r="B226">
        <v>6935346.3124563303</v>
      </c>
      <c r="C226">
        <v>225</v>
      </c>
      <c r="D226" t="s">
        <v>626</v>
      </c>
      <c r="E226" t="s">
        <v>586</v>
      </c>
      <c r="F226" t="s">
        <v>627</v>
      </c>
      <c r="G226" t="s">
        <v>622</v>
      </c>
      <c r="H226" s="3">
        <v>1623</v>
      </c>
      <c r="I226">
        <v>2</v>
      </c>
      <c r="J226" t="s">
        <v>56</v>
      </c>
      <c r="K226">
        <v>50.2</v>
      </c>
      <c r="L226">
        <v>57.6</v>
      </c>
      <c r="M226">
        <v>1</v>
      </c>
      <c r="N226" t="s">
        <v>56</v>
      </c>
      <c r="O226" t="s">
        <v>622</v>
      </c>
      <c r="P226">
        <v>87.4</v>
      </c>
      <c r="Q226">
        <v>0.5</v>
      </c>
      <c r="R226">
        <v>11.8</v>
      </c>
      <c r="S226">
        <v>0.1</v>
      </c>
      <c r="T226">
        <v>0</v>
      </c>
      <c r="U226">
        <v>0</v>
      </c>
      <c r="V226">
        <v>0.2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 t="s">
        <v>622</v>
      </c>
      <c r="AD226">
        <v>50</v>
      </c>
      <c r="AE226" t="s">
        <v>622</v>
      </c>
      <c r="AF226" s="4" t="s">
        <v>57</v>
      </c>
      <c r="AG226" s="4">
        <v>836</v>
      </c>
      <c r="AH226" s="4" t="s">
        <v>58</v>
      </c>
      <c r="AI226" s="4">
        <v>787</v>
      </c>
      <c r="AJ226" t="s">
        <v>622</v>
      </c>
      <c r="AK226" t="s">
        <v>56</v>
      </c>
      <c r="AL226" t="s">
        <v>627</v>
      </c>
      <c r="AM226">
        <v>8</v>
      </c>
      <c r="AN226">
        <v>0</v>
      </c>
      <c r="AO226">
        <v>9</v>
      </c>
      <c r="AP226">
        <v>0</v>
      </c>
      <c r="AQ226" s="5">
        <v>137</v>
      </c>
      <c r="AR226">
        <v>14</v>
      </c>
      <c r="AS226">
        <v>0</v>
      </c>
      <c r="AT226">
        <v>15</v>
      </c>
      <c r="AU226">
        <v>0</v>
      </c>
      <c r="AV226" s="5">
        <v>187</v>
      </c>
      <c r="AW226" t="s">
        <v>56</v>
      </c>
      <c r="AX226" s="6">
        <v>1694</v>
      </c>
      <c r="AY226" t="s">
        <v>622</v>
      </c>
      <c r="AZ226" t="s">
        <v>56</v>
      </c>
    </row>
    <row r="227" spans="1:52" hidden="1" x14ac:dyDescent="0.45">
      <c r="A227">
        <v>521434.18099556898</v>
      </c>
      <c r="B227">
        <v>6935467.6507756496</v>
      </c>
      <c r="C227">
        <v>226</v>
      </c>
      <c r="D227" t="s">
        <v>626</v>
      </c>
      <c r="E227" t="s">
        <v>586</v>
      </c>
      <c r="F227" t="s">
        <v>628</v>
      </c>
      <c r="G227" t="s">
        <v>622</v>
      </c>
      <c r="H227" s="3">
        <v>873</v>
      </c>
      <c r="I227">
        <v>2</v>
      </c>
      <c r="J227" t="s">
        <v>56</v>
      </c>
      <c r="K227">
        <v>50.9</v>
      </c>
      <c r="L227">
        <v>59.4</v>
      </c>
      <c r="M227">
        <v>1</v>
      </c>
      <c r="N227" t="s">
        <v>56</v>
      </c>
      <c r="O227" t="s">
        <v>622</v>
      </c>
      <c r="P227">
        <v>86.8</v>
      </c>
      <c r="Q227">
        <v>0.6</v>
      </c>
      <c r="R227">
        <v>12</v>
      </c>
      <c r="S227">
        <v>0.1</v>
      </c>
      <c r="T227">
        <v>0.1</v>
      </c>
      <c r="U227">
        <v>0</v>
      </c>
      <c r="V227">
        <v>0.2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0.2</v>
      </c>
      <c r="AC227" t="s">
        <v>622</v>
      </c>
      <c r="AD227">
        <v>50</v>
      </c>
      <c r="AE227" t="s">
        <v>622</v>
      </c>
      <c r="AF227" s="4" t="s">
        <v>80</v>
      </c>
      <c r="AG227" s="4">
        <v>453</v>
      </c>
      <c r="AH227" s="4" t="s">
        <v>81</v>
      </c>
      <c r="AI227" s="4">
        <v>420</v>
      </c>
      <c r="AJ227" t="s">
        <v>622</v>
      </c>
      <c r="AK227" t="s">
        <v>56</v>
      </c>
      <c r="AL227" t="s">
        <v>628</v>
      </c>
      <c r="AM227">
        <v>8</v>
      </c>
      <c r="AN227">
        <v>0</v>
      </c>
      <c r="AO227">
        <v>9</v>
      </c>
      <c r="AP227">
        <v>0</v>
      </c>
      <c r="AQ227" s="5">
        <v>76</v>
      </c>
      <c r="AR227">
        <v>14</v>
      </c>
      <c r="AS227">
        <v>0</v>
      </c>
      <c r="AT227">
        <v>15</v>
      </c>
      <c r="AU227">
        <v>0</v>
      </c>
      <c r="AV227" s="5">
        <v>101</v>
      </c>
      <c r="AW227" t="s">
        <v>56</v>
      </c>
      <c r="AX227" s="6">
        <v>898</v>
      </c>
      <c r="AY227" t="s">
        <v>622</v>
      </c>
      <c r="AZ227" t="s">
        <v>56</v>
      </c>
    </row>
    <row r="228" spans="1:52" hidden="1" x14ac:dyDescent="0.45">
      <c r="A228">
        <v>513466.08257679601</v>
      </c>
      <c r="B228">
        <v>6930229.2103121597</v>
      </c>
      <c r="C228">
        <v>227</v>
      </c>
      <c r="D228" t="s">
        <v>629</v>
      </c>
      <c r="E228" t="s">
        <v>313</v>
      </c>
      <c r="F228" t="s">
        <v>630</v>
      </c>
      <c r="G228" t="s">
        <v>631</v>
      </c>
      <c r="H228" s="3">
        <v>1684</v>
      </c>
      <c r="I228">
        <v>2</v>
      </c>
      <c r="J228" t="s">
        <v>56</v>
      </c>
      <c r="K228">
        <v>68.099999999999994</v>
      </c>
      <c r="L228">
        <v>78.8</v>
      </c>
      <c r="M228">
        <v>1</v>
      </c>
      <c r="N228" t="s">
        <v>56</v>
      </c>
      <c r="O228" t="s">
        <v>631</v>
      </c>
      <c r="P228">
        <v>75.400000000000006</v>
      </c>
      <c r="Q228">
        <v>1.5</v>
      </c>
      <c r="R228">
        <v>20.399999999999999</v>
      </c>
      <c r="S228">
        <v>0.4</v>
      </c>
      <c r="T228">
        <v>0.2</v>
      </c>
      <c r="U228">
        <v>0</v>
      </c>
      <c r="V228">
        <v>1.3</v>
      </c>
      <c r="W228">
        <v>0</v>
      </c>
      <c r="X228">
        <v>0.2</v>
      </c>
      <c r="Y228">
        <v>0</v>
      </c>
      <c r="Z228">
        <v>0</v>
      </c>
      <c r="AA228">
        <v>0</v>
      </c>
      <c r="AB228">
        <v>0.6</v>
      </c>
      <c r="AC228" t="s">
        <v>631</v>
      </c>
      <c r="AD228">
        <v>80</v>
      </c>
      <c r="AE228" t="s">
        <v>631</v>
      </c>
      <c r="AF228" s="4" t="s">
        <v>57</v>
      </c>
      <c r="AG228" s="4">
        <v>910</v>
      </c>
      <c r="AH228" s="4" t="s">
        <v>58</v>
      </c>
      <c r="AI228" s="4">
        <v>774</v>
      </c>
      <c r="AJ228" t="s">
        <v>631</v>
      </c>
      <c r="AK228" t="s">
        <v>56</v>
      </c>
      <c r="AL228" t="s">
        <v>630</v>
      </c>
      <c r="AM228">
        <v>8</v>
      </c>
      <c r="AN228">
        <v>0</v>
      </c>
      <c r="AO228">
        <v>9</v>
      </c>
      <c r="AP228">
        <v>0</v>
      </c>
      <c r="AQ228" s="5">
        <v>125</v>
      </c>
      <c r="AR228">
        <v>17</v>
      </c>
      <c r="AS228">
        <v>0</v>
      </c>
      <c r="AT228">
        <v>18</v>
      </c>
      <c r="AU228">
        <v>0</v>
      </c>
      <c r="AV228" s="5">
        <v>197</v>
      </c>
      <c r="AW228" t="s">
        <v>56</v>
      </c>
      <c r="AX228" s="6">
        <v>1762</v>
      </c>
      <c r="AY228" t="s">
        <v>631</v>
      </c>
      <c r="AZ228" t="s">
        <v>56</v>
      </c>
    </row>
    <row r="229" spans="1:52" hidden="1" x14ac:dyDescent="0.45">
      <c r="A229">
        <v>512626.80501894699</v>
      </c>
      <c r="B229">
        <v>6930461.4040160496</v>
      </c>
      <c r="C229">
        <v>228</v>
      </c>
      <c r="D229" t="s">
        <v>629</v>
      </c>
      <c r="E229" t="s">
        <v>313</v>
      </c>
      <c r="F229" t="s">
        <v>632</v>
      </c>
      <c r="G229" t="s">
        <v>631</v>
      </c>
      <c r="H229" s="3">
        <v>3883</v>
      </c>
      <c r="I229">
        <v>2</v>
      </c>
      <c r="J229" t="s">
        <v>56</v>
      </c>
      <c r="K229">
        <v>74</v>
      </c>
      <c r="L229">
        <v>81.7</v>
      </c>
      <c r="M229">
        <v>1</v>
      </c>
      <c r="N229" t="s">
        <v>56</v>
      </c>
      <c r="O229" t="s">
        <v>631</v>
      </c>
      <c r="P229">
        <v>74.8</v>
      </c>
      <c r="Q229">
        <v>1.7</v>
      </c>
      <c r="R229">
        <v>20.5</v>
      </c>
      <c r="S229">
        <v>1</v>
      </c>
      <c r="T229">
        <v>0.1</v>
      </c>
      <c r="U229">
        <v>0</v>
      </c>
      <c r="V229">
        <v>1</v>
      </c>
      <c r="W229">
        <v>0.1</v>
      </c>
      <c r="X229">
        <v>0.2</v>
      </c>
      <c r="Y229">
        <v>0.1</v>
      </c>
      <c r="Z229">
        <v>0</v>
      </c>
      <c r="AA229">
        <v>0</v>
      </c>
      <c r="AB229">
        <v>0.5</v>
      </c>
      <c r="AC229" t="s">
        <v>631</v>
      </c>
      <c r="AD229">
        <v>80</v>
      </c>
      <c r="AE229" t="s">
        <v>631</v>
      </c>
      <c r="AF229" s="4" t="s">
        <v>57</v>
      </c>
      <c r="AG229" s="4">
        <v>1987</v>
      </c>
      <c r="AH229" s="4" t="s">
        <v>58</v>
      </c>
      <c r="AI229" s="4">
        <v>1896</v>
      </c>
      <c r="AJ229" t="s">
        <v>631</v>
      </c>
      <c r="AK229" t="s">
        <v>56</v>
      </c>
      <c r="AL229" t="s">
        <v>632</v>
      </c>
      <c r="AM229">
        <v>8</v>
      </c>
      <c r="AN229">
        <v>0</v>
      </c>
      <c r="AO229">
        <v>9</v>
      </c>
      <c r="AP229">
        <v>0</v>
      </c>
      <c r="AQ229" s="5">
        <v>318</v>
      </c>
      <c r="AR229">
        <v>15</v>
      </c>
      <c r="AS229">
        <v>0</v>
      </c>
      <c r="AT229">
        <v>16</v>
      </c>
      <c r="AU229">
        <v>0</v>
      </c>
      <c r="AV229" s="5">
        <v>373</v>
      </c>
      <c r="AW229" t="s">
        <v>56</v>
      </c>
      <c r="AX229" s="6">
        <v>4213</v>
      </c>
      <c r="AY229" t="s">
        <v>631</v>
      </c>
      <c r="AZ229" t="s">
        <v>56</v>
      </c>
    </row>
    <row r="230" spans="1:52" hidden="1" x14ac:dyDescent="0.45">
      <c r="A230">
        <v>513230.50153829303</v>
      </c>
      <c r="B230">
        <v>6930269.6796823703</v>
      </c>
      <c r="C230">
        <v>229</v>
      </c>
      <c r="D230" t="s">
        <v>629</v>
      </c>
      <c r="E230" t="s">
        <v>313</v>
      </c>
      <c r="F230" t="s">
        <v>633</v>
      </c>
      <c r="G230" t="s">
        <v>631</v>
      </c>
      <c r="H230" s="3">
        <v>1804</v>
      </c>
      <c r="I230">
        <v>2</v>
      </c>
      <c r="J230" t="s">
        <v>56</v>
      </c>
      <c r="K230">
        <v>70.7</v>
      </c>
      <c r="L230">
        <v>80.599999999999994</v>
      </c>
      <c r="M230">
        <v>1</v>
      </c>
      <c r="N230" t="s">
        <v>56</v>
      </c>
      <c r="O230" t="s">
        <v>631</v>
      </c>
      <c r="P230">
        <v>73.3</v>
      </c>
      <c r="Q230">
        <v>1.7</v>
      </c>
      <c r="R230">
        <v>22</v>
      </c>
      <c r="S230">
        <v>0.6</v>
      </c>
      <c r="T230">
        <v>0.2</v>
      </c>
      <c r="U230">
        <v>0</v>
      </c>
      <c r="V230">
        <v>1.4</v>
      </c>
      <c r="W230">
        <v>0.1</v>
      </c>
      <c r="X230">
        <v>0.2</v>
      </c>
      <c r="Y230">
        <v>0</v>
      </c>
      <c r="Z230">
        <v>0</v>
      </c>
      <c r="AA230">
        <v>0</v>
      </c>
      <c r="AB230">
        <v>0.5</v>
      </c>
      <c r="AC230" t="s">
        <v>631</v>
      </c>
      <c r="AD230">
        <v>80</v>
      </c>
      <c r="AE230" t="s">
        <v>631</v>
      </c>
      <c r="AF230" s="4" t="s">
        <v>57</v>
      </c>
      <c r="AG230" s="4">
        <v>952</v>
      </c>
      <c r="AH230" s="4" t="s">
        <v>58</v>
      </c>
      <c r="AI230" s="4">
        <v>852</v>
      </c>
      <c r="AJ230" t="s">
        <v>631</v>
      </c>
      <c r="AK230" t="s">
        <v>56</v>
      </c>
      <c r="AL230" t="s">
        <v>633</v>
      </c>
      <c r="AM230">
        <v>7</v>
      </c>
      <c r="AN230">
        <v>0</v>
      </c>
      <c r="AO230">
        <v>8</v>
      </c>
      <c r="AP230">
        <v>0</v>
      </c>
      <c r="AQ230" s="5">
        <v>138</v>
      </c>
      <c r="AR230">
        <v>15</v>
      </c>
      <c r="AS230">
        <v>0</v>
      </c>
      <c r="AT230">
        <v>16</v>
      </c>
      <c r="AU230">
        <v>0</v>
      </c>
      <c r="AV230" s="5">
        <v>189</v>
      </c>
      <c r="AW230" t="s">
        <v>56</v>
      </c>
      <c r="AX230" s="6">
        <v>1895</v>
      </c>
      <c r="AY230" t="s">
        <v>631</v>
      </c>
      <c r="AZ230" t="s">
        <v>56</v>
      </c>
    </row>
    <row r="231" spans="1:52" hidden="1" x14ac:dyDescent="0.45">
      <c r="A231">
        <v>508091.480844217</v>
      </c>
      <c r="B231">
        <v>6940638.8829314504</v>
      </c>
      <c r="C231">
        <v>230</v>
      </c>
      <c r="D231" t="s">
        <v>634</v>
      </c>
      <c r="E231" t="s">
        <v>358</v>
      </c>
      <c r="F231" t="s">
        <v>635</v>
      </c>
      <c r="G231" t="s">
        <v>636</v>
      </c>
      <c r="H231" s="3">
        <v>2875</v>
      </c>
      <c r="I231">
        <v>2</v>
      </c>
      <c r="J231" t="s">
        <v>56</v>
      </c>
      <c r="K231">
        <v>52.7</v>
      </c>
      <c r="L231">
        <v>59.8</v>
      </c>
      <c r="M231">
        <v>1</v>
      </c>
      <c r="N231" t="s">
        <v>56</v>
      </c>
      <c r="O231" t="s">
        <v>636</v>
      </c>
      <c r="P231">
        <v>87.8</v>
      </c>
      <c r="Q231">
        <v>0.5</v>
      </c>
      <c r="R231">
        <v>10.8</v>
      </c>
      <c r="S231">
        <v>0.3</v>
      </c>
      <c r="T231">
        <v>0.1</v>
      </c>
      <c r="U231">
        <v>0</v>
      </c>
      <c r="V231">
        <v>0.2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0.3</v>
      </c>
      <c r="AC231" t="s">
        <v>636</v>
      </c>
      <c r="AD231">
        <v>50</v>
      </c>
      <c r="AE231" t="s">
        <v>636</v>
      </c>
      <c r="AF231" s="4" t="s">
        <v>57</v>
      </c>
      <c r="AG231" s="4">
        <v>1301</v>
      </c>
      <c r="AH231" s="4" t="s">
        <v>58</v>
      </c>
      <c r="AI231" s="4">
        <v>1574</v>
      </c>
      <c r="AJ231" t="s">
        <v>636</v>
      </c>
      <c r="AK231" t="s">
        <v>56</v>
      </c>
      <c r="AL231" t="s">
        <v>635</v>
      </c>
      <c r="AM231">
        <v>8</v>
      </c>
      <c r="AN231">
        <v>0</v>
      </c>
      <c r="AO231">
        <v>9</v>
      </c>
      <c r="AP231">
        <v>0</v>
      </c>
      <c r="AQ231" s="5">
        <v>188</v>
      </c>
      <c r="AR231">
        <v>16</v>
      </c>
      <c r="AS231">
        <v>0</v>
      </c>
      <c r="AT231">
        <v>17</v>
      </c>
      <c r="AU231">
        <v>0</v>
      </c>
      <c r="AV231" s="5">
        <v>310</v>
      </c>
      <c r="AW231" t="s">
        <v>56</v>
      </c>
      <c r="AX231" s="6">
        <v>3085</v>
      </c>
      <c r="AY231" t="s">
        <v>636</v>
      </c>
      <c r="AZ231" t="s">
        <v>56</v>
      </c>
    </row>
    <row r="232" spans="1:52" hidden="1" x14ac:dyDescent="0.45">
      <c r="A232">
        <v>511061.464581237</v>
      </c>
      <c r="B232">
        <v>6937391.8692772901</v>
      </c>
      <c r="C232">
        <v>231</v>
      </c>
      <c r="D232" t="s">
        <v>637</v>
      </c>
      <c r="E232" t="s">
        <v>149</v>
      </c>
      <c r="F232" t="s">
        <v>638</v>
      </c>
      <c r="G232" t="s">
        <v>636</v>
      </c>
      <c r="H232" s="3">
        <v>1975</v>
      </c>
      <c r="I232">
        <v>2</v>
      </c>
      <c r="J232" t="s">
        <v>56</v>
      </c>
      <c r="K232">
        <v>57.4</v>
      </c>
      <c r="L232">
        <v>65.5</v>
      </c>
      <c r="M232">
        <v>1</v>
      </c>
      <c r="N232" t="s">
        <v>56</v>
      </c>
      <c r="O232" t="s">
        <v>636</v>
      </c>
      <c r="P232">
        <v>87.3</v>
      </c>
      <c r="Q232">
        <v>0.6</v>
      </c>
      <c r="R232">
        <v>11.5</v>
      </c>
      <c r="S232">
        <v>0.2</v>
      </c>
      <c r="T232">
        <v>0</v>
      </c>
      <c r="U232">
        <v>0</v>
      </c>
      <c r="V232">
        <v>0.2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0.2</v>
      </c>
      <c r="AC232" t="s">
        <v>636</v>
      </c>
      <c r="AD232">
        <v>50</v>
      </c>
      <c r="AE232" t="s">
        <v>636</v>
      </c>
      <c r="AF232" s="4" t="s">
        <v>80</v>
      </c>
      <c r="AG232" s="4">
        <v>984</v>
      </c>
      <c r="AH232" s="4" t="s">
        <v>81</v>
      </c>
      <c r="AI232" s="4">
        <v>991</v>
      </c>
      <c r="AJ232" t="s">
        <v>636</v>
      </c>
      <c r="AK232" t="s">
        <v>56</v>
      </c>
      <c r="AL232" t="s">
        <v>638</v>
      </c>
      <c r="AM232">
        <v>8</v>
      </c>
      <c r="AN232">
        <v>0</v>
      </c>
      <c r="AO232">
        <v>9</v>
      </c>
      <c r="AP232">
        <v>0</v>
      </c>
      <c r="AQ232" s="5">
        <v>166</v>
      </c>
      <c r="AR232">
        <v>17</v>
      </c>
      <c r="AS232">
        <v>0</v>
      </c>
      <c r="AT232">
        <v>18</v>
      </c>
      <c r="AU232">
        <v>0</v>
      </c>
      <c r="AV232" s="5">
        <v>196</v>
      </c>
      <c r="AW232" t="s">
        <v>56</v>
      </c>
      <c r="AX232" s="6">
        <v>2038</v>
      </c>
      <c r="AY232" t="s">
        <v>636</v>
      </c>
      <c r="AZ232" t="s">
        <v>56</v>
      </c>
    </row>
    <row r="233" spans="1:52" hidden="1" x14ac:dyDescent="0.45">
      <c r="A233">
        <v>517719.92236724199</v>
      </c>
      <c r="B233">
        <v>6935472.86012132</v>
      </c>
      <c r="C233">
        <v>232</v>
      </c>
      <c r="D233" t="s">
        <v>639</v>
      </c>
      <c r="E233" t="s">
        <v>640</v>
      </c>
      <c r="F233" t="s">
        <v>641</v>
      </c>
      <c r="G233" t="s">
        <v>642</v>
      </c>
      <c r="H233" s="3">
        <v>1700</v>
      </c>
      <c r="I233">
        <v>2</v>
      </c>
      <c r="J233" t="s">
        <v>56</v>
      </c>
      <c r="K233">
        <v>58.6</v>
      </c>
      <c r="L233">
        <v>66.2</v>
      </c>
      <c r="M233">
        <v>1</v>
      </c>
      <c r="N233" t="s">
        <v>56</v>
      </c>
      <c r="O233" t="s">
        <v>642</v>
      </c>
      <c r="P233">
        <v>82.7</v>
      </c>
      <c r="Q233">
        <v>1.1000000000000001</v>
      </c>
      <c r="R233">
        <v>15.4</v>
      </c>
      <c r="S233">
        <v>0.4</v>
      </c>
      <c r="T233">
        <v>0</v>
      </c>
      <c r="U233">
        <v>0</v>
      </c>
      <c r="V233">
        <v>0.3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0.1</v>
      </c>
      <c r="AC233" t="s">
        <v>642</v>
      </c>
      <c r="AD233">
        <v>60</v>
      </c>
      <c r="AE233" t="s">
        <v>642</v>
      </c>
      <c r="AF233" s="4" t="s">
        <v>57</v>
      </c>
      <c r="AG233" s="4">
        <v>935</v>
      </c>
      <c r="AH233" s="4" t="s">
        <v>58</v>
      </c>
      <c r="AI233" s="4">
        <v>765</v>
      </c>
      <c r="AJ233" t="s">
        <v>642</v>
      </c>
      <c r="AK233" t="s">
        <v>56</v>
      </c>
      <c r="AL233" t="s">
        <v>641</v>
      </c>
      <c r="AM233">
        <v>8</v>
      </c>
      <c r="AN233">
        <v>0</v>
      </c>
      <c r="AO233">
        <v>9</v>
      </c>
      <c r="AP233">
        <v>0</v>
      </c>
      <c r="AQ233" s="5">
        <v>141</v>
      </c>
      <c r="AR233">
        <v>15</v>
      </c>
      <c r="AS233">
        <v>0</v>
      </c>
      <c r="AT233">
        <v>16</v>
      </c>
      <c r="AU233">
        <v>0</v>
      </c>
      <c r="AV233" s="5">
        <v>173</v>
      </c>
      <c r="AW233" t="s">
        <v>56</v>
      </c>
      <c r="AX233" s="6">
        <v>1788</v>
      </c>
      <c r="AY233" t="s">
        <v>642</v>
      </c>
      <c r="AZ233" t="s">
        <v>56</v>
      </c>
    </row>
    <row r="234" spans="1:52" hidden="1" x14ac:dyDescent="0.45">
      <c r="A234">
        <v>517506.72358203703</v>
      </c>
      <c r="B234">
        <v>6935507.8404841302</v>
      </c>
      <c r="C234">
        <v>233</v>
      </c>
      <c r="D234" t="s">
        <v>639</v>
      </c>
      <c r="E234" t="s">
        <v>640</v>
      </c>
      <c r="F234" t="s">
        <v>643</v>
      </c>
      <c r="G234" t="s">
        <v>642</v>
      </c>
      <c r="H234" s="3">
        <v>1426</v>
      </c>
      <c r="I234">
        <v>2</v>
      </c>
      <c r="J234" t="s">
        <v>56</v>
      </c>
      <c r="K234">
        <v>53.7</v>
      </c>
      <c r="L234">
        <v>61.9</v>
      </c>
      <c r="M234">
        <v>1</v>
      </c>
      <c r="N234" t="s">
        <v>56</v>
      </c>
      <c r="O234" t="s">
        <v>642</v>
      </c>
      <c r="P234">
        <v>81</v>
      </c>
      <c r="Q234">
        <v>1.6</v>
      </c>
      <c r="R234">
        <v>14.6</v>
      </c>
      <c r="S234">
        <v>1.1000000000000001</v>
      </c>
      <c r="T234">
        <v>0.3</v>
      </c>
      <c r="U234">
        <v>0.1</v>
      </c>
      <c r="V234">
        <v>0.3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1</v>
      </c>
      <c r="AC234" t="s">
        <v>642</v>
      </c>
      <c r="AD234">
        <v>60</v>
      </c>
      <c r="AE234" t="s">
        <v>642</v>
      </c>
      <c r="AF234" s="4" t="s">
        <v>57</v>
      </c>
      <c r="AG234" s="4">
        <v>749</v>
      </c>
      <c r="AH234" s="4" t="s">
        <v>58</v>
      </c>
      <c r="AI234" s="4">
        <v>677</v>
      </c>
      <c r="AJ234" t="s">
        <v>642</v>
      </c>
      <c r="AK234" t="s">
        <v>56</v>
      </c>
      <c r="AL234" t="s">
        <v>643</v>
      </c>
      <c r="AM234">
        <v>8</v>
      </c>
      <c r="AN234">
        <v>0</v>
      </c>
      <c r="AO234">
        <v>9</v>
      </c>
      <c r="AP234">
        <v>0</v>
      </c>
      <c r="AQ234" s="5">
        <v>121</v>
      </c>
      <c r="AR234">
        <v>15</v>
      </c>
      <c r="AS234">
        <v>0</v>
      </c>
      <c r="AT234">
        <v>16</v>
      </c>
      <c r="AU234">
        <v>0</v>
      </c>
      <c r="AV234" s="5">
        <v>156</v>
      </c>
      <c r="AW234" t="s">
        <v>56</v>
      </c>
      <c r="AX234" s="6">
        <v>1512</v>
      </c>
      <c r="AY234" t="s">
        <v>642</v>
      </c>
      <c r="AZ234" t="s">
        <v>56</v>
      </c>
    </row>
    <row r="235" spans="1:52" hidden="1" x14ac:dyDescent="0.45">
      <c r="A235">
        <v>516088.26918805903</v>
      </c>
      <c r="B235">
        <v>6934209.7939403001</v>
      </c>
      <c r="C235">
        <v>234</v>
      </c>
      <c r="D235" t="s">
        <v>644</v>
      </c>
      <c r="E235" t="s">
        <v>499</v>
      </c>
      <c r="F235" t="s">
        <v>645</v>
      </c>
      <c r="G235" t="s">
        <v>636</v>
      </c>
      <c r="H235" s="3">
        <v>1703</v>
      </c>
      <c r="I235">
        <v>2</v>
      </c>
      <c r="J235" t="s">
        <v>56</v>
      </c>
      <c r="K235">
        <v>54.4</v>
      </c>
      <c r="L235">
        <v>62.6</v>
      </c>
      <c r="M235">
        <v>1</v>
      </c>
      <c r="N235" t="s">
        <v>56</v>
      </c>
      <c r="O235" t="s">
        <v>636</v>
      </c>
      <c r="P235">
        <v>80.8</v>
      </c>
      <c r="Q235">
        <v>1.1000000000000001</v>
      </c>
      <c r="R235">
        <v>15.9</v>
      </c>
      <c r="S235">
        <v>0.8</v>
      </c>
      <c r="T235">
        <v>0.4</v>
      </c>
      <c r="U235">
        <v>0</v>
      </c>
      <c r="V235">
        <v>0.7</v>
      </c>
      <c r="W235">
        <v>0.1</v>
      </c>
      <c r="X235">
        <v>0.1</v>
      </c>
      <c r="Y235">
        <v>0.1</v>
      </c>
      <c r="Z235">
        <v>0</v>
      </c>
      <c r="AA235">
        <v>0</v>
      </c>
      <c r="AB235">
        <v>0</v>
      </c>
      <c r="AC235" t="s">
        <v>636</v>
      </c>
      <c r="AD235">
        <v>50</v>
      </c>
      <c r="AE235" t="s">
        <v>636</v>
      </c>
      <c r="AF235" s="4" t="s">
        <v>57</v>
      </c>
      <c r="AG235" s="4">
        <v>856</v>
      </c>
      <c r="AH235" s="4" t="s">
        <v>58</v>
      </c>
      <c r="AI235" s="4">
        <v>847</v>
      </c>
      <c r="AJ235" t="s">
        <v>636</v>
      </c>
      <c r="AK235" t="s">
        <v>56</v>
      </c>
      <c r="AL235" t="s">
        <v>645</v>
      </c>
      <c r="AM235">
        <v>8</v>
      </c>
      <c r="AN235">
        <v>0</v>
      </c>
      <c r="AO235">
        <v>9</v>
      </c>
      <c r="AP235">
        <v>0</v>
      </c>
      <c r="AQ235" s="5">
        <v>128</v>
      </c>
      <c r="AR235">
        <v>15</v>
      </c>
      <c r="AS235">
        <v>0</v>
      </c>
      <c r="AT235">
        <v>16</v>
      </c>
      <c r="AU235">
        <v>0</v>
      </c>
      <c r="AV235" s="5">
        <v>141</v>
      </c>
      <c r="AW235" t="s">
        <v>56</v>
      </c>
      <c r="AX235" s="6">
        <v>1759</v>
      </c>
      <c r="AY235" t="s">
        <v>636</v>
      </c>
      <c r="AZ235" t="s">
        <v>56</v>
      </c>
    </row>
    <row r="236" spans="1:52" hidden="1" x14ac:dyDescent="0.45">
      <c r="A236">
        <v>516074.24035725399</v>
      </c>
      <c r="B236">
        <v>6936049.3845780902</v>
      </c>
      <c r="C236">
        <v>235</v>
      </c>
      <c r="D236" t="s">
        <v>646</v>
      </c>
      <c r="E236" t="s">
        <v>647</v>
      </c>
      <c r="F236" t="s">
        <v>648</v>
      </c>
      <c r="G236" t="s">
        <v>636</v>
      </c>
      <c r="H236" s="3">
        <v>5225</v>
      </c>
      <c r="I236">
        <v>2</v>
      </c>
      <c r="J236" t="s">
        <v>56</v>
      </c>
      <c r="K236">
        <v>57.9</v>
      </c>
      <c r="L236">
        <v>63.4</v>
      </c>
      <c r="M236">
        <v>1</v>
      </c>
      <c r="N236" t="s">
        <v>56</v>
      </c>
      <c r="O236" t="s">
        <v>636</v>
      </c>
      <c r="P236">
        <v>86.9</v>
      </c>
      <c r="Q236">
        <v>0.8</v>
      </c>
      <c r="R236">
        <v>11</v>
      </c>
      <c r="S236">
        <v>0.7</v>
      </c>
      <c r="T236">
        <v>0.1</v>
      </c>
      <c r="U236">
        <v>0</v>
      </c>
      <c r="V236">
        <v>0.3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0.2</v>
      </c>
      <c r="AC236" t="s">
        <v>636</v>
      </c>
      <c r="AD236">
        <v>60</v>
      </c>
      <c r="AE236" t="s">
        <v>636</v>
      </c>
      <c r="AF236" s="4" t="s">
        <v>80</v>
      </c>
      <c r="AG236" s="4">
        <v>2585</v>
      </c>
      <c r="AH236" s="4" t="s">
        <v>81</v>
      </c>
      <c r="AI236" s="4">
        <v>2640</v>
      </c>
      <c r="AJ236" t="s">
        <v>636</v>
      </c>
      <c r="AK236" t="s">
        <v>56</v>
      </c>
      <c r="AL236" t="s">
        <v>648</v>
      </c>
      <c r="AM236">
        <v>8</v>
      </c>
      <c r="AN236">
        <v>0</v>
      </c>
      <c r="AO236">
        <v>9</v>
      </c>
      <c r="AP236">
        <v>0</v>
      </c>
      <c r="AQ236" s="5">
        <v>521</v>
      </c>
      <c r="AR236">
        <v>15</v>
      </c>
      <c r="AS236">
        <v>0</v>
      </c>
      <c r="AT236">
        <v>16</v>
      </c>
      <c r="AU236">
        <v>0</v>
      </c>
      <c r="AV236" s="5">
        <v>600</v>
      </c>
      <c r="AW236" t="s">
        <v>56</v>
      </c>
      <c r="AX236" s="6">
        <v>5655</v>
      </c>
      <c r="AY236" t="s">
        <v>636</v>
      </c>
      <c r="AZ236" t="s">
        <v>56</v>
      </c>
    </row>
    <row r="237" spans="1:52" hidden="1" x14ac:dyDescent="0.45">
      <c r="A237">
        <v>516692.29653450701</v>
      </c>
      <c r="B237">
        <v>6935883.6136419</v>
      </c>
      <c r="C237">
        <v>236</v>
      </c>
      <c r="D237" t="s">
        <v>646</v>
      </c>
      <c r="E237" t="s">
        <v>647</v>
      </c>
      <c r="F237" t="s">
        <v>649</v>
      </c>
      <c r="G237" t="s">
        <v>636</v>
      </c>
      <c r="H237" s="3">
        <v>4466</v>
      </c>
      <c r="I237">
        <v>2</v>
      </c>
      <c r="J237" t="s">
        <v>56</v>
      </c>
      <c r="K237">
        <v>52.5</v>
      </c>
      <c r="L237">
        <v>59.4</v>
      </c>
      <c r="M237">
        <v>1</v>
      </c>
      <c r="N237" t="s">
        <v>56</v>
      </c>
      <c r="O237" t="s">
        <v>636</v>
      </c>
      <c r="P237">
        <v>87.1</v>
      </c>
      <c r="Q237">
        <v>0.9</v>
      </c>
      <c r="R237">
        <v>10.7</v>
      </c>
      <c r="S237">
        <v>0.7</v>
      </c>
      <c r="T237">
        <v>0.1</v>
      </c>
      <c r="U237">
        <v>0</v>
      </c>
      <c r="V237">
        <v>0.3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0.2</v>
      </c>
      <c r="AC237" t="s">
        <v>636</v>
      </c>
      <c r="AD237">
        <v>60</v>
      </c>
      <c r="AE237" t="s">
        <v>636</v>
      </c>
      <c r="AF237" s="4" t="s">
        <v>80</v>
      </c>
      <c r="AG237" s="4">
        <v>2250</v>
      </c>
      <c r="AH237" s="4" t="s">
        <v>81</v>
      </c>
      <c r="AI237" s="4">
        <v>2216</v>
      </c>
      <c r="AJ237" t="s">
        <v>636</v>
      </c>
      <c r="AK237" t="s">
        <v>56</v>
      </c>
      <c r="AL237" t="s">
        <v>649</v>
      </c>
      <c r="AM237">
        <v>8</v>
      </c>
      <c r="AN237">
        <v>0</v>
      </c>
      <c r="AO237">
        <v>9</v>
      </c>
      <c r="AP237">
        <v>0</v>
      </c>
      <c r="AQ237" s="5">
        <v>528</v>
      </c>
      <c r="AR237">
        <v>15</v>
      </c>
      <c r="AS237">
        <v>0</v>
      </c>
      <c r="AT237">
        <v>16</v>
      </c>
      <c r="AU237">
        <v>0</v>
      </c>
      <c r="AV237" s="5">
        <v>573</v>
      </c>
      <c r="AW237" t="s">
        <v>56</v>
      </c>
      <c r="AX237" s="6">
        <v>4908</v>
      </c>
      <c r="AY237" t="s">
        <v>636</v>
      </c>
      <c r="AZ237" t="s">
        <v>56</v>
      </c>
    </row>
    <row r="238" spans="1:52" hidden="1" x14ac:dyDescent="0.45">
      <c r="A238">
        <v>516979.820603117</v>
      </c>
      <c r="B238">
        <v>6934845.0703961104</v>
      </c>
      <c r="C238">
        <v>237</v>
      </c>
      <c r="D238" t="s">
        <v>646</v>
      </c>
      <c r="E238" t="s">
        <v>647</v>
      </c>
      <c r="F238" t="s">
        <v>650</v>
      </c>
      <c r="G238" t="s">
        <v>636</v>
      </c>
      <c r="H238" s="3">
        <v>4694</v>
      </c>
      <c r="I238">
        <v>2</v>
      </c>
      <c r="J238" t="s">
        <v>56</v>
      </c>
      <c r="K238">
        <v>61.2</v>
      </c>
      <c r="L238">
        <v>69.099999999999994</v>
      </c>
      <c r="M238">
        <v>1</v>
      </c>
      <c r="N238" t="s">
        <v>56</v>
      </c>
      <c r="O238" t="s">
        <v>636</v>
      </c>
      <c r="P238">
        <v>85.9</v>
      </c>
      <c r="Q238">
        <v>0.8</v>
      </c>
      <c r="R238">
        <v>12.7</v>
      </c>
      <c r="S238">
        <v>0.2</v>
      </c>
      <c r="T238">
        <v>0</v>
      </c>
      <c r="U238">
        <v>0</v>
      </c>
      <c r="V238">
        <v>0.2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0.2</v>
      </c>
      <c r="AC238" t="s">
        <v>636</v>
      </c>
      <c r="AD238">
        <v>60</v>
      </c>
      <c r="AE238" t="s">
        <v>636</v>
      </c>
      <c r="AF238" s="4" t="s">
        <v>80</v>
      </c>
      <c r="AG238" s="4">
        <v>2484</v>
      </c>
      <c r="AH238" s="4" t="s">
        <v>81</v>
      </c>
      <c r="AI238" s="4">
        <v>2210</v>
      </c>
      <c r="AJ238" t="s">
        <v>636</v>
      </c>
      <c r="AK238" t="s">
        <v>56</v>
      </c>
      <c r="AL238" t="s">
        <v>650</v>
      </c>
      <c r="AM238">
        <v>8</v>
      </c>
      <c r="AN238">
        <v>0</v>
      </c>
      <c r="AO238">
        <v>9</v>
      </c>
      <c r="AP238">
        <v>0</v>
      </c>
      <c r="AQ238" s="5">
        <v>502</v>
      </c>
      <c r="AR238">
        <v>15</v>
      </c>
      <c r="AS238">
        <v>0</v>
      </c>
      <c r="AT238">
        <v>16</v>
      </c>
      <c r="AU238">
        <v>0</v>
      </c>
      <c r="AV238" s="5">
        <v>535</v>
      </c>
      <c r="AW238" t="s">
        <v>56</v>
      </c>
      <c r="AX238" s="6">
        <v>5115</v>
      </c>
      <c r="AY238" t="s">
        <v>636</v>
      </c>
      <c r="AZ238" t="s">
        <v>56</v>
      </c>
    </row>
    <row r="239" spans="1:52" hidden="1" x14ac:dyDescent="0.45">
      <c r="A239">
        <v>517440.41316592298</v>
      </c>
      <c r="B239">
        <v>6935192.6817782102</v>
      </c>
      <c r="C239">
        <v>238</v>
      </c>
      <c r="D239" t="s">
        <v>651</v>
      </c>
      <c r="E239" t="s">
        <v>647</v>
      </c>
      <c r="F239" t="s">
        <v>652</v>
      </c>
      <c r="G239" t="s">
        <v>636</v>
      </c>
      <c r="H239" s="3">
        <v>263</v>
      </c>
      <c r="I239">
        <v>2</v>
      </c>
      <c r="J239" t="s">
        <v>56</v>
      </c>
      <c r="K239">
        <v>47.8</v>
      </c>
      <c r="L239">
        <v>58.7</v>
      </c>
      <c r="M239">
        <v>1</v>
      </c>
      <c r="N239" t="s">
        <v>56</v>
      </c>
      <c r="O239" t="s">
        <v>636</v>
      </c>
      <c r="P239">
        <v>83.2</v>
      </c>
      <c r="Q239">
        <v>1.7</v>
      </c>
      <c r="R239">
        <v>14</v>
      </c>
      <c r="S239">
        <v>0.2</v>
      </c>
      <c r="T239">
        <v>0</v>
      </c>
      <c r="U239">
        <v>0</v>
      </c>
      <c r="V239">
        <v>0.4</v>
      </c>
      <c r="W239">
        <v>0</v>
      </c>
      <c r="X239">
        <v>0.1</v>
      </c>
      <c r="Y239">
        <v>0</v>
      </c>
      <c r="Z239">
        <v>0</v>
      </c>
      <c r="AA239">
        <v>0</v>
      </c>
      <c r="AB239">
        <v>0.4</v>
      </c>
      <c r="AC239" t="s">
        <v>636</v>
      </c>
      <c r="AD239">
        <v>50</v>
      </c>
      <c r="AE239" t="s">
        <v>636</v>
      </c>
      <c r="AF239" s="4" t="s">
        <v>80</v>
      </c>
      <c r="AG239" s="4">
        <v>168</v>
      </c>
      <c r="AH239" s="4" t="s">
        <v>81</v>
      </c>
      <c r="AI239" s="4">
        <v>95</v>
      </c>
      <c r="AJ239" t="s">
        <v>636</v>
      </c>
      <c r="AK239" t="s">
        <v>56</v>
      </c>
      <c r="AL239" t="s">
        <v>652</v>
      </c>
      <c r="AM239">
        <v>8</v>
      </c>
      <c r="AN239">
        <v>0</v>
      </c>
      <c r="AO239">
        <v>9</v>
      </c>
      <c r="AP239">
        <v>0</v>
      </c>
      <c r="AQ239" s="5">
        <v>23</v>
      </c>
      <c r="AR239">
        <v>16</v>
      </c>
      <c r="AS239">
        <v>0</v>
      </c>
      <c r="AT239">
        <v>17</v>
      </c>
      <c r="AU239">
        <v>0</v>
      </c>
      <c r="AV239" s="5">
        <v>32</v>
      </c>
      <c r="AW239" t="s">
        <v>56</v>
      </c>
      <c r="AX239" s="6">
        <v>274</v>
      </c>
      <c r="AY239" t="s">
        <v>636</v>
      </c>
      <c r="AZ239" t="s">
        <v>56</v>
      </c>
    </row>
    <row r="240" spans="1:52" hidden="1" x14ac:dyDescent="0.45">
      <c r="A240">
        <v>517109.48075876699</v>
      </c>
      <c r="B240">
        <v>6935140.4253864503</v>
      </c>
      <c r="C240">
        <v>239</v>
      </c>
      <c r="D240" t="s">
        <v>651</v>
      </c>
      <c r="E240" t="s">
        <v>647</v>
      </c>
      <c r="F240" t="s">
        <v>653</v>
      </c>
      <c r="G240" t="s">
        <v>636</v>
      </c>
      <c r="H240" s="3">
        <v>532</v>
      </c>
      <c r="I240">
        <v>2</v>
      </c>
      <c r="J240" t="s">
        <v>56</v>
      </c>
      <c r="K240">
        <v>54.6</v>
      </c>
      <c r="L240">
        <v>62.3</v>
      </c>
      <c r="M240">
        <v>1</v>
      </c>
      <c r="N240" t="s">
        <v>56</v>
      </c>
      <c r="O240" t="s">
        <v>636</v>
      </c>
      <c r="P240">
        <v>84.9</v>
      </c>
      <c r="Q240">
        <v>1.3</v>
      </c>
      <c r="R240">
        <v>12.9</v>
      </c>
      <c r="S240">
        <v>0.3</v>
      </c>
      <c r="T240">
        <v>0</v>
      </c>
      <c r="U240">
        <v>0</v>
      </c>
      <c r="V240">
        <v>0.5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0.1</v>
      </c>
      <c r="AC240" t="s">
        <v>636</v>
      </c>
      <c r="AD240">
        <v>50</v>
      </c>
      <c r="AE240" t="s">
        <v>636</v>
      </c>
      <c r="AF240" s="4" t="s">
        <v>57</v>
      </c>
      <c r="AG240" s="4">
        <v>325</v>
      </c>
      <c r="AH240" s="4" t="s">
        <v>58</v>
      </c>
      <c r="AI240" s="4">
        <v>207</v>
      </c>
      <c r="AJ240" t="s">
        <v>636</v>
      </c>
      <c r="AK240" t="s">
        <v>56</v>
      </c>
      <c r="AL240" t="s">
        <v>653</v>
      </c>
      <c r="AM240">
        <v>7</v>
      </c>
      <c r="AN240">
        <v>0</v>
      </c>
      <c r="AO240">
        <v>8</v>
      </c>
      <c r="AP240">
        <v>0</v>
      </c>
      <c r="AQ240" s="5">
        <v>34</v>
      </c>
      <c r="AR240">
        <v>16</v>
      </c>
      <c r="AS240">
        <v>0</v>
      </c>
      <c r="AT240">
        <v>17</v>
      </c>
      <c r="AU240">
        <v>0</v>
      </c>
      <c r="AV240" s="5">
        <v>63</v>
      </c>
      <c r="AW240" t="s">
        <v>56</v>
      </c>
      <c r="AX240" s="6">
        <v>554</v>
      </c>
      <c r="AY240" t="s">
        <v>636</v>
      </c>
      <c r="AZ240" t="s">
        <v>56</v>
      </c>
    </row>
    <row r="241" spans="1:52" hidden="1" x14ac:dyDescent="0.45">
      <c r="A241">
        <v>513583.01842175401</v>
      </c>
      <c r="B241">
        <v>6943784.7286336003</v>
      </c>
      <c r="C241">
        <v>240</v>
      </c>
      <c r="D241" t="s">
        <v>654</v>
      </c>
      <c r="E241" t="s">
        <v>655</v>
      </c>
      <c r="F241" t="s">
        <v>656</v>
      </c>
      <c r="G241" t="s">
        <v>657</v>
      </c>
      <c r="H241" s="3">
        <v>1668</v>
      </c>
      <c r="I241">
        <v>2</v>
      </c>
      <c r="J241" t="s">
        <v>56</v>
      </c>
      <c r="K241">
        <v>46.8</v>
      </c>
      <c r="L241">
        <v>56.9</v>
      </c>
      <c r="M241">
        <v>1</v>
      </c>
      <c r="N241" t="s">
        <v>56</v>
      </c>
      <c r="O241" t="s">
        <v>657</v>
      </c>
      <c r="P241">
        <v>87.3</v>
      </c>
      <c r="Q241">
        <v>0.5</v>
      </c>
      <c r="R241">
        <v>11.6</v>
      </c>
      <c r="S241">
        <v>0.2</v>
      </c>
      <c r="T241">
        <v>0</v>
      </c>
      <c r="U241">
        <v>0</v>
      </c>
      <c r="V241">
        <v>0.1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0.3</v>
      </c>
      <c r="AC241" t="s">
        <v>657</v>
      </c>
      <c r="AD241">
        <v>50</v>
      </c>
      <c r="AE241" t="s">
        <v>657</v>
      </c>
      <c r="AF241" s="4" t="s">
        <v>80</v>
      </c>
      <c r="AG241" s="4">
        <v>811</v>
      </c>
      <c r="AH241" s="4" t="s">
        <v>81</v>
      </c>
      <c r="AI241" s="4">
        <v>857</v>
      </c>
      <c r="AJ241" t="s">
        <v>657</v>
      </c>
      <c r="AK241" t="s">
        <v>56</v>
      </c>
      <c r="AL241" t="s">
        <v>656</v>
      </c>
      <c r="AM241">
        <v>8</v>
      </c>
      <c r="AN241">
        <v>0</v>
      </c>
      <c r="AO241">
        <v>9</v>
      </c>
      <c r="AP241">
        <v>0</v>
      </c>
      <c r="AQ241" s="5">
        <v>243</v>
      </c>
      <c r="AR241">
        <v>14</v>
      </c>
      <c r="AS241">
        <v>0</v>
      </c>
      <c r="AT241">
        <v>15</v>
      </c>
      <c r="AU241">
        <v>0</v>
      </c>
      <c r="AV241" s="5">
        <v>231</v>
      </c>
      <c r="AW241" t="s">
        <v>56</v>
      </c>
      <c r="AX241" s="6">
        <v>1787</v>
      </c>
      <c r="AY241" t="s">
        <v>657</v>
      </c>
      <c r="AZ241" t="s">
        <v>56</v>
      </c>
    </row>
    <row r="242" spans="1:52" hidden="1" x14ac:dyDescent="0.45">
      <c r="A242">
        <v>513398.86607625202</v>
      </c>
      <c r="B242">
        <v>6943910.5450606104</v>
      </c>
      <c r="C242">
        <v>241</v>
      </c>
      <c r="D242" t="s">
        <v>658</v>
      </c>
      <c r="E242" t="s">
        <v>655</v>
      </c>
      <c r="F242" t="s">
        <v>659</v>
      </c>
      <c r="G242" t="s">
        <v>657</v>
      </c>
      <c r="H242" s="3">
        <v>473</v>
      </c>
      <c r="I242">
        <v>2</v>
      </c>
      <c r="J242" t="s">
        <v>56</v>
      </c>
      <c r="K242">
        <v>36.4</v>
      </c>
      <c r="L242">
        <v>47.5</v>
      </c>
      <c r="M242">
        <v>1</v>
      </c>
      <c r="N242" t="s">
        <v>56</v>
      </c>
      <c r="O242" t="s">
        <v>657</v>
      </c>
      <c r="P242">
        <v>90.4</v>
      </c>
      <c r="Q242">
        <v>0.6</v>
      </c>
      <c r="R242">
        <v>8.4</v>
      </c>
      <c r="S242">
        <v>0.2</v>
      </c>
      <c r="T242">
        <v>0.1</v>
      </c>
      <c r="U242">
        <v>0</v>
      </c>
      <c r="V242">
        <v>0.2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0.1</v>
      </c>
      <c r="AC242" t="s">
        <v>657</v>
      </c>
      <c r="AD242">
        <v>50</v>
      </c>
      <c r="AE242" t="s">
        <v>657</v>
      </c>
      <c r="AF242" s="4" t="s">
        <v>57</v>
      </c>
      <c r="AG242" s="4">
        <v>200</v>
      </c>
      <c r="AH242" s="4" t="s">
        <v>58</v>
      </c>
      <c r="AI242" s="4">
        <v>273</v>
      </c>
      <c r="AJ242" t="s">
        <v>657</v>
      </c>
      <c r="AK242" t="s">
        <v>56</v>
      </c>
      <c r="AL242" t="s">
        <v>659</v>
      </c>
      <c r="AM242">
        <v>8</v>
      </c>
      <c r="AN242">
        <v>0</v>
      </c>
      <c r="AO242">
        <v>9</v>
      </c>
      <c r="AP242">
        <v>0</v>
      </c>
      <c r="AQ242" s="5">
        <v>93</v>
      </c>
      <c r="AR242">
        <v>14</v>
      </c>
      <c r="AS242">
        <v>0</v>
      </c>
      <c r="AT242">
        <v>15</v>
      </c>
      <c r="AU242">
        <v>0</v>
      </c>
      <c r="AV242" s="5">
        <v>83</v>
      </c>
      <c r="AW242" t="s">
        <v>56</v>
      </c>
      <c r="AX242" s="6">
        <v>528</v>
      </c>
      <c r="AY242" t="s">
        <v>657</v>
      </c>
      <c r="AZ242" t="s">
        <v>56</v>
      </c>
    </row>
    <row r="243" spans="1:52" hidden="1" x14ac:dyDescent="0.45">
      <c r="A243">
        <v>502277.758246232</v>
      </c>
      <c r="B243">
        <v>6939463.98738073</v>
      </c>
      <c r="C243">
        <v>242</v>
      </c>
      <c r="D243" t="s">
        <v>660</v>
      </c>
      <c r="E243" t="s">
        <v>71</v>
      </c>
      <c r="F243" t="s">
        <v>661</v>
      </c>
      <c r="G243" t="s">
        <v>662</v>
      </c>
      <c r="H243" s="3">
        <v>2385</v>
      </c>
      <c r="I243">
        <v>2</v>
      </c>
      <c r="J243" t="s">
        <v>56</v>
      </c>
      <c r="K243">
        <v>53.2</v>
      </c>
      <c r="L243">
        <v>60.8</v>
      </c>
      <c r="M243">
        <v>1</v>
      </c>
      <c r="N243" t="s">
        <v>56</v>
      </c>
      <c r="O243" t="s">
        <v>662</v>
      </c>
      <c r="P243">
        <v>82.5</v>
      </c>
      <c r="Q243">
        <v>1</v>
      </c>
      <c r="R243">
        <v>15.2</v>
      </c>
      <c r="S243">
        <v>0.4</v>
      </c>
      <c r="T243">
        <v>0.1</v>
      </c>
      <c r="U243">
        <v>0</v>
      </c>
      <c r="V243">
        <v>0.5</v>
      </c>
      <c r="W243">
        <v>0</v>
      </c>
      <c r="X243">
        <v>0.1</v>
      </c>
      <c r="Y243">
        <v>0</v>
      </c>
      <c r="Z243">
        <v>0</v>
      </c>
      <c r="AA243">
        <v>0</v>
      </c>
      <c r="AB243">
        <v>0.2</v>
      </c>
      <c r="AC243" t="s">
        <v>662</v>
      </c>
      <c r="AD243">
        <v>50</v>
      </c>
      <c r="AE243" t="s">
        <v>662</v>
      </c>
      <c r="AF243" s="4" t="s">
        <v>80</v>
      </c>
      <c r="AG243" s="4">
        <v>1317</v>
      </c>
      <c r="AH243" s="4" t="s">
        <v>81</v>
      </c>
      <c r="AI243" s="4">
        <v>1068</v>
      </c>
      <c r="AJ243" t="s">
        <v>662</v>
      </c>
      <c r="AK243" t="s">
        <v>56</v>
      </c>
      <c r="AL243" t="s">
        <v>661</v>
      </c>
      <c r="AM243">
        <v>7</v>
      </c>
      <c r="AN243">
        <v>0</v>
      </c>
      <c r="AO243">
        <v>8</v>
      </c>
      <c r="AP243">
        <v>0</v>
      </c>
      <c r="AQ243" s="5">
        <v>297</v>
      </c>
      <c r="AR243">
        <v>15</v>
      </c>
      <c r="AS243">
        <v>0</v>
      </c>
      <c r="AT243">
        <v>16</v>
      </c>
      <c r="AU243">
        <v>0</v>
      </c>
      <c r="AV243" s="5">
        <v>243</v>
      </c>
      <c r="AW243" t="s">
        <v>56</v>
      </c>
      <c r="AX243" s="6">
        <v>2745</v>
      </c>
      <c r="AY243" t="s">
        <v>662</v>
      </c>
      <c r="AZ243" t="s">
        <v>56</v>
      </c>
    </row>
    <row r="244" spans="1:52" hidden="1" x14ac:dyDescent="0.45">
      <c r="A244">
        <v>502245.27490608598</v>
      </c>
      <c r="B244">
        <v>6939798.4074233202</v>
      </c>
      <c r="C244">
        <v>243</v>
      </c>
      <c r="D244" t="s">
        <v>660</v>
      </c>
      <c r="E244" t="s">
        <v>71</v>
      </c>
      <c r="F244" t="s">
        <v>663</v>
      </c>
      <c r="G244" t="s">
        <v>662</v>
      </c>
      <c r="H244" s="3">
        <v>2431</v>
      </c>
      <c r="I244">
        <v>2</v>
      </c>
      <c r="J244" t="s">
        <v>56</v>
      </c>
      <c r="K244">
        <v>52.6</v>
      </c>
      <c r="L244">
        <v>59.8</v>
      </c>
      <c r="M244">
        <v>1</v>
      </c>
      <c r="N244" t="s">
        <v>56</v>
      </c>
      <c r="O244" t="s">
        <v>662</v>
      </c>
      <c r="P244">
        <v>79.2</v>
      </c>
      <c r="Q244">
        <v>1</v>
      </c>
      <c r="R244">
        <v>18.600000000000001</v>
      </c>
      <c r="S244">
        <v>0.3</v>
      </c>
      <c r="T244">
        <v>0.1</v>
      </c>
      <c r="U244">
        <v>0</v>
      </c>
      <c r="V244">
        <v>0.5</v>
      </c>
      <c r="W244">
        <v>0</v>
      </c>
      <c r="X244">
        <v>0.1</v>
      </c>
      <c r="Y244">
        <v>0</v>
      </c>
      <c r="Z244">
        <v>0</v>
      </c>
      <c r="AA244">
        <v>0</v>
      </c>
      <c r="AB244">
        <v>0.2</v>
      </c>
      <c r="AC244" t="s">
        <v>662</v>
      </c>
      <c r="AD244">
        <v>50</v>
      </c>
      <c r="AE244" t="s">
        <v>662</v>
      </c>
      <c r="AF244" s="4" t="s">
        <v>80</v>
      </c>
      <c r="AG244" s="4">
        <v>1319</v>
      </c>
      <c r="AH244" s="4" t="s">
        <v>81</v>
      </c>
      <c r="AI244" s="4">
        <v>1112</v>
      </c>
      <c r="AJ244" t="s">
        <v>662</v>
      </c>
      <c r="AK244" t="s">
        <v>56</v>
      </c>
      <c r="AL244" t="s">
        <v>663</v>
      </c>
      <c r="AM244">
        <v>7</v>
      </c>
      <c r="AN244">
        <v>0</v>
      </c>
      <c r="AO244">
        <v>8</v>
      </c>
      <c r="AP244">
        <v>0</v>
      </c>
      <c r="AQ244" s="5">
        <v>308</v>
      </c>
      <c r="AR244">
        <v>15</v>
      </c>
      <c r="AS244">
        <v>0</v>
      </c>
      <c r="AT244">
        <v>16</v>
      </c>
      <c r="AU244">
        <v>0</v>
      </c>
      <c r="AV244" s="5">
        <v>231</v>
      </c>
      <c r="AW244" t="s">
        <v>56</v>
      </c>
      <c r="AX244" s="6">
        <v>2783</v>
      </c>
      <c r="AY244" t="s">
        <v>662</v>
      </c>
      <c r="AZ244" t="s">
        <v>56</v>
      </c>
    </row>
    <row r="245" spans="1:52" hidden="1" x14ac:dyDescent="0.45">
      <c r="A245">
        <v>505792.84257491998</v>
      </c>
      <c r="B245">
        <v>6940545.9287054501</v>
      </c>
      <c r="C245">
        <v>244</v>
      </c>
      <c r="D245" t="s">
        <v>664</v>
      </c>
      <c r="E245" t="s">
        <v>665</v>
      </c>
      <c r="F245" t="s">
        <v>666</v>
      </c>
      <c r="G245" t="s">
        <v>662</v>
      </c>
      <c r="H245" s="3">
        <v>942</v>
      </c>
      <c r="I245">
        <v>2</v>
      </c>
      <c r="J245" t="s">
        <v>56</v>
      </c>
      <c r="K245">
        <v>45</v>
      </c>
      <c r="L245">
        <v>52.2</v>
      </c>
      <c r="M245">
        <v>1</v>
      </c>
      <c r="N245" t="s">
        <v>56</v>
      </c>
      <c r="O245" t="s">
        <v>662</v>
      </c>
      <c r="P245">
        <v>85.2</v>
      </c>
      <c r="Q245">
        <v>1.6</v>
      </c>
      <c r="R245">
        <v>12.6</v>
      </c>
      <c r="S245">
        <v>0.3</v>
      </c>
      <c r="T245">
        <v>0</v>
      </c>
      <c r="U245">
        <v>0</v>
      </c>
      <c r="V245">
        <v>0.2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0.1</v>
      </c>
      <c r="AC245" t="s">
        <v>662</v>
      </c>
      <c r="AD245">
        <v>50</v>
      </c>
      <c r="AE245" t="s">
        <v>662</v>
      </c>
      <c r="AF245" s="4" t="s">
        <v>80</v>
      </c>
      <c r="AG245" s="4">
        <v>482</v>
      </c>
      <c r="AH245" s="4" t="s">
        <v>81</v>
      </c>
      <c r="AI245" s="4">
        <v>460</v>
      </c>
      <c r="AJ245" t="s">
        <v>662</v>
      </c>
      <c r="AK245" t="s">
        <v>56</v>
      </c>
      <c r="AL245" t="s">
        <v>666</v>
      </c>
      <c r="AM245">
        <v>8</v>
      </c>
      <c r="AN245">
        <v>0</v>
      </c>
      <c r="AO245">
        <v>9</v>
      </c>
      <c r="AP245">
        <v>0</v>
      </c>
      <c r="AQ245" s="5">
        <v>77</v>
      </c>
      <c r="AR245">
        <v>17</v>
      </c>
      <c r="AS245">
        <v>0</v>
      </c>
      <c r="AT245">
        <v>18</v>
      </c>
      <c r="AU245">
        <v>0</v>
      </c>
      <c r="AV245" s="5">
        <v>131</v>
      </c>
      <c r="AW245" t="s">
        <v>56</v>
      </c>
      <c r="AX245" s="6">
        <v>1013</v>
      </c>
      <c r="AY245" t="s">
        <v>662</v>
      </c>
      <c r="AZ245" t="s">
        <v>56</v>
      </c>
    </row>
    <row r="246" spans="1:52" hidden="1" x14ac:dyDescent="0.45">
      <c r="A246">
        <v>503138.99060220201</v>
      </c>
      <c r="B246">
        <v>6940120.8820181498</v>
      </c>
      <c r="C246">
        <v>245</v>
      </c>
      <c r="D246" t="s">
        <v>667</v>
      </c>
      <c r="E246" t="s">
        <v>71</v>
      </c>
      <c r="F246" t="s">
        <v>668</v>
      </c>
      <c r="G246" t="s">
        <v>662</v>
      </c>
      <c r="H246" s="3">
        <v>4281</v>
      </c>
      <c r="I246">
        <v>2</v>
      </c>
      <c r="J246" t="s">
        <v>56</v>
      </c>
      <c r="K246">
        <v>36.799999999999997</v>
      </c>
      <c r="L246">
        <v>43.2</v>
      </c>
      <c r="M246">
        <v>1</v>
      </c>
      <c r="N246" t="s">
        <v>56</v>
      </c>
      <c r="O246" t="s">
        <v>662</v>
      </c>
      <c r="P246">
        <v>87.1</v>
      </c>
      <c r="Q246">
        <v>0.6</v>
      </c>
      <c r="R246">
        <v>11.7</v>
      </c>
      <c r="S246">
        <v>0.2</v>
      </c>
      <c r="T246">
        <v>0.1</v>
      </c>
      <c r="U246">
        <v>0</v>
      </c>
      <c r="V246">
        <v>0.2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0.1</v>
      </c>
      <c r="AC246" t="s">
        <v>662</v>
      </c>
      <c r="AD246">
        <v>50</v>
      </c>
      <c r="AE246" t="s">
        <v>662</v>
      </c>
      <c r="AF246" s="4" t="s">
        <v>57</v>
      </c>
      <c r="AG246" s="4">
        <v>2064</v>
      </c>
      <c r="AH246" s="4" t="s">
        <v>58</v>
      </c>
      <c r="AI246" s="4">
        <v>2217</v>
      </c>
      <c r="AJ246" t="s">
        <v>662</v>
      </c>
      <c r="AK246" t="s">
        <v>56</v>
      </c>
      <c r="AL246" t="s">
        <v>668</v>
      </c>
      <c r="AM246">
        <v>8</v>
      </c>
      <c r="AN246">
        <v>0</v>
      </c>
      <c r="AO246">
        <v>9</v>
      </c>
      <c r="AP246">
        <v>0</v>
      </c>
      <c r="AQ246" s="5">
        <v>412</v>
      </c>
      <c r="AR246">
        <v>17</v>
      </c>
      <c r="AS246">
        <v>0</v>
      </c>
      <c r="AT246">
        <v>18</v>
      </c>
      <c r="AU246">
        <v>0</v>
      </c>
      <c r="AV246" s="5">
        <v>460</v>
      </c>
      <c r="AW246" t="s">
        <v>56</v>
      </c>
      <c r="AX246" s="6">
        <v>4649</v>
      </c>
      <c r="AY246" t="s">
        <v>662</v>
      </c>
      <c r="AZ246" t="s">
        <v>56</v>
      </c>
    </row>
    <row r="247" spans="1:52" hidden="1" x14ac:dyDescent="0.45">
      <c r="A247">
        <v>502299.61705797102</v>
      </c>
      <c r="B247">
        <v>6937713.2643027296</v>
      </c>
      <c r="C247">
        <v>246</v>
      </c>
      <c r="D247" t="s">
        <v>669</v>
      </c>
      <c r="E247" t="s">
        <v>670</v>
      </c>
      <c r="F247" t="s">
        <v>671</v>
      </c>
      <c r="G247" t="s">
        <v>662</v>
      </c>
      <c r="H247" s="3">
        <v>2074</v>
      </c>
      <c r="I247">
        <v>2</v>
      </c>
      <c r="J247" t="s">
        <v>56</v>
      </c>
      <c r="K247">
        <v>41</v>
      </c>
      <c r="L247">
        <v>47.9</v>
      </c>
      <c r="M247">
        <v>1</v>
      </c>
      <c r="N247" t="s">
        <v>56</v>
      </c>
      <c r="O247" t="s">
        <v>662</v>
      </c>
      <c r="P247">
        <v>88.6</v>
      </c>
      <c r="Q247">
        <v>0.7</v>
      </c>
      <c r="R247">
        <v>9.8000000000000007</v>
      </c>
      <c r="S247">
        <v>0.4</v>
      </c>
      <c r="T247">
        <v>0.1</v>
      </c>
      <c r="U247">
        <v>0</v>
      </c>
      <c r="V247">
        <v>0.2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0.2</v>
      </c>
      <c r="AC247" t="s">
        <v>662</v>
      </c>
      <c r="AD247">
        <v>50</v>
      </c>
      <c r="AE247" t="s">
        <v>662</v>
      </c>
      <c r="AF247" s="4" t="s">
        <v>80</v>
      </c>
      <c r="AG247" s="4">
        <v>1040</v>
      </c>
      <c r="AH247" s="4" t="s">
        <v>81</v>
      </c>
      <c r="AI247" s="4">
        <v>1034</v>
      </c>
      <c r="AJ247" t="s">
        <v>662</v>
      </c>
      <c r="AK247" t="s">
        <v>56</v>
      </c>
      <c r="AL247" t="s">
        <v>671</v>
      </c>
      <c r="AM247">
        <v>8</v>
      </c>
      <c r="AN247">
        <v>0</v>
      </c>
      <c r="AO247">
        <v>9</v>
      </c>
      <c r="AP247">
        <v>0</v>
      </c>
      <c r="AQ247" s="5">
        <v>302</v>
      </c>
      <c r="AR247">
        <v>15</v>
      </c>
      <c r="AS247">
        <v>0</v>
      </c>
      <c r="AT247">
        <v>16</v>
      </c>
      <c r="AU247">
        <v>0</v>
      </c>
      <c r="AV247" s="5">
        <v>270</v>
      </c>
      <c r="AW247" t="s">
        <v>56</v>
      </c>
      <c r="AX247" s="6">
        <v>2297</v>
      </c>
      <c r="AY247" t="s">
        <v>662</v>
      </c>
      <c r="AZ247" t="s">
        <v>56</v>
      </c>
    </row>
    <row r="248" spans="1:52" hidden="1" x14ac:dyDescent="0.45">
      <c r="A248">
        <v>502283.62368783698</v>
      </c>
      <c r="B248">
        <v>6937612.0234656697</v>
      </c>
      <c r="C248">
        <v>247</v>
      </c>
      <c r="D248" t="s">
        <v>669</v>
      </c>
      <c r="E248" t="s">
        <v>670</v>
      </c>
      <c r="F248" t="s">
        <v>672</v>
      </c>
      <c r="G248" t="s">
        <v>662</v>
      </c>
      <c r="H248" s="3">
        <v>2179</v>
      </c>
      <c r="I248">
        <v>2</v>
      </c>
      <c r="J248" t="s">
        <v>56</v>
      </c>
      <c r="K248">
        <v>51.1</v>
      </c>
      <c r="L248">
        <v>58.7</v>
      </c>
      <c r="M248">
        <v>1</v>
      </c>
      <c r="N248" t="s">
        <v>56</v>
      </c>
      <c r="O248" t="s">
        <v>662</v>
      </c>
      <c r="P248">
        <v>85.5</v>
      </c>
      <c r="Q248">
        <v>0.6</v>
      </c>
      <c r="R248">
        <v>13.2</v>
      </c>
      <c r="S248">
        <v>0.2</v>
      </c>
      <c r="T248">
        <v>0</v>
      </c>
      <c r="U248">
        <v>0</v>
      </c>
      <c r="V248">
        <v>0.2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0.3</v>
      </c>
      <c r="AC248" t="s">
        <v>662</v>
      </c>
      <c r="AD248">
        <v>50</v>
      </c>
      <c r="AE248" t="s">
        <v>662</v>
      </c>
      <c r="AF248" s="4" t="s">
        <v>80</v>
      </c>
      <c r="AG248" s="4">
        <v>1091</v>
      </c>
      <c r="AH248" s="4" t="s">
        <v>81</v>
      </c>
      <c r="AI248" s="4">
        <v>1088</v>
      </c>
      <c r="AJ248" t="s">
        <v>662</v>
      </c>
      <c r="AK248" t="s">
        <v>56</v>
      </c>
      <c r="AL248" t="s">
        <v>672</v>
      </c>
      <c r="AM248">
        <v>8</v>
      </c>
      <c r="AN248">
        <v>0</v>
      </c>
      <c r="AO248">
        <v>9</v>
      </c>
      <c r="AP248">
        <v>0</v>
      </c>
      <c r="AQ248" s="5">
        <v>320</v>
      </c>
      <c r="AR248">
        <v>15</v>
      </c>
      <c r="AS248">
        <v>0</v>
      </c>
      <c r="AT248">
        <v>16</v>
      </c>
      <c r="AU248">
        <v>0</v>
      </c>
      <c r="AV248" s="5">
        <v>302</v>
      </c>
      <c r="AW248" t="s">
        <v>56</v>
      </c>
      <c r="AX248" s="6">
        <v>2455</v>
      </c>
      <c r="AY248" t="s">
        <v>662</v>
      </c>
      <c r="AZ248" t="s">
        <v>56</v>
      </c>
    </row>
    <row r="249" spans="1:52" hidden="1" x14ac:dyDescent="0.45">
      <c r="A249">
        <v>502213.13643127697</v>
      </c>
      <c r="B249">
        <v>6937159.6513405601</v>
      </c>
      <c r="C249">
        <v>248</v>
      </c>
      <c r="D249" t="s">
        <v>669</v>
      </c>
      <c r="E249" t="s">
        <v>670</v>
      </c>
      <c r="F249" t="s">
        <v>673</v>
      </c>
      <c r="G249" t="s">
        <v>662</v>
      </c>
      <c r="H249" s="3">
        <v>5213</v>
      </c>
      <c r="I249">
        <v>2</v>
      </c>
      <c r="J249" t="s">
        <v>56</v>
      </c>
      <c r="K249">
        <v>53.9</v>
      </c>
      <c r="L249">
        <v>60.8</v>
      </c>
      <c r="M249">
        <v>1</v>
      </c>
      <c r="N249" t="s">
        <v>56</v>
      </c>
      <c r="O249" t="s">
        <v>662</v>
      </c>
      <c r="P249">
        <v>85.3</v>
      </c>
      <c r="Q249">
        <v>0.7</v>
      </c>
      <c r="R249">
        <v>13.2</v>
      </c>
      <c r="S249">
        <v>0.3</v>
      </c>
      <c r="T249">
        <v>0</v>
      </c>
      <c r="U249">
        <v>0</v>
      </c>
      <c r="V249">
        <v>0.2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0.3</v>
      </c>
      <c r="AC249" t="s">
        <v>662</v>
      </c>
      <c r="AD249">
        <v>50</v>
      </c>
      <c r="AE249" t="s">
        <v>662</v>
      </c>
      <c r="AF249" s="4" t="s">
        <v>80</v>
      </c>
      <c r="AG249" s="4">
        <v>2726</v>
      </c>
      <c r="AH249" s="4" t="s">
        <v>81</v>
      </c>
      <c r="AI249" s="4">
        <v>2487</v>
      </c>
      <c r="AJ249" t="s">
        <v>662</v>
      </c>
      <c r="AK249" t="s">
        <v>56</v>
      </c>
      <c r="AL249" t="s">
        <v>673</v>
      </c>
      <c r="AM249">
        <v>8</v>
      </c>
      <c r="AN249">
        <v>0</v>
      </c>
      <c r="AO249">
        <v>9</v>
      </c>
      <c r="AP249">
        <v>0</v>
      </c>
      <c r="AQ249" s="5">
        <v>508</v>
      </c>
      <c r="AR249">
        <v>15</v>
      </c>
      <c r="AS249">
        <v>0</v>
      </c>
      <c r="AT249">
        <v>16</v>
      </c>
      <c r="AU249">
        <v>0</v>
      </c>
      <c r="AV249" s="5">
        <v>584</v>
      </c>
      <c r="AW249" t="s">
        <v>56</v>
      </c>
      <c r="AX249" s="6">
        <v>5506</v>
      </c>
      <c r="AY249" t="s">
        <v>662</v>
      </c>
      <c r="AZ249" t="s">
        <v>56</v>
      </c>
    </row>
    <row r="250" spans="1:52" hidden="1" x14ac:dyDescent="0.45">
      <c r="A250">
        <v>502094.855334197</v>
      </c>
      <c r="B250">
        <v>6936831.6818154398</v>
      </c>
      <c r="C250">
        <v>249</v>
      </c>
      <c r="D250" t="s">
        <v>669</v>
      </c>
      <c r="E250" t="s">
        <v>670</v>
      </c>
      <c r="F250" t="s">
        <v>674</v>
      </c>
      <c r="G250" t="s">
        <v>662</v>
      </c>
      <c r="H250" s="3">
        <v>4026</v>
      </c>
      <c r="I250">
        <v>2</v>
      </c>
      <c r="J250" t="s">
        <v>56</v>
      </c>
      <c r="K250">
        <v>50.2</v>
      </c>
      <c r="L250">
        <v>55.8</v>
      </c>
      <c r="M250">
        <v>1</v>
      </c>
      <c r="N250" t="s">
        <v>56</v>
      </c>
      <c r="O250" t="s">
        <v>662</v>
      </c>
      <c r="P250">
        <v>83.7</v>
      </c>
      <c r="Q250">
        <v>0.6</v>
      </c>
      <c r="R250">
        <v>14.9</v>
      </c>
      <c r="S250">
        <v>0.4</v>
      </c>
      <c r="T250">
        <v>0</v>
      </c>
      <c r="U250">
        <v>0</v>
      </c>
      <c r="V250">
        <v>0.2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0.2</v>
      </c>
      <c r="AC250" t="s">
        <v>662</v>
      </c>
      <c r="AD250">
        <v>50</v>
      </c>
      <c r="AE250" t="s">
        <v>662</v>
      </c>
      <c r="AF250" s="4" t="s">
        <v>80</v>
      </c>
      <c r="AG250" s="4">
        <v>2111</v>
      </c>
      <c r="AH250" s="4" t="s">
        <v>81</v>
      </c>
      <c r="AI250" s="4">
        <v>1915</v>
      </c>
      <c r="AJ250" t="s">
        <v>662</v>
      </c>
      <c r="AK250" t="s">
        <v>56</v>
      </c>
      <c r="AL250" t="s">
        <v>674</v>
      </c>
      <c r="AM250">
        <v>8</v>
      </c>
      <c r="AN250">
        <v>0</v>
      </c>
      <c r="AO250">
        <v>9</v>
      </c>
      <c r="AP250">
        <v>0</v>
      </c>
      <c r="AQ250" s="5">
        <v>400</v>
      </c>
      <c r="AR250">
        <v>17</v>
      </c>
      <c r="AS250">
        <v>0</v>
      </c>
      <c r="AT250">
        <v>18</v>
      </c>
      <c r="AU250">
        <v>0</v>
      </c>
      <c r="AV250" s="5">
        <v>400</v>
      </c>
      <c r="AW250" t="s">
        <v>56</v>
      </c>
      <c r="AX250" s="6">
        <v>4238</v>
      </c>
      <c r="AY250" t="s">
        <v>662</v>
      </c>
      <c r="AZ250" t="s">
        <v>56</v>
      </c>
    </row>
    <row r="251" spans="1:52" hidden="1" x14ac:dyDescent="0.45">
      <c r="A251">
        <v>502047.362765308</v>
      </c>
      <c r="B251">
        <v>6936440.0063940799</v>
      </c>
      <c r="C251">
        <v>250</v>
      </c>
      <c r="D251" t="s">
        <v>669</v>
      </c>
      <c r="E251" t="s">
        <v>670</v>
      </c>
      <c r="F251" t="s">
        <v>675</v>
      </c>
      <c r="G251" t="s">
        <v>662</v>
      </c>
      <c r="H251" s="3">
        <v>2478</v>
      </c>
      <c r="I251">
        <v>2</v>
      </c>
      <c r="J251" t="s">
        <v>56</v>
      </c>
      <c r="K251">
        <v>51</v>
      </c>
      <c r="L251">
        <v>57.2</v>
      </c>
      <c r="M251">
        <v>1</v>
      </c>
      <c r="N251" t="s">
        <v>56</v>
      </c>
      <c r="O251" t="s">
        <v>662</v>
      </c>
      <c r="P251">
        <v>82.7</v>
      </c>
      <c r="Q251">
        <v>0.7</v>
      </c>
      <c r="R251">
        <v>15.5</v>
      </c>
      <c r="S251">
        <v>0.5</v>
      </c>
      <c r="T251">
        <v>0.1</v>
      </c>
      <c r="U251">
        <v>0</v>
      </c>
      <c r="V251">
        <v>0.2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0.3</v>
      </c>
      <c r="AC251" t="s">
        <v>662</v>
      </c>
      <c r="AD251">
        <v>50</v>
      </c>
      <c r="AE251" t="s">
        <v>662</v>
      </c>
      <c r="AF251" s="4" t="s">
        <v>80</v>
      </c>
      <c r="AG251" s="4">
        <v>1241</v>
      </c>
      <c r="AH251" s="4" t="s">
        <v>81</v>
      </c>
      <c r="AI251" s="4">
        <v>1237</v>
      </c>
      <c r="AJ251" t="s">
        <v>662</v>
      </c>
      <c r="AK251" t="s">
        <v>56</v>
      </c>
      <c r="AL251" t="s">
        <v>675</v>
      </c>
      <c r="AM251">
        <v>8</v>
      </c>
      <c r="AN251">
        <v>0</v>
      </c>
      <c r="AO251">
        <v>9</v>
      </c>
      <c r="AP251">
        <v>0</v>
      </c>
      <c r="AQ251" s="5">
        <v>341</v>
      </c>
      <c r="AR251">
        <v>15</v>
      </c>
      <c r="AS251">
        <v>0</v>
      </c>
      <c r="AT251">
        <v>16</v>
      </c>
      <c r="AU251">
        <v>0</v>
      </c>
      <c r="AV251" s="5">
        <v>361</v>
      </c>
      <c r="AW251" t="s">
        <v>56</v>
      </c>
      <c r="AX251" s="6">
        <v>2677</v>
      </c>
      <c r="AY251" t="s">
        <v>662</v>
      </c>
      <c r="AZ251" t="s">
        <v>56</v>
      </c>
    </row>
    <row r="252" spans="1:52" hidden="1" x14ac:dyDescent="0.45">
      <c r="A252">
        <v>510259.41370954301</v>
      </c>
      <c r="B252">
        <v>6938677.8390896898</v>
      </c>
      <c r="C252">
        <v>251</v>
      </c>
      <c r="D252" t="s">
        <v>676</v>
      </c>
      <c r="E252" t="s">
        <v>468</v>
      </c>
      <c r="F252" t="s">
        <v>677</v>
      </c>
      <c r="G252" t="s">
        <v>678</v>
      </c>
      <c r="H252" s="3">
        <v>2092</v>
      </c>
      <c r="I252">
        <v>2</v>
      </c>
      <c r="J252" t="s">
        <v>56</v>
      </c>
      <c r="K252">
        <v>55.1</v>
      </c>
      <c r="L252">
        <v>63</v>
      </c>
      <c r="M252">
        <v>1</v>
      </c>
      <c r="N252" t="s">
        <v>56</v>
      </c>
      <c r="O252" t="s">
        <v>678</v>
      </c>
      <c r="P252">
        <v>83.4</v>
      </c>
      <c r="Q252">
        <v>0.6</v>
      </c>
      <c r="R252">
        <v>15.5</v>
      </c>
      <c r="S252">
        <v>0.2</v>
      </c>
      <c r="T252">
        <v>0</v>
      </c>
      <c r="U252">
        <v>0</v>
      </c>
      <c r="V252">
        <v>0.1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0.2</v>
      </c>
      <c r="AC252" t="s">
        <v>678</v>
      </c>
      <c r="AD252">
        <v>50</v>
      </c>
      <c r="AE252" t="s">
        <v>678</v>
      </c>
      <c r="AF252" s="4" t="s">
        <v>57</v>
      </c>
      <c r="AG252" s="4">
        <v>1092</v>
      </c>
      <c r="AH252" s="4" t="s">
        <v>58</v>
      </c>
      <c r="AI252" s="4">
        <v>1000</v>
      </c>
      <c r="AJ252" t="s">
        <v>678</v>
      </c>
      <c r="AK252" t="s">
        <v>56</v>
      </c>
      <c r="AL252" t="s">
        <v>677</v>
      </c>
      <c r="AM252">
        <v>8</v>
      </c>
      <c r="AN252">
        <v>0</v>
      </c>
      <c r="AO252">
        <v>9</v>
      </c>
      <c r="AP252">
        <v>0</v>
      </c>
      <c r="AQ252" s="5">
        <v>169</v>
      </c>
      <c r="AR252">
        <v>17</v>
      </c>
      <c r="AS252">
        <v>0</v>
      </c>
      <c r="AT252">
        <v>18</v>
      </c>
      <c r="AU252">
        <v>0</v>
      </c>
      <c r="AV252" s="5">
        <v>233</v>
      </c>
      <c r="AW252" t="s">
        <v>56</v>
      </c>
      <c r="AX252" s="6">
        <v>2177</v>
      </c>
      <c r="AY252" t="s">
        <v>678</v>
      </c>
      <c r="AZ252" t="s">
        <v>56</v>
      </c>
    </row>
    <row r="253" spans="1:52" hidden="1" x14ac:dyDescent="0.45">
      <c r="A253">
        <v>512786.81107754703</v>
      </c>
      <c r="B253">
        <v>6938385.2270197896</v>
      </c>
      <c r="C253">
        <v>252</v>
      </c>
      <c r="D253" t="s">
        <v>679</v>
      </c>
      <c r="E253" t="s">
        <v>112</v>
      </c>
      <c r="F253" t="s">
        <v>680</v>
      </c>
      <c r="G253" t="s">
        <v>611</v>
      </c>
      <c r="H253" s="3">
        <v>1722</v>
      </c>
      <c r="I253">
        <v>2</v>
      </c>
      <c r="J253" t="s">
        <v>56</v>
      </c>
      <c r="K253">
        <v>42.6</v>
      </c>
      <c r="L253">
        <v>48.6</v>
      </c>
      <c r="M253">
        <v>1</v>
      </c>
      <c r="N253" t="s">
        <v>56</v>
      </c>
      <c r="O253" t="s">
        <v>611</v>
      </c>
      <c r="P253">
        <v>84.9</v>
      </c>
      <c r="Q253">
        <v>0.9</v>
      </c>
      <c r="R253">
        <v>13.2</v>
      </c>
      <c r="S253">
        <v>0.6</v>
      </c>
      <c r="T253">
        <v>0.2</v>
      </c>
      <c r="U253">
        <v>0</v>
      </c>
      <c r="V253">
        <v>0.2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 t="s">
        <v>611</v>
      </c>
      <c r="AD253">
        <v>50</v>
      </c>
      <c r="AE253" t="s">
        <v>611</v>
      </c>
      <c r="AF253" s="4" t="s">
        <v>80</v>
      </c>
      <c r="AG253" s="4">
        <v>716</v>
      </c>
      <c r="AH253" s="4" t="s">
        <v>81</v>
      </c>
      <c r="AI253" s="4">
        <v>1006</v>
      </c>
      <c r="AJ253" t="s">
        <v>611</v>
      </c>
      <c r="AK253" t="s">
        <v>56</v>
      </c>
      <c r="AL253" t="s">
        <v>680</v>
      </c>
      <c r="AM253">
        <v>8</v>
      </c>
      <c r="AN253">
        <v>0</v>
      </c>
      <c r="AO253">
        <v>9</v>
      </c>
      <c r="AP253">
        <v>0</v>
      </c>
      <c r="AQ253" s="5">
        <v>138</v>
      </c>
      <c r="AR253">
        <v>17</v>
      </c>
      <c r="AS253">
        <v>0</v>
      </c>
      <c r="AT253">
        <v>18</v>
      </c>
      <c r="AU253">
        <v>0</v>
      </c>
      <c r="AV253" s="5">
        <v>186</v>
      </c>
      <c r="AW253" t="s">
        <v>56</v>
      </c>
      <c r="AX253" s="6">
        <v>1733</v>
      </c>
      <c r="AY253" t="s">
        <v>611</v>
      </c>
      <c r="AZ253" t="s">
        <v>56</v>
      </c>
    </row>
    <row r="254" spans="1:52" hidden="1" x14ac:dyDescent="0.45">
      <c r="A254">
        <v>511271.43995694799</v>
      </c>
      <c r="B254">
        <v>6940315.2321446398</v>
      </c>
      <c r="C254">
        <v>253</v>
      </c>
      <c r="D254" t="s">
        <v>438</v>
      </c>
      <c r="E254" t="s">
        <v>140</v>
      </c>
      <c r="F254" t="s">
        <v>681</v>
      </c>
      <c r="G254" t="s">
        <v>622</v>
      </c>
      <c r="H254" s="3">
        <v>1667</v>
      </c>
      <c r="I254">
        <v>2</v>
      </c>
      <c r="J254" t="s">
        <v>56</v>
      </c>
      <c r="K254">
        <v>49.5</v>
      </c>
      <c r="L254">
        <v>57.6</v>
      </c>
      <c r="M254">
        <v>1</v>
      </c>
      <c r="N254" t="s">
        <v>56</v>
      </c>
      <c r="O254" t="s">
        <v>622</v>
      </c>
      <c r="P254">
        <v>89</v>
      </c>
      <c r="Q254">
        <v>0.6</v>
      </c>
      <c r="R254">
        <v>9.8000000000000007</v>
      </c>
      <c r="S254">
        <v>0.1</v>
      </c>
      <c r="T254">
        <v>0.1</v>
      </c>
      <c r="U254">
        <v>0</v>
      </c>
      <c r="V254">
        <v>0.2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0.2</v>
      </c>
      <c r="AC254" t="s">
        <v>622</v>
      </c>
      <c r="AD254">
        <v>50</v>
      </c>
      <c r="AE254" t="s">
        <v>622</v>
      </c>
      <c r="AF254" s="4" t="s">
        <v>57</v>
      </c>
      <c r="AG254" s="4">
        <v>580</v>
      </c>
      <c r="AH254" s="4" t="s">
        <v>58</v>
      </c>
      <c r="AI254" s="4">
        <v>1087</v>
      </c>
      <c r="AJ254" t="s">
        <v>622</v>
      </c>
      <c r="AK254" t="s">
        <v>56</v>
      </c>
      <c r="AL254" t="s">
        <v>681</v>
      </c>
      <c r="AM254">
        <v>8</v>
      </c>
      <c r="AN254">
        <v>0</v>
      </c>
      <c r="AO254">
        <v>9</v>
      </c>
      <c r="AP254">
        <v>0</v>
      </c>
      <c r="AQ254" s="5">
        <v>364</v>
      </c>
      <c r="AR254">
        <v>15</v>
      </c>
      <c r="AS254">
        <v>0</v>
      </c>
      <c r="AT254">
        <v>16</v>
      </c>
      <c r="AU254">
        <v>0</v>
      </c>
      <c r="AV254" s="5">
        <v>306</v>
      </c>
      <c r="AW254" t="s">
        <v>56</v>
      </c>
      <c r="AX254" s="6">
        <v>1733</v>
      </c>
      <c r="AY254" t="s">
        <v>622</v>
      </c>
      <c r="AZ254" t="s">
        <v>56</v>
      </c>
    </row>
    <row r="255" spans="1:52" hidden="1" x14ac:dyDescent="0.45">
      <c r="A255">
        <v>511068.00335383503</v>
      </c>
      <c r="B255">
        <v>6940352.5267377999</v>
      </c>
      <c r="C255">
        <v>254</v>
      </c>
      <c r="D255" t="s">
        <v>438</v>
      </c>
      <c r="E255" t="s">
        <v>140</v>
      </c>
      <c r="F255" t="s">
        <v>682</v>
      </c>
      <c r="G255" t="s">
        <v>622</v>
      </c>
      <c r="H255" s="3">
        <v>1652</v>
      </c>
      <c r="I255">
        <v>2</v>
      </c>
      <c r="J255" t="s">
        <v>56</v>
      </c>
      <c r="K255">
        <v>42.8</v>
      </c>
      <c r="L255">
        <v>54.7</v>
      </c>
      <c r="M255">
        <v>1</v>
      </c>
      <c r="N255" t="s">
        <v>56</v>
      </c>
      <c r="O255" t="s">
        <v>622</v>
      </c>
      <c r="P255">
        <v>92.3</v>
      </c>
      <c r="Q255">
        <v>0.6</v>
      </c>
      <c r="R255">
        <v>6.5</v>
      </c>
      <c r="S255">
        <v>0.2</v>
      </c>
      <c r="T255">
        <v>0.1</v>
      </c>
      <c r="U255">
        <v>0</v>
      </c>
      <c r="V255">
        <v>0.2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0.1</v>
      </c>
      <c r="AC255" t="s">
        <v>622</v>
      </c>
      <c r="AD255">
        <v>50</v>
      </c>
      <c r="AE255" t="s">
        <v>622</v>
      </c>
      <c r="AF255" s="4" t="s">
        <v>57</v>
      </c>
      <c r="AG255" s="4">
        <v>580</v>
      </c>
      <c r="AH255" s="4" t="s">
        <v>58</v>
      </c>
      <c r="AI255" s="4">
        <v>1087</v>
      </c>
      <c r="AJ255" t="s">
        <v>622</v>
      </c>
      <c r="AK255" t="s">
        <v>56</v>
      </c>
      <c r="AL255" t="s">
        <v>682</v>
      </c>
      <c r="AM255">
        <v>8</v>
      </c>
      <c r="AN255">
        <v>0</v>
      </c>
      <c r="AO255">
        <v>9</v>
      </c>
      <c r="AP255">
        <v>0</v>
      </c>
      <c r="AQ255" s="5">
        <v>386</v>
      </c>
      <c r="AR255">
        <v>15</v>
      </c>
      <c r="AS255">
        <v>0</v>
      </c>
      <c r="AT255">
        <v>16</v>
      </c>
      <c r="AU255">
        <v>0</v>
      </c>
      <c r="AV255" s="5">
        <v>336</v>
      </c>
      <c r="AW255" t="s">
        <v>56</v>
      </c>
      <c r="AX255" s="6">
        <v>1948</v>
      </c>
      <c r="AY255" t="s">
        <v>622</v>
      </c>
      <c r="AZ255" t="s">
        <v>56</v>
      </c>
    </row>
    <row r="256" spans="1:52" hidden="1" x14ac:dyDescent="0.45">
      <c r="A256">
        <v>511612.64264550299</v>
      </c>
      <c r="B256">
        <v>6937987.7426413503</v>
      </c>
      <c r="C256">
        <v>255</v>
      </c>
      <c r="D256" t="s">
        <v>683</v>
      </c>
      <c r="E256" t="s">
        <v>149</v>
      </c>
      <c r="F256" t="s">
        <v>684</v>
      </c>
      <c r="G256" t="s">
        <v>662</v>
      </c>
      <c r="H256" s="3">
        <v>4727</v>
      </c>
      <c r="I256">
        <v>2</v>
      </c>
      <c r="J256" t="s">
        <v>56</v>
      </c>
      <c r="K256">
        <v>56.2</v>
      </c>
      <c r="L256">
        <v>62.3</v>
      </c>
      <c r="M256">
        <v>1</v>
      </c>
      <c r="N256" t="s">
        <v>56</v>
      </c>
      <c r="O256" t="s">
        <v>662</v>
      </c>
      <c r="P256">
        <v>89.8</v>
      </c>
      <c r="Q256">
        <v>0.9</v>
      </c>
      <c r="R256">
        <v>8.3000000000000007</v>
      </c>
      <c r="S256">
        <v>0.4</v>
      </c>
      <c r="T256">
        <v>0.1</v>
      </c>
      <c r="U256">
        <v>0</v>
      </c>
      <c r="V256">
        <v>0.2</v>
      </c>
      <c r="W256">
        <v>0</v>
      </c>
      <c r="X256">
        <v>0</v>
      </c>
      <c r="Y256">
        <v>0.1</v>
      </c>
      <c r="Z256">
        <v>0</v>
      </c>
      <c r="AA256">
        <v>0</v>
      </c>
      <c r="AB256">
        <v>0.2</v>
      </c>
      <c r="AC256" t="s">
        <v>662</v>
      </c>
      <c r="AD256">
        <v>50</v>
      </c>
      <c r="AE256" t="s">
        <v>662</v>
      </c>
      <c r="AF256" s="4" t="s">
        <v>57</v>
      </c>
      <c r="AG256" s="4">
        <v>786</v>
      </c>
      <c r="AH256" s="4" t="s">
        <v>58</v>
      </c>
      <c r="AI256" s="4">
        <v>3941</v>
      </c>
      <c r="AJ256" t="s">
        <v>662</v>
      </c>
      <c r="AK256" t="s">
        <v>56</v>
      </c>
      <c r="AL256" t="s">
        <v>684</v>
      </c>
      <c r="AM256">
        <v>8</v>
      </c>
      <c r="AN256">
        <v>0</v>
      </c>
      <c r="AO256">
        <v>9</v>
      </c>
      <c r="AP256">
        <v>0</v>
      </c>
      <c r="AQ256" s="5">
        <v>420</v>
      </c>
      <c r="AR256">
        <v>16</v>
      </c>
      <c r="AS256">
        <v>0</v>
      </c>
      <c r="AT256">
        <v>17</v>
      </c>
      <c r="AU256">
        <v>0</v>
      </c>
      <c r="AV256" s="5">
        <v>440</v>
      </c>
      <c r="AW256" t="s">
        <v>56</v>
      </c>
      <c r="AX256" s="6">
        <v>5171</v>
      </c>
      <c r="AY256" t="s">
        <v>662</v>
      </c>
      <c r="AZ256" t="s">
        <v>56</v>
      </c>
    </row>
    <row r="257" spans="1:52" hidden="1" x14ac:dyDescent="0.45">
      <c r="A257">
        <v>503125.85620882298</v>
      </c>
      <c r="B257">
        <v>6921319.1545230597</v>
      </c>
      <c r="C257">
        <v>256</v>
      </c>
      <c r="D257" t="s">
        <v>685</v>
      </c>
      <c r="E257" t="s">
        <v>331</v>
      </c>
      <c r="F257" t="s">
        <v>686</v>
      </c>
      <c r="G257" t="s">
        <v>611</v>
      </c>
      <c r="H257" s="3">
        <v>1160</v>
      </c>
      <c r="I257">
        <v>2</v>
      </c>
      <c r="J257" t="s">
        <v>56</v>
      </c>
      <c r="K257">
        <v>48.6</v>
      </c>
      <c r="L257">
        <v>57.2</v>
      </c>
      <c r="M257">
        <v>1</v>
      </c>
      <c r="N257" t="s">
        <v>56</v>
      </c>
      <c r="O257" t="s">
        <v>611</v>
      </c>
      <c r="P257">
        <v>81.3</v>
      </c>
      <c r="Q257">
        <v>0.8</v>
      </c>
      <c r="R257">
        <v>17</v>
      </c>
      <c r="S257">
        <v>0.3</v>
      </c>
      <c r="T257">
        <v>0.1</v>
      </c>
      <c r="U257">
        <v>0</v>
      </c>
      <c r="V257">
        <v>0.4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0.1</v>
      </c>
      <c r="AC257" t="s">
        <v>611</v>
      </c>
      <c r="AD257">
        <v>50</v>
      </c>
      <c r="AE257" t="s">
        <v>611</v>
      </c>
      <c r="AF257" s="4" t="s">
        <v>80</v>
      </c>
      <c r="AG257" s="4">
        <v>355</v>
      </c>
      <c r="AH257" s="4" t="s">
        <v>81</v>
      </c>
      <c r="AI257" s="4">
        <v>805</v>
      </c>
      <c r="AJ257" t="s">
        <v>611</v>
      </c>
      <c r="AK257" t="s">
        <v>56</v>
      </c>
      <c r="AL257" t="s">
        <v>686</v>
      </c>
      <c r="AM257">
        <v>8</v>
      </c>
      <c r="AN257">
        <v>0</v>
      </c>
      <c r="AO257">
        <v>9</v>
      </c>
      <c r="AP257">
        <v>0</v>
      </c>
      <c r="AQ257" s="5">
        <v>232</v>
      </c>
      <c r="AR257">
        <v>15</v>
      </c>
      <c r="AS257">
        <v>0</v>
      </c>
      <c r="AT257">
        <v>16</v>
      </c>
      <c r="AU257">
        <v>0</v>
      </c>
      <c r="AV257" s="5">
        <v>242</v>
      </c>
      <c r="AW257" t="s">
        <v>56</v>
      </c>
      <c r="AX257" s="6">
        <v>1300</v>
      </c>
      <c r="AY257" t="s">
        <v>611</v>
      </c>
      <c r="AZ257" t="s">
        <v>56</v>
      </c>
    </row>
    <row r="258" spans="1:52" hidden="1" x14ac:dyDescent="0.45">
      <c r="A258">
        <v>503077.825419762</v>
      </c>
      <c r="B258">
        <v>6921801.9130347604</v>
      </c>
      <c r="C258">
        <v>257</v>
      </c>
      <c r="D258" t="s">
        <v>687</v>
      </c>
      <c r="E258" t="s">
        <v>331</v>
      </c>
      <c r="F258" t="s">
        <v>688</v>
      </c>
      <c r="G258" t="s">
        <v>611</v>
      </c>
      <c r="H258" s="3">
        <v>1934</v>
      </c>
      <c r="I258">
        <v>2</v>
      </c>
      <c r="J258" t="s">
        <v>56</v>
      </c>
      <c r="K258">
        <v>49.2</v>
      </c>
      <c r="L258">
        <v>58.3</v>
      </c>
      <c r="M258">
        <v>1</v>
      </c>
      <c r="N258" t="s">
        <v>56</v>
      </c>
      <c r="O258" t="s">
        <v>611</v>
      </c>
      <c r="P258">
        <v>76.3</v>
      </c>
      <c r="Q258">
        <v>1</v>
      </c>
      <c r="R258">
        <v>21.3</v>
      </c>
      <c r="S258">
        <v>0.3</v>
      </c>
      <c r="T258">
        <v>0.1</v>
      </c>
      <c r="U258">
        <v>0</v>
      </c>
      <c r="V258">
        <v>0.5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0.5</v>
      </c>
      <c r="AC258" t="s">
        <v>611</v>
      </c>
      <c r="AD258">
        <v>50</v>
      </c>
      <c r="AE258" t="s">
        <v>611</v>
      </c>
      <c r="AF258" s="4" t="s">
        <v>80</v>
      </c>
      <c r="AG258" s="4">
        <v>613</v>
      </c>
      <c r="AH258" s="4" t="s">
        <v>81</v>
      </c>
      <c r="AI258" s="4">
        <v>1321</v>
      </c>
      <c r="AJ258" t="s">
        <v>611</v>
      </c>
      <c r="AK258" t="s">
        <v>56</v>
      </c>
      <c r="AL258" t="s">
        <v>688</v>
      </c>
      <c r="AM258">
        <v>8</v>
      </c>
      <c r="AN258">
        <v>0</v>
      </c>
      <c r="AO258">
        <v>9</v>
      </c>
      <c r="AP258">
        <v>0</v>
      </c>
      <c r="AQ258" s="5">
        <v>292</v>
      </c>
      <c r="AR258">
        <v>15</v>
      </c>
      <c r="AS258">
        <v>0</v>
      </c>
      <c r="AT258">
        <v>16</v>
      </c>
      <c r="AU258">
        <v>0</v>
      </c>
      <c r="AV258" s="5">
        <v>346</v>
      </c>
      <c r="AW258" t="s">
        <v>56</v>
      </c>
      <c r="AX258" s="6">
        <v>2098</v>
      </c>
      <c r="AY258" t="s">
        <v>611</v>
      </c>
      <c r="AZ258" t="s">
        <v>56</v>
      </c>
    </row>
    <row r="259" spans="1:52" hidden="1" x14ac:dyDescent="0.45">
      <c r="A259">
        <v>511050.20478993701</v>
      </c>
      <c r="B259">
        <v>6938782.0457688598</v>
      </c>
      <c r="C259">
        <v>258</v>
      </c>
      <c r="D259" t="s">
        <v>689</v>
      </c>
      <c r="E259" t="s">
        <v>452</v>
      </c>
      <c r="F259" t="s">
        <v>690</v>
      </c>
      <c r="G259" t="s">
        <v>691</v>
      </c>
      <c r="H259" s="3">
        <v>5421</v>
      </c>
      <c r="I259">
        <v>2</v>
      </c>
      <c r="J259" t="s">
        <v>56</v>
      </c>
      <c r="K259">
        <v>54.6</v>
      </c>
      <c r="L259">
        <v>60.8</v>
      </c>
      <c r="M259">
        <v>1</v>
      </c>
      <c r="N259" t="s">
        <v>56</v>
      </c>
      <c r="O259" t="s">
        <v>691</v>
      </c>
      <c r="P259">
        <v>84.5</v>
      </c>
      <c r="Q259">
        <v>0.6</v>
      </c>
      <c r="R259">
        <v>14.4</v>
      </c>
      <c r="S259">
        <v>0.2</v>
      </c>
      <c r="T259">
        <v>0</v>
      </c>
      <c r="U259">
        <v>0</v>
      </c>
      <c r="V259">
        <v>0.2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0.1</v>
      </c>
      <c r="AC259" t="s">
        <v>691</v>
      </c>
      <c r="AD259">
        <v>50</v>
      </c>
      <c r="AE259" t="s">
        <v>691</v>
      </c>
      <c r="AF259" s="4" t="s">
        <v>80</v>
      </c>
      <c r="AG259" s="4">
        <v>2642</v>
      </c>
      <c r="AH259" s="4" t="s">
        <v>81</v>
      </c>
      <c r="AI259" s="4">
        <v>2779</v>
      </c>
      <c r="AJ259" t="s">
        <v>691</v>
      </c>
      <c r="AK259" t="s">
        <v>56</v>
      </c>
      <c r="AL259" t="s">
        <v>690</v>
      </c>
      <c r="AM259">
        <v>8</v>
      </c>
      <c r="AN259">
        <v>0</v>
      </c>
      <c r="AO259">
        <v>9</v>
      </c>
      <c r="AP259">
        <v>0</v>
      </c>
      <c r="AQ259" s="5">
        <v>408</v>
      </c>
      <c r="AR259">
        <v>17</v>
      </c>
      <c r="AS259">
        <v>0</v>
      </c>
      <c r="AT259">
        <v>18</v>
      </c>
      <c r="AU259">
        <v>0</v>
      </c>
      <c r="AV259" s="5">
        <v>563</v>
      </c>
      <c r="AW259" t="s">
        <v>56</v>
      </c>
      <c r="AX259" s="6">
        <v>5682</v>
      </c>
      <c r="AY259" t="s">
        <v>691</v>
      </c>
      <c r="AZ259" t="s">
        <v>56</v>
      </c>
    </row>
    <row r="260" spans="1:52" hidden="1" x14ac:dyDescent="0.45">
      <c r="A260">
        <v>508148.73324850103</v>
      </c>
      <c r="B260">
        <v>6939087.9558477299</v>
      </c>
      <c r="C260">
        <v>259</v>
      </c>
      <c r="D260" t="s">
        <v>692</v>
      </c>
      <c r="E260" t="s">
        <v>452</v>
      </c>
      <c r="F260" t="s">
        <v>693</v>
      </c>
      <c r="G260" t="s">
        <v>691</v>
      </c>
      <c r="H260" s="3">
        <v>213</v>
      </c>
      <c r="I260">
        <v>2</v>
      </c>
      <c r="J260" t="s">
        <v>56</v>
      </c>
      <c r="K260">
        <v>29.9</v>
      </c>
      <c r="L260">
        <v>36.4</v>
      </c>
      <c r="M260">
        <v>1</v>
      </c>
      <c r="N260" t="s">
        <v>56</v>
      </c>
      <c r="O260" t="s">
        <v>691</v>
      </c>
      <c r="P260">
        <v>86.5</v>
      </c>
      <c r="Q260">
        <v>0.6</v>
      </c>
      <c r="R260">
        <v>11.2</v>
      </c>
      <c r="S260">
        <v>1.3</v>
      </c>
      <c r="T260">
        <v>0.2</v>
      </c>
      <c r="U260">
        <v>0</v>
      </c>
      <c r="V260">
        <v>0</v>
      </c>
      <c r="W260">
        <v>0</v>
      </c>
      <c r="X260">
        <v>0</v>
      </c>
      <c r="Y260">
        <v>0.1</v>
      </c>
      <c r="Z260">
        <v>0</v>
      </c>
      <c r="AA260">
        <v>0</v>
      </c>
      <c r="AB260">
        <v>0.1</v>
      </c>
      <c r="AC260" t="s">
        <v>691</v>
      </c>
      <c r="AD260">
        <v>50</v>
      </c>
      <c r="AE260" t="s">
        <v>691</v>
      </c>
      <c r="AF260" s="4" t="s">
        <v>57</v>
      </c>
      <c r="AG260" s="4">
        <v>107</v>
      </c>
      <c r="AH260" s="4" t="s">
        <v>58</v>
      </c>
      <c r="AI260" s="4">
        <v>106</v>
      </c>
      <c r="AJ260" t="s">
        <v>691</v>
      </c>
      <c r="AK260" t="s">
        <v>56</v>
      </c>
      <c r="AL260" t="s">
        <v>693</v>
      </c>
      <c r="AM260">
        <v>8</v>
      </c>
      <c r="AN260">
        <v>0</v>
      </c>
      <c r="AO260">
        <v>9</v>
      </c>
      <c r="AP260">
        <v>0</v>
      </c>
      <c r="AQ260" s="5">
        <v>18</v>
      </c>
      <c r="AR260">
        <v>16</v>
      </c>
      <c r="AS260">
        <v>0</v>
      </c>
      <c r="AT260">
        <v>17</v>
      </c>
      <c r="AU260">
        <v>0</v>
      </c>
      <c r="AV260" s="5">
        <v>30</v>
      </c>
      <c r="AW260" t="s">
        <v>56</v>
      </c>
      <c r="AX260" s="6">
        <v>226</v>
      </c>
      <c r="AY260" t="s">
        <v>691</v>
      </c>
      <c r="AZ260" t="s">
        <v>56</v>
      </c>
    </row>
    <row r="261" spans="1:52" hidden="1" x14ac:dyDescent="0.45">
      <c r="A261">
        <v>513221.51227258501</v>
      </c>
      <c r="B261">
        <v>6945123.4419260202</v>
      </c>
      <c r="C261">
        <v>260</v>
      </c>
      <c r="D261" t="s">
        <v>694</v>
      </c>
      <c r="E261" t="s">
        <v>655</v>
      </c>
      <c r="F261" t="s">
        <v>695</v>
      </c>
      <c r="G261" t="s">
        <v>691</v>
      </c>
      <c r="H261" s="3">
        <v>453</v>
      </c>
      <c r="I261">
        <v>2</v>
      </c>
      <c r="J261" t="s">
        <v>56</v>
      </c>
      <c r="K261">
        <v>46.4</v>
      </c>
      <c r="L261">
        <v>54.4</v>
      </c>
      <c r="M261">
        <v>1</v>
      </c>
      <c r="N261" t="s">
        <v>56</v>
      </c>
      <c r="O261" t="s">
        <v>691</v>
      </c>
      <c r="P261">
        <v>84.4</v>
      </c>
      <c r="Q261">
        <v>0.9</v>
      </c>
      <c r="R261">
        <v>13.2</v>
      </c>
      <c r="S261">
        <v>0.7</v>
      </c>
      <c r="T261">
        <v>0.5</v>
      </c>
      <c r="U261">
        <v>0</v>
      </c>
      <c r="V261">
        <v>0.2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0.1</v>
      </c>
      <c r="AC261" t="s">
        <v>691</v>
      </c>
      <c r="AD261">
        <v>50</v>
      </c>
      <c r="AE261" t="s">
        <v>691</v>
      </c>
      <c r="AF261" s="4" t="s">
        <v>57</v>
      </c>
      <c r="AG261" s="4">
        <v>242</v>
      </c>
      <c r="AH261" s="4" t="s">
        <v>58</v>
      </c>
      <c r="AI261" s="4">
        <v>211</v>
      </c>
      <c r="AJ261" t="s">
        <v>691</v>
      </c>
      <c r="AK261" t="s">
        <v>56</v>
      </c>
      <c r="AL261" t="s">
        <v>695</v>
      </c>
      <c r="AM261">
        <v>11</v>
      </c>
      <c r="AN261">
        <v>0</v>
      </c>
      <c r="AO261">
        <v>12</v>
      </c>
      <c r="AP261">
        <v>0</v>
      </c>
      <c r="AQ261" s="5">
        <v>44</v>
      </c>
      <c r="AR261">
        <v>16</v>
      </c>
      <c r="AS261">
        <v>0</v>
      </c>
      <c r="AT261">
        <v>17</v>
      </c>
      <c r="AU261">
        <v>0</v>
      </c>
      <c r="AV261" s="5">
        <v>64</v>
      </c>
      <c r="AW261" t="s">
        <v>56</v>
      </c>
      <c r="AX261" s="6">
        <v>461</v>
      </c>
      <c r="AY261" t="s">
        <v>691</v>
      </c>
      <c r="AZ261" t="s">
        <v>56</v>
      </c>
    </row>
    <row r="262" spans="1:52" hidden="1" x14ac:dyDescent="0.45">
      <c r="A262">
        <v>513362.90188652702</v>
      </c>
      <c r="B262">
        <v>6945122.6231980901</v>
      </c>
      <c r="C262">
        <v>261</v>
      </c>
      <c r="D262" t="s">
        <v>694</v>
      </c>
      <c r="E262" t="s">
        <v>655</v>
      </c>
      <c r="F262" t="s">
        <v>696</v>
      </c>
      <c r="G262" t="s">
        <v>691</v>
      </c>
      <c r="H262" s="3">
        <v>389</v>
      </c>
      <c r="I262">
        <v>2</v>
      </c>
      <c r="J262" t="s">
        <v>56</v>
      </c>
      <c r="K262">
        <v>37.1</v>
      </c>
      <c r="L262">
        <v>42.5</v>
      </c>
      <c r="M262">
        <v>1</v>
      </c>
      <c r="N262" t="s">
        <v>56</v>
      </c>
      <c r="O262" t="s">
        <v>691</v>
      </c>
      <c r="P262">
        <v>82.5</v>
      </c>
      <c r="Q262">
        <v>2.8</v>
      </c>
      <c r="R262">
        <v>9.4</v>
      </c>
      <c r="S262">
        <v>3.1</v>
      </c>
      <c r="T262">
        <v>0.9</v>
      </c>
      <c r="U262">
        <v>0</v>
      </c>
      <c r="V262">
        <v>0.2</v>
      </c>
      <c r="W262">
        <v>0.1</v>
      </c>
      <c r="X262">
        <v>0</v>
      </c>
      <c r="Y262">
        <v>0</v>
      </c>
      <c r="Z262">
        <v>0</v>
      </c>
      <c r="AA262">
        <v>0</v>
      </c>
      <c r="AB262">
        <v>1</v>
      </c>
      <c r="AC262" t="s">
        <v>691</v>
      </c>
      <c r="AD262">
        <v>50</v>
      </c>
      <c r="AE262" t="s">
        <v>691</v>
      </c>
      <c r="AF262" s="4" t="s">
        <v>80</v>
      </c>
      <c r="AG262" s="4">
        <v>169</v>
      </c>
      <c r="AH262" s="4" t="s">
        <v>81</v>
      </c>
      <c r="AI262" s="4">
        <v>220</v>
      </c>
      <c r="AJ262" t="s">
        <v>691</v>
      </c>
      <c r="AK262" t="s">
        <v>56</v>
      </c>
      <c r="AL262" t="s">
        <v>696</v>
      </c>
      <c r="AM262">
        <v>11</v>
      </c>
      <c r="AN262">
        <v>0</v>
      </c>
      <c r="AO262">
        <v>12</v>
      </c>
      <c r="AP262">
        <v>0</v>
      </c>
      <c r="AQ262" s="5">
        <v>37</v>
      </c>
      <c r="AR262">
        <v>16</v>
      </c>
      <c r="AS262">
        <v>0</v>
      </c>
      <c r="AT262">
        <v>17</v>
      </c>
      <c r="AU262">
        <v>0</v>
      </c>
      <c r="AV262" s="5">
        <v>50</v>
      </c>
      <c r="AW262" t="s">
        <v>56</v>
      </c>
      <c r="AX262" s="6">
        <v>395</v>
      </c>
      <c r="AY262" t="s">
        <v>691</v>
      </c>
      <c r="AZ262" t="s">
        <v>56</v>
      </c>
    </row>
    <row r="263" spans="1:52" hidden="1" x14ac:dyDescent="0.45">
      <c r="A263">
        <v>510318.12127448601</v>
      </c>
      <c r="B263">
        <v>6939412.7487430703</v>
      </c>
      <c r="C263">
        <v>262</v>
      </c>
      <c r="D263" t="s">
        <v>697</v>
      </c>
      <c r="E263" t="s">
        <v>452</v>
      </c>
      <c r="F263" t="s">
        <v>698</v>
      </c>
      <c r="G263" t="s">
        <v>691</v>
      </c>
      <c r="H263" s="3">
        <v>1381</v>
      </c>
      <c r="I263">
        <v>2</v>
      </c>
      <c r="J263" t="s">
        <v>56</v>
      </c>
      <c r="K263">
        <v>54.8</v>
      </c>
      <c r="L263">
        <v>62.6</v>
      </c>
      <c r="M263">
        <v>1</v>
      </c>
      <c r="N263" t="s">
        <v>56</v>
      </c>
      <c r="O263" t="s">
        <v>691</v>
      </c>
      <c r="P263">
        <v>88.5</v>
      </c>
      <c r="Q263">
        <v>0.5</v>
      </c>
      <c r="R263">
        <v>10.5</v>
      </c>
      <c r="S263">
        <v>0.2</v>
      </c>
      <c r="T263">
        <v>0</v>
      </c>
      <c r="U263">
        <v>0</v>
      </c>
      <c r="V263">
        <v>0.2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0.1</v>
      </c>
      <c r="AC263" t="s">
        <v>691</v>
      </c>
      <c r="AD263">
        <v>50</v>
      </c>
      <c r="AE263" t="s">
        <v>691</v>
      </c>
      <c r="AF263" s="4" t="s">
        <v>57</v>
      </c>
      <c r="AG263" s="4">
        <v>711</v>
      </c>
      <c r="AH263" s="4" t="s">
        <v>58</v>
      </c>
      <c r="AI263" s="4">
        <v>670</v>
      </c>
      <c r="AJ263" t="s">
        <v>691</v>
      </c>
      <c r="AK263" t="s">
        <v>56</v>
      </c>
      <c r="AL263" t="s">
        <v>698</v>
      </c>
      <c r="AM263">
        <v>8</v>
      </c>
      <c r="AN263">
        <v>0</v>
      </c>
      <c r="AO263">
        <v>9</v>
      </c>
      <c r="AP263">
        <v>0</v>
      </c>
      <c r="AQ263" s="5">
        <v>95</v>
      </c>
      <c r="AR263">
        <v>16</v>
      </c>
      <c r="AS263">
        <v>0</v>
      </c>
      <c r="AT263">
        <v>17</v>
      </c>
      <c r="AU263">
        <v>0</v>
      </c>
      <c r="AV263" s="5">
        <v>167</v>
      </c>
      <c r="AW263" t="s">
        <v>56</v>
      </c>
      <c r="AX263" s="6">
        <v>1446</v>
      </c>
      <c r="AY263" t="s">
        <v>691</v>
      </c>
      <c r="AZ263" t="s">
        <v>56</v>
      </c>
    </row>
    <row r="264" spans="1:52" hidden="1" x14ac:dyDescent="0.45">
      <c r="A264">
        <v>510875.312587903</v>
      </c>
      <c r="B264">
        <v>6939171.8925289502</v>
      </c>
      <c r="C264">
        <v>263</v>
      </c>
      <c r="D264" t="s">
        <v>697</v>
      </c>
      <c r="E264" t="s">
        <v>452</v>
      </c>
      <c r="F264" t="s">
        <v>699</v>
      </c>
      <c r="G264" t="s">
        <v>691</v>
      </c>
      <c r="H264" s="3">
        <v>1807</v>
      </c>
      <c r="I264">
        <v>2</v>
      </c>
      <c r="J264" t="s">
        <v>56</v>
      </c>
      <c r="K264">
        <v>48.8</v>
      </c>
      <c r="L264">
        <v>54.7</v>
      </c>
      <c r="M264">
        <v>1</v>
      </c>
      <c r="N264" t="s">
        <v>56</v>
      </c>
      <c r="O264" t="s">
        <v>691</v>
      </c>
      <c r="P264">
        <v>83.4</v>
      </c>
      <c r="Q264">
        <v>0.4</v>
      </c>
      <c r="R264">
        <v>15.5</v>
      </c>
      <c r="S264">
        <v>0.3</v>
      </c>
      <c r="T264">
        <v>0</v>
      </c>
      <c r="U264">
        <v>0</v>
      </c>
      <c r="V264">
        <v>0.2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0.2</v>
      </c>
      <c r="AC264" t="s">
        <v>691</v>
      </c>
      <c r="AD264">
        <v>50</v>
      </c>
      <c r="AE264" t="s">
        <v>691</v>
      </c>
      <c r="AF264" s="4" t="s">
        <v>80</v>
      </c>
      <c r="AG264" s="4">
        <v>877</v>
      </c>
      <c r="AH264" s="4" t="s">
        <v>81</v>
      </c>
      <c r="AI264" s="4">
        <v>930</v>
      </c>
      <c r="AJ264" t="s">
        <v>691</v>
      </c>
      <c r="AK264" t="s">
        <v>56</v>
      </c>
      <c r="AL264" t="s">
        <v>699</v>
      </c>
      <c r="AM264">
        <v>8</v>
      </c>
      <c r="AN264">
        <v>0</v>
      </c>
      <c r="AO264">
        <v>9</v>
      </c>
      <c r="AP264">
        <v>0</v>
      </c>
      <c r="AQ264" s="5">
        <v>119</v>
      </c>
      <c r="AR264">
        <v>16</v>
      </c>
      <c r="AS264">
        <v>0</v>
      </c>
      <c r="AT264">
        <v>17</v>
      </c>
      <c r="AU264">
        <v>0</v>
      </c>
      <c r="AV264" s="5">
        <v>201</v>
      </c>
      <c r="AW264" t="s">
        <v>56</v>
      </c>
      <c r="AX264" s="6">
        <v>1871</v>
      </c>
      <c r="AY264" t="s">
        <v>691</v>
      </c>
      <c r="AZ264" t="s">
        <v>56</v>
      </c>
    </row>
    <row r="265" spans="1:52" hidden="1" x14ac:dyDescent="0.45">
      <c r="A265">
        <v>510933.00322146801</v>
      </c>
      <c r="B265">
        <v>6938950.63298852</v>
      </c>
      <c r="C265">
        <v>264</v>
      </c>
      <c r="D265" t="s">
        <v>697</v>
      </c>
      <c r="E265" t="s">
        <v>452</v>
      </c>
      <c r="F265" t="s">
        <v>700</v>
      </c>
      <c r="G265" t="s">
        <v>691</v>
      </c>
      <c r="H265" s="3">
        <v>2306</v>
      </c>
      <c r="I265">
        <v>2</v>
      </c>
      <c r="J265" t="s">
        <v>56</v>
      </c>
      <c r="K265">
        <v>52.4</v>
      </c>
      <c r="L265">
        <v>60.1</v>
      </c>
      <c r="M265">
        <v>1</v>
      </c>
      <c r="N265" t="s">
        <v>56</v>
      </c>
      <c r="O265" t="s">
        <v>691</v>
      </c>
      <c r="P265">
        <v>82.4</v>
      </c>
      <c r="Q265">
        <v>0.6</v>
      </c>
      <c r="R265">
        <v>16.399999999999999</v>
      </c>
      <c r="S265">
        <v>0.2</v>
      </c>
      <c r="T265">
        <v>0</v>
      </c>
      <c r="U265">
        <v>0</v>
      </c>
      <c r="V265">
        <v>0.3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0.1</v>
      </c>
      <c r="AC265" t="s">
        <v>691</v>
      </c>
      <c r="AD265">
        <v>50</v>
      </c>
      <c r="AE265" t="s">
        <v>691</v>
      </c>
      <c r="AF265" s="4" t="s">
        <v>80</v>
      </c>
      <c r="AG265" s="4">
        <v>1134</v>
      </c>
      <c r="AH265" s="4" t="s">
        <v>81</v>
      </c>
      <c r="AI265" s="4">
        <v>1172</v>
      </c>
      <c r="AJ265" t="s">
        <v>691</v>
      </c>
      <c r="AK265" t="s">
        <v>56</v>
      </c>
      <c r="AL265" t="s">
        <v>700</v>
      </c>
      <c r="AM265">
        <v>8</v>
      </c>
      <c r="AN265">
        <v>0</v>
      </c>
      <c r="AO265">
        <v>9</v>
      </c>
      <c r="AP265">
        <v>0</v>
      </c>
      <c r="AQ265" s="5">
        <v>159</v>
      </c>
      <c r="AR265">
        <v>16</v>
      </c>
      <c r="AS265">
        <v>0</v>
      </c>
      <c r="AT265">
        <v>17</v>
      </c>
      <c r="AU265">
        <v>0</v>
      </c>
      <c r="AV265" s="5">
        <v>253</v>
      </c>
      <c r="AW265" t="s">
        <v>56</v>
      </c>
      <c r="AX265" s="6">
        <v>2388</v>
      </c>
      <c r="AY265" t="s">
        <v>691</v>
      </c>
      <c r="AZ265" t="s">
        <v>56</v>
      </c>
    </row>
    <row r="266" spans="1:52" hidden="1" x14ac:dyDescent="0.45">
      <c r="A266">
        <v>509796.35065912298</v>
      </c>
      <c r="B266">
        <v>6941783.3216485996</v>
      </c>
      <c r="C266">
        <v>265</v>
      </c>
      <c r="D266" t="s">
        <v>701</v>
      </c>
      <c r="E266" t="s">
        <v>145</v>
      </c>
      <c r="F266" t="s">
        <v>702</v>
      </c>
      <c r="G266" t="s">
        <v>703</v>
      </c>
      <c r="H266" s="3">
        <v>12393</v>
      </c>
      <c r="I266">
        <v>2</v>
      </c>
      <c r="J266" t="s">
        <v>56</v>
      </c>
      <c r="K266">
        <v>57.1</v>
      </c>
      <c r="L266">
        <v>62.6</v>
      </c>
      <c r="M266">
        <v>1</v>
      </c>
      <c r="N266" t="s">
        <v>56</v>
      </c>
      <c r="O266" t="s">
        <v>703</v>
      </c>
      <c r="P266">
        <v>88.4</v>
      </c>
      <c r="Q266">
        <v>0.5</v>
      </c>
      <c r="R266">
        <v>10.5</v>
      </c>
      <c r="S266">
        <v>0.2</v>
      </c>
      <c r="T266">
        <v>0</v>
      </c>
      <c r="U266">
        <v>0</v>
      </c>
      <c r="V266">
        <v>0.2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0.2</v>
      </c>
      <c r="AC266" t="s">
        <v>703</v>
      </c>
      <c r="AD266">
        <v>60</v>
      </c>
      <c r="AE266" t="s">
        <v>703</v>
      </c>
      <c r="AF266" s="4" t="s">
        <v>80</v>
      </c>
      <c r="AG266" s="4">
        <v>5738</v>
      </c>
      <c r="AH266" s="4" t="s">
        <v>81</v>
      </c>
      <c r="AI266" s="4">
        <v>6655</v>
      </c>
      <c r="AJ266" t="s">
        <v>703</v>
      </c>
      <c r="AK266" t="s">
        <v>56</v>
      </c>
      <c r="AL266" t="s">
        <v>702</v>
      </c>
      <c r="AM266">
        <v>8</v>
      </c>
      <c r="AN266">
        <v>0</v>
      </c>
      <c r="AO266">
        <v>9</v>
      </c>
      <c r="AP266">
        <v>0</v>
      </c>
      <c r="AQ266" s="5">
        <v>1032</v>
      </c>
      <c r="AR266">
        <v>16</v>
      </c>
      <c r="AS266">
        <v>0</v>
      </c>
      <c r="AT266">
        <v>17</v>
      </c>
      <c r="AU266">
        <v>0</v>
      </c>
      <c r="AV266" s="5">
        <v>1283</v>
      </c>
      <c r="AW266" t="s">
        <v>56</v>
      </c>
      <c r="AX266" s="6">
        <v>13436</v>
      </c>
      <c r="AY266" t="s">
        <v>703</v>
      </c>
      <c r="AZ266" t="s">
        <v>56</v>
      </c>
    </row>
    <row r="267" spans="1:52" hidden="1" x14ac:dyDescent="0.45">
      <c r="A267">
        <v>517957.08052705298</v>
      </c>
      <c r="B267">
        <v>6937909.6903854497</v>
      </c>
      <c r="C267">
        <v>266</v>
      </c>
      <c r="D267" t="s">
        <v>704</v>
      </c>
      <c r="E267" t="s">
        <v>705</v>
      </c>
      <c r="F267" t="s">
        <v>706</v>
      </c>
      <c r="G267" t="s">
        <v>707</v>
      </c>
      <c r="H267" s="3">
        <v>840</v>
      </c>
      <c r="I267">
        <v>2</v>
      </c>
      <c r="J267" t="s">
        <v>56</v>
      </c>
      <c r="K267">
        <v>46.8</v>
      </c>
      <c r="L267">
        <v>55.4</v>
      </c>
      <c r="M267">
        <v>1</v>
      </c>
      <c r="N267" t="s">
        <v>56</v>
      </c>
      <c r="O267" t="s">
        <v>707</v>
      </c>
      <c r="P267">
        <v>82.6</v>
      </c>
      <c r="Q267">
        <v>0.9</v>
      </c>
      <c r="R267">
        <v>15.5</v>
      </c>
      <c r="S267">
        <v>0.2</v>
      </c>
      <c r="T267">
        <v>0.1</v>
      </c>
      <c r="U267">
        <v>0</v>
      </c>
      <c r="V267">
        <v>0.5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0.2</v>
      </c>
      <c r="AC267" t="s">
        <v>707</v>
      </c>
      <c r="AD267">
        <v>50</v>
      </c>
      <c r="AE267" t="s">
        <v>707</v>
      </c>
      <c r="AF267" s="4" t="s">
        <v>57</v>
      </c>
      <c r="AG267" s="4">
        <v>441</v>
      </c>
      <c r="AH267" s="4" t="s">
        <v>58</v>
      </c>
      <c r="AI267" s="4">
        <v>399</v>
      </c>
      <c r="AJ267" t="s">
        <v>707</v>
      </c>
      <c r="AK267" t="s">
        <v>56</v>
      </c>
      <c r="AL267" t="s">
        <v>706</v>
      </c>
      <c r="AM267">
        <v>8</v>
      </c>
      <c r="AN267">
        <v>0</v>
      </c>
      <c r="AO267">
        <v>9</v>
      </c>
      <c r="AP267">
        <v>0</v>
      </c>
      <c r="AQ267" s="5">
        <v>92</v>
      </c>
      <c r="AR267">
        <v>14</v>
      </c>
      <c r="AS267">
        <v>0</v>
      </c>
      <c r="AT267">
        <v>15</v>
      </c>
      <c r="AU267">
        <v>0</v>
      </c>
      <c r="AV267" s="5">
        <v>83</v>
      </c>
      <c r="AW267" t="s">
        <v>56</v>
      </c>
      <c r="AX267" s="6">
        <v>867</v>
      </c>
      <c r="AY267" t="s">
        <v>707</v>
      </c>
      <c r="AZ267" t="s">
        <v>56</v>
      </c>
    </row>
    <row r="268" spans="1:52" hidden="1" x14ac:dyDescent="0.45">
      <c r="A268">
        <v>518286.3866964</v>
      </c>
      <c r="B268">
        <v>6937942.6524047405</v>
      </c>
      <c r="C268">
        <v>267</v>
      </c>
      <c r="D268" t="s">
        <v>704</v>
      </c>
      <c r="E268" t="s">
        <v>705</v>
      </c>
      <c r="F268" t="s">
        <v>708</v>
      </c>
      <c r="G268" t="s">
        <v>707</v>
      </c>
      <c r="H268" s="3">
        <v>344</v>
      </c>
      <c r="I268">
        <v>2</v>
      </c>
      <c r="J268" t="s">
        <v>56</v>
      </c>
      <c r="K268">
        <v>44.9</v>
      </c>
      <c r="L268">
        <v>54.4</v>
      </c>
      <c r="M268">
        <v>1</v>
      </c>
      <c r="N268" t="s">
        <v>56</v>
      </c>
      <c r="O268" t="s">
        <v>707</v>
      </c>
      <c r="P268">
        <v>81.5</v>
      </c>
      <c r="Q268">
        <v>0.6</v>
      </c>
      <c r="R268">
        <v>17.2</v>
      </c>
      <c r="S268">
        <v>0.1</v>
      </c>
      <c r="T268">
        <v>0</v>
      </c>
      <c r="U268">
        <v>0</v>
      </c>
      <c r="V268">
        <v>0.3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0.3</v>
      </c>
      <c r="AC268" t="s">
        <v>707</v>
      </c>
      <c r="AD268">
        <v>50</v>
      </c>
      <c r="AE268" t="s">
        <v>707</v>
      </c>
      <c r="AF268" s="4" t="s">
        <v>57</v>
      </c>
      <c r="AG268" s="4">
        <v>170</v>
      </c>
      <c r="AH268" s="4" t="s">
        <v>58</v>
      </c>
      <c r="AI268" s="4">
        <v>174</v>
      </c>
      <c r="AJ268" t="s">
        <v>707</v>
      </c>
      <c r="AK268" t="s">
        <v>56</v>
      </c>
      <c r="AL268" t="s">
        <v>708</v>
      </c>
      <c r="AM268">
        <v>8</v>
      </c>
      <c r="AN268">
        <v>0</v>
      </c>
      <c r="AO268">
        <v>9</v>
      </c>
      <c r="AP268">
        <v>0</v>
      </c>
      <c r="AQ268" s="5">
        <v>32</v>
      </c>
      <c r="AR268">
        <v>17</v>
      </c>
      <c r="AS268">
        <v>0</v>
      </c>
      <c r="AT268">
        <v>18</v>
      </c>
      <c r="AU268">
        <v>0</v>
      </c>
      <c r="AV268" s="5">
        <v>40</v>
      </c>
      <c r="AW268" t="s">
        <v>56</v>
      </c>
      <c r="AX268" s="6">
        <v>349</v>
      </c>
      <c r="AY268" t="s">
        <v>707</v>
      </c>
      <c r="AZ268" t="s">
        <v>56</v>
      </c>
    </row>
    <row r="269" spans="1:52" hidden="1" x14ac:dyDescent="0.45">
      <c r="A269">
        <v>503704.549511861</v>
      </c>
      <c r="B269">
        <v>6937640.25228028</v>
      </c>
      <c r="C269">
        <v>268</v>
      </c>
      <c r="D269" t="s">
        <v>709</v>
      </c>
      <c r="E269" t="s">
        <v>710</v>
      </c>
      <c r="F269" t="s">
        <v>711</v>
      </c>
      <c r="G269" t="s">
        <v>707</v>
      </c>
      <c r="H269" s="3">
        <v>398</v>
      </c>
      <c r="I269">
        <v>2</v>
      </c>
      <c r="J269" t="s">
        <v>56</v>
      </c>
      <c r="K269">
        <v>49.4</v>
      </c>
      <c r="L269">
        <v>57.2</v>
      </c>
      <c r="M269">
        <v>1</v>
      </c>
      <c r="N269" t="s">
        <v>56</v>
      </c>
      <c r="O269" t="s">
        <v>707</v>
      </c>
      <c r="P269">
        <v>84.1</v>
      </c>
      <c r="Q269">
        <v>1.1000000000000001</v>
      </c>
      <c r="R269">
        <v>14</v>
      </c>
      <c r="S269">
        <v>0.3</v>
      </c>
      <c r="T269">
        <v>0.1</v>
      </c>
      <c r="U269">
        <v>0</v>
      </c>
      <c r="V269">
        <v>0.2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0.2</v>
      </c>
      <c r="AC269" t="s">
        <v>707</v>
      </c>
      <c r="AD269">
        <v>50</v>
      </c>
      <c r="AE269" t="s">
        <v>707</v>
      </c>
      <c r="AF269" s="4" t="s">
        <v>57</v>
      </c>
      <c r="AG269" s="4">
        <v>195</v>
      </c>
      <c r="AH269" s="4" t="s">
        <v>58</v>
      </c>
      <c r="AI269" s="4">
        <v>203</v>
      </c>
      <c r="AJ269" t="s">
        <v>707</v>
      </c>
      <c r="AK269" t="s">
        <v>56</v>
      </c>
      <c r="AL269" t="s">
        <v>711</v>
      </c>
      <c r="AM269">
        <v>8</v>
      </c>
      <c r="AN269">
        <v>0</v>
      </c>
      <c r="AO269">
        <v>9</v>
      </c>
      <c r="AP269">
        <v>0</v>
      </c>
      <c r="AQ269" s="5">
        <v>34</v>
      </c>
      <c r="AR269">
        <v>16</v>
      </c>
      <c r="AS269">
        <v>0</v>
      </c>
      <c r="AT269">
        <v>17</v>
      </c>
      <c r="AU269">
        <v>0</v>
      </c>
      <c r="AV269" s="5">
        <v>44</v>
      </c>
      <c r="AW269" t="s">
        <v>56</v>
      </c>
      <c r="AX269" s="6">
        <v>415</v>
      </c>
      <c r="AY269" t="s">
        <v>707</v>
      </c>
      <c r="AZ269" t="s">
        <v>56</v>
      </c>
    </row>
    <row r="270" spans="1:52" hidden="1" x14ac:dyDescent="0.45">
      <c r="A270">
        <v>516138.72115665098</v>
      </c>
      <c r="B270">
        <v>6932933.6437840499</v>
      </c>
      <c r="C270">
        <v>269</v>
      </c>
      <c r="D270" t="s">
        <v>156</v>
      </c>
      <c r="E270" t="s">
        <v>157</v>
      </c>
      <c r="F270" t="s">
        <v>712</v>
      </c>
      <c r="G270" t="s">
        <v>713</v>
      </c>
      <c r="H270" s="3">
        <v>3381</v>
      </c>
      <c r="I270">
        <v>2</v>
      </c>
      <c r="J270" t="s">
        <v>56</v>
      </c>
      <c r="K270">
        <v>68.900000000000006</v>
      </c>
      <c r="L270">
        <v>76.7</v>
      </c>
      <c r="M270">
        <v>1</v>
      </c>
      <c r="N270" t="s">
        <v>56</v>
      </c>
      <c r="O270" t="s">
        <v>713</v>
      </c>
      <c r="P270">
        <v>72.900000000000006</v>
      </c>
      <c r="Q270">
        <v>1.3</v>
      </c>
      <c r="R270">
        <v>23.3</v>
      </c>
      <c r="S270">
        <v>0.7</v>
      </c>
      <c r="T270">
        <v>0.1</v>
      </c>
      <c r="U270">
        <v>0</v>
      </c>
      <c r="V270">
        <v>0.9</v>
      </c>
      <c r="W270">
        <v>0.1</v>
      </c>
      <c r="X270">
        <v>0.1</v>
      </c>
      <c r="Y270">
        <v>0.1</v>
      </c>
      <c r="Z270">
        <v>0</v>
      </c>
      <c r="AA270">
        <v>0</v>
      </c>
      <c r="AB270">
        <v>0.5</v>
      </c>
      <c r="AC270" t="s">
        <v>713</v>
      </c>
      <c r="AD270">
        <v>60</v>
      </c>
      <c r="AE270" t="s">
        <v>713</v>
      </c>
      <c r="AF270" s="4" t="s">
        <v>80</v>
      </c>
      <c r="AG270" s="4">
        <v>1696</v>
      </c>
      <c r="AH270" s="4" t="s">
        <v>81</v>
      </c>
      <c r="AI270" s="4">
        <v>1685</v>
      </c>
      <c r="AJ270" t="s">
        <v>713</v>
      </c>
      <c r="AK270" t="s">
        <v>56</v>
      </c>
      <c r="AL270" t="s">
        <v>712</v>
      </c>
      <c r="AM270">
        <v>7</v>
      </c>
      <c r="AN270">
        <v>0</v>
      </c>
      <c r="AO270">
        <v>8</v>
      </c>
      <c r="AP270">
        <v>0</v>
      </c>
      <c r="AQ270" s="5">
        <v>321</v>
      </c>
      <c r="AR270">
        <v>15</v>
      </c>
      <c r="AS270">
        <v>0</v>
      </c>
      <c r="AT270">
        <v>16</v>
      </c>
      <c r="AU270">
        <v>0</v>
      </c>
      <c r="AV270" s="5">
        <v>372</v>
      </c>
      <c r="AW270" t="s">
        <v>56</v>
      </c>
      <c r="AX270" s="6">
        <v>3977</v>
      </c>
      <c r="AY270" t="s">
        <v>713</v>
      </c>
      <c r="AZ270" t="s">
        <v>56</v>
      </c>
    </row>
    <row r="271" spans="1:52" hidden="1" x14ac:dyDescent="0.45">
      <c r="A271">
        <v>513201.45086832898</v>
      </c>
      <c r="B271">
        <v>6930831.8761973102</v>
      </c>
      <c r="C271">
        <v>270</v>
      </c>
      <c r="D271" t="s">
        <v>160</v>
      </c>
      <c r="E271" t="s">
        <v>161</v>
      </c>
      <c r="F271" t="s">
        <v>714</v>
      </c>
      <c r="G271" t="s">
        <v>715</v>
      </c>
      <c r="H271" s="3">
        <v>3432</v>
      </c>
      <c r="I271">
        <v>2</v>
      </c>
      <c r="J271" t="s">
        <v>56</v>
      </c>
      <c r="K271">
        <v>76.8</v>
      </c>
      <c r="L271">
        <v>84.2</v>
      </c>
      <c r="M271">
        <v>1</v>
      </c>
      <c r="N271" t="s">
        <v>56</v>
      </c>
      <c r="O271" t="s">
        <v>715</v>
      </c>
      <c r="P271">
        <v>77.599999999999994</v>
      </c>
      <c r="Q271">
        <v>1.5</v>
      </c>
      <c r="R271">
        <v>17.8</v>
      </c>
      <c r="S271">
        <v>1.33</v>
      </c>
      <c r="T271">
        <v>0.2</v>
      </c>
      <c r="U271">
        <v>0</v>
      </c>
      <c r="V271">
        <v>0.9</v>
      </c>
      <c r="W271">
        <v>0.1</v>
      </c>
      <c r="X271">
        <v>0.1</v>
      </c>
      <c r="Y271">
        <v>0.1</v>
      </c>
      <c r="Z271">
        <v>0</v>
      </c>
      <c r="AA271">
        <v>0</v>
      </c>
      <c r="AB271">
        <v>0.4</v>
      </c>
      <c r="AC271" t="s">
        <v>715</v>
      </c>
      <c r="AD271">
        <v>80</v>
      </c>
      <c r="AE271" t="s">
        <v>715</v>
      </c>
      <c r="AF271" s="4" t="s">
        <v>80</v>
      </c>
      <c r="AG271" s="4">
        <v>1730</v>
      </c>
      <c r="AH271" s="4" t="s">
        <v>81</v>
      </c>
      <c r="AI271" s="4">
        <v>1702</v>
      </c>
      <c r="AJ271" t="s">
        <v>715</v>
      </c>
      <c r="AK271" t="s">
        <v>56</v>
      </c>
      <c r="AL271" t="s">
        <v>714</v>
      </c>
      <c r="AM271">
        <v>8</v>
      </c>
      <c r="AN271">
        <v>0</v>
      </c>
      <c r="AO271">
        <v>9</v>
      </c>
      <c r="AP271">
        <v>0</v>
      </c>
      <c r="AQ271" s="5">
        <v>339</v>
      </c>
      <c r="AR271">
        <v>15</v>
      </c>
      <c r="AS271">
        <v>0</v>
      </c>
      <c r="AT271">
        <v>16</v>
      </c>
      <c r="AU271">
        <v>0</v>
      </c>
      <c r="AV271" s="5">
        <v>377</v>
      </c>
      <c r="AW271" t="s">
        <v>56</v>
      </c>
      <c r="AX271" s="6">
        <v>3981</v>
      </c>
      <c r="AY271" t="s">
        <v>715</v>
      </c>
      <c r="AZ271" t="s">
        <v>56</v>
      </c>
    </row>
    <row r="272" spans="1:52" hidden="1" x14ac:dyDescent="0.45">
      <c r="A272">
        <v>514115.95270571602</v>
      </c>
      <c r="B272">
        <v>6931290.7690322502</v>
      </c>
      <c r="C272">
        <v>271</v>
      </c>
      <c r="D272" t="s">
        <v>160</v>
      </c>
      <c r="E272" t="s">
        <v>161</v>
      </c>
      <c r="F272" t="s">
        <v>716</v>
      </c>
      <c r="G272" t="s">
        <v>715</v>
      </c>
      <c r="H272" s="3">
        <v>3665</v>
      </c>
      <c r="I272">
        <v>2</v>
      </c>
      <c r="J272" t="s">
        <v>56</v>
      </c>
      <c r="K272">
        <v>68.2</v>
      </c>
      <c r="L272">
        <v>75.2</v>
      </c>
      <c r="M272">
        <v>1</v>
      </c>
      <c r="N272" t="s">
        <v>56</v>
      </c>
      <c r="O272" t="s">
        <v>715</v>
      </c>
      <c r="P272">
        <v>78.900000000000006</v>
      </c>
      <c r="Q272">
        <v>1.6</v>
      </c>
      <c r="R272">
        <v>17.5</v>
      </c>
      <c r="S272">
        <v>0.6</v>
      </c>
      <c r="T272">
        <v>0.1</v>
      </c>
      <c r="U272">
        <v>0</v>
      </c>
      <c r="V272">
        <v>0.9</v>
      </c>
      <c r="W272">
        <v>0</v>
      </c>
      <c r="X272">
        <v>0.1</v>
      </c>
      <c r="Y272">
        <v>0.1</v>
      </c>
      <c r="Z272">
        <v>0</v>
      </c>
      <c r="AA272">
        <v>0</v>
      </c>
      <c r="AB272">
        <v>0.2</v>
      </c>
      <c r="AC272" t="s">
        <v>715</v>
      </c>
      <c r="AD272">
        <v>80</v>
      </c>
      <c r="AE272" t="s">
        <v>715</v>
      </c>
      <c r="AF272" s="4" t="s">
        <v>80</v>
      </c>
      <c r="AG272" s="4">
        <v>1826</v>
      </c>
      <c r="AH272" s="4" t="s">
        <v>81</v>
      </c>
      <c r="AI272" s="4">
        <v>1839</v>
      </c>
      <c r="AJ272" t="s">
        <v>715</v>
      </c>
      <c r="AK272" t="s">
        <v>56</v>
      </c>
      <c r="AL272" t="s">
        <v>716</v>
      </c>
      <c r="AM272">
        <v>8</v>
      </c>
      <c r="AN272">
        <v>0</v>
      </c>
      <c r="AO272">
        <v>9</v>
      </c>
      <c r="AP272">
        <v>0</v>
      </c>
      <c r="AQ272" s="5">
        <v>356</v>
      </c>
      <c r="AR272">
        <v>15</v>
      </c>
      <c r="AS272">
        <v>0</v>
      </c>
      <c r="AT272">
        <v>16</v>
      </c>
      <c r="AU272">
        <v>0</v>
      </c>
      <c r="AV272" s="5">
        <v>410</v>
      </c>
      <c r="AW272" t="s">
        <v>56</v>
      </c>
      <c r="AX272" s="6">
        <v>4211</v>
      </c>
      <c r="AY272" t="s">
        <v>715</v>
      </c>
      <c r="AZ272" t="s">
        <v>56</v>
      </c>
    </row>
    <row r="273" spans="1:52" hidden="1" x14ac:dyDescent="0.45">
      <c r="A273">
        <v>513458.793038884</v>
      </c>
      <c r="B273">
        <v>6930587.0101309298</v>
      </c>
      <c r="C273">
        <v>272</v>
      </c>
      <c r="D273" t="s">
        <v>717</v>
      </c>
      <c r="E273" t="s">
        <v>161</v>
      </c>
      <c r="F273" t="s">
        <v>718</v>
      </c>
      <c r="G273" t="s">
        <v>713</v>
      </c>
      <c r="H273" s="3">
        <v>221</v>
      </c>
      <c r="I273">
        <v>2</v>
      </c>
      <c r="J273" t="s">
        <v>56</v>
      </c>
      <c r="K273">
        <v>46.2</v>
      </c>
      <c r="L273">
        <v>58.3</v>
      </c>
      <c r="M273">
        <v>1</v>
      </c>
      <c r="N273" t="s">
        <v>56</v>
      </c>
      <c r="O273" t="s">
        <v>713</v>
      </c>
      <c r="P273">
        <v>65.400000000000006</v>
      </c>
      <c r="Q273">
        <v>1.9</v>
      </c>
      <c r="R273">
        <v>27.8</v>
      </c>
      <c r="S273">
        <v>1.1000000000000001</v>
      </c>
      <c r="T273">
        <v>1.1000000000000001</v>
      </c>
      <c r="U273">
        <v>0</v>
      </c>
      <c r="V273">
        <v>1.8</v>
      </c>
      <c r="W273">
        <v>0.1</v>
      </c>
      <c r="X273">
        <v>0</v>
      </c>
      <c r="Y273">
        <v>0</v>
      </c>
      <c r="Z273">
        <v>0</v>
      </c>
      <c r="AA273">
        <v>0</v>
      </c>
      <c r="AB273">
        <v>0.8</v>
      </c>
      <c r="AC273" t="s">
        <v>713</v>
      </c>
      <c r="AD273">
        <v>50</v>
      </c>
      <c r="AE273" t="s">
        <v>713</v>
      </c>
      <c r="AF273" s="4" t="s">
        <v>80</v>
      </c>
      <c r="AG273" s="4">
        <v>96</v>
      </c>
      <c r="AH273" s="4" t="s">
        <v>81</v>
      </c>
      <c r="AI273" s="4">
        <v>125</v>
      </c>
      <c r="AJ273" t="s">
        <v>713</v>
      </c>
      <c r="AK273" t="s">
        <v>56</v>
      </c>
      <c r="AL273" t="s">
        <v>718</v>
      </c>
      <c r="AM273">
        <v>8</v>
      </c>
      <c r="AN273">
        <v>0</v>
      </c>
      <c r="AO273">
        <v>9</v>
      </c>
      <c r="AP273">
        <v>0</v>
      </c>
      <c r="AQ273" s="5">
        <v>27</v>
      </c>
      <c r="AR273">
        <v>15</v>
      </c>
      <c r="AS273">
        <v>0</v>
      </c>
      <c r="AT273">
        <v>16</v>
      </c>
      <c r="AU273">
        <v>0</v>
      </c>
      <c r="AV273" s="5">
        <v>33</v>
      </c>
      <c r="AW273" t="s">
        <v>56</v>
      </c>
      <c r="AX273" s="6">
        <v>221</v>
      </c>
      <c r="AY273" t="s">
        <v>713</v>
      </c>
      <c r="AZ273" t="s">
        <v>56</v>
      </c>
    </row>
    <row r="274" spans="1:52" hidden="1" x14ac:dyDescent="0.45">
      <c r="A274">
        <v>513035.25177036499</v>
      </c>
      <c r="B274">
        <v>6930518.5729739601</v>
      </c>
      <c r="C274">
        <v>273</v>
      </c>
      <c r="D274" t="s">
        <v>719</v>
      </c>
      <c r="E274" t="s">
        <v>161</v>
      </c>
      <c r="F274" t="s">
        <v>720</v>
      </c>
      <c r="G274" t="s">
        <v>713</v>
      </c>
      <c r="H274" s="3">
        <v>51</v>
      </c>
      <c r="I274">
        <v>2</v>
      </c>
      <c r="J274" t="s">
        <v>56</v>
      </c>
      <c r="K274">
        <v>27.6</v>
      </c>
      <c r="L274">
        <v>36.4</v>
      </c>
      <c r="M274">
        <v>1</v>
      </c>
      <c r="N274" t="s">
        <v>56</v>
      </c>
      <c r="O274" t="s">
        <v>713</v>
      </c>
      <c r="P274">
        <v>65.900000000000006</v>
      </c>
      <c r="Q274">
        <v>0.9</v>
      </c>
      <c r="R274">
        <v>26.7</v>
      </c>
      <c r="S274">
        <v>3.2</v>
      </c>
      <c r="T274">
        <v>0.9</v>
      </c>
      <c r="U274">
        <v>0</v>
      </c>
      <c r="V274">
        <v>0.8</v>
      </c>
      <c r="W274">
        <v>0.4</v>
      </c>
      <c r="X274">
        <v>0.2</v>
      </c>
      <c r="Y274">
        <v>0</v>
      </c>
      <c r="Z274">
        <v>0</v>
      </c>
      <c r="AA274">
        <v>0</v>
      </c>
      <c r="AB274">
        <v>1</v>
      </c>
      <c r="AC274" t="s">
        <v>713</v>
      </c>
      <c r="AD274">
        <v>50</v>
      </c>
      <c r="AE274" t="s">
        <v>713</v>
      </c>
      <c r="AF274" s="4" t="s">
        <v>80</v>
      </c>
      <c r="AG274" s="4">
        <v>24</v>
      </c>
      <c r="AH274" s="4" t="s">
        <v>81</v>
      </c>
      <c r="AI274" s="4">
        <v>27</v>
      </c>
      <c r="AJ274" t="s">
        <v>713</v>
      </c>
      <c r="AK274" t="s">
        <v>56</v>
      </c>
      <c r="AL274" t="s">
        <v>720</v>
      </c>
      <c r="AM274">
        <v>11</v>
      </c>
      <c r="AN274">
        <v>0</v>
      </c>
      <c r="AO274">
        <v>12</v>
      </c>
      <c r="AP274">
        <v>0</v>
      </c>
      <c r="AQ274" s="5">
        <v>7</v>
      </c>
      <c r="AR274">
        <v>16</v>
      </c>
      <c r="AS274">
        <v>0</v>
      </c>
      <c r="AT274">
        <v>17</v>
      </c>
      <c r="AU274">
        <v>0</v>
      </c>
      <c r="AV274" s="5">
        <v>8</v>
      </c>
      <c r="AW274" t="s">
        <v>56</v>
      </c>
      <c r="AX274" s="6">
        <v>50</v>
      </c>
      <c r="AY274" t="s">
        <v>713</v>
      </c>
      <c r="AZ274" t="s">
        <v>56</v>
      </c>
    </row>
    <row r="275" spans="1:52" hidden="1" x14ac:dyDescent="0.45">
      <c r="A275">
        <v>516467.28095284803</v>
      </c>
      <c r="B275">
        <v>6935791.0947165303</v>
      </c>
      <c r="C275">
        <v>274</v>
      </c>
      <c r="D275" t="s">
        <v>721</v>
      </c>
      <c r="E275" t="s">
        <v>640</v>
      </c>
      <c r="F275" t="s">
        <v>722</v>
      </c>
      <c r="G275" t="s">
        <v>723</v>
      </c>
      <c r="H275" s="3">
        <v>421</v>
      </c>
      <c r="I275">
        <v>2</v>
      </c>
      <c r="J275" t="s">
        <v>56</v>
      </c>
      <c r="K275">
        <v>44.3</v>
      </c>
      <c r="L275">
        <v>52.9</v>
      </c>
      <c r="M275">
        <v>1</v>
      </c>
      <c r="N275" t="s">
        <v>56</v>
      </c>
      <c r="O275" t="s">
        <v>723</v>
      </c>
      <c r="P275">
        <v>87.3</v>
      </c>
      <c r="Q275">
        <v>1.2</v>
      </c>
      <c r="R275">
        <v>10.7</v>
      </c>
      <c r="S275">
        <v>0.3</v>
      </c>
      <c r="T275">
        <v>0.1</v>
      </c>
      <c r="U275">
        <v>0</v>
      </c>
      <c r="V275">
        <v>0.2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0.2</v>
      </c>
      <c r="AC275" t="s">
        <v>723</v>
      </c>
      <c r="AD275">
        <v>50</v>
      </c>
      <c r="AE275" t="s">
        <v>723</v>
      </c>
      <c r="AF275" s="4" t="s">
        <v>80</v>
      </c>
      <c r="AG275" s="4">
        <v>212</v>
      </c>
      <c r="AH275" s="4" t="s">
        <v>81</v>
      </c>
      <c r="AI275" s="4">
        <v>209</v>
      </c>
      <c r="AJ275" t="s">
        <v>723</v>
      </c>
      <c r="AK275" t="s">
        <v>56</v>
      </c>
      <c r="AL275" t="s">
        <v>722</v>
      </c>
      <c r="AM275">
        <v>11</v>
      </c>
      <c r="AN275">
        <v>0</v>
      </c>
      <c r="AO275">
        <v>12</v>
      </c>
      <c r="AP275">
        <v>0</v>
      </c>
      <c r="AQ275" s="5">
        <v>40</v>
      </c>
      <c r="AR275">
        <v>16</v>
      </c>
      <c r="AS275">
        <v>0</v>
      </c>
      <c r="AT275">
        <v>17</v>
      </c>
      <c r="AU275">
        <v>0</v>
      </c>
      <c r="AV275" s="5">
        <v>41</v>
      </c>
      <c r="AW275" t="s">
        <v>56</v>
      </c>
      <c r="AX275" s="6">
        <v>418</v>
      </c>
      <c r="AY275" t="s">
        <v>723</v>
      </c>
      <c r="AZ275" t="s">
        <v>56</v>
      </c>
    </row>
    <row r="276" spans="1:52" hidden="1" x14ac:dyDescent="0.45">
      <c r="A276">
        <v>512501.78108298202</v>
      </c>
      <c r="B276">
        <v>6937580.1125111403</v>
      </c>
      <c r="C276">
        <v>275</v>
      </c>
      <c r="D276" t="s">
        <v>724</v>
      </c>
      <c r="E276" t="s">
        <v>112</v>
      </c>
      <c r="F276" t="s">
        <v>725</v>
      </c>
      <c r="G276" t="s">
        <v>723</v>
      </c>
      <c r="H276" s="3">
        <v>101</v>
      </c>
      <c r="I276">
        <v>2</v>
      </c>
      <c r="J276" t="s">
        <v>56</v>
      </c>
      <c r="K276">
        <v>34.4</v>
      </c>
      <c r="L276">
        <v>43.9</v>
      </c>
      <c r="M276">
        <v>1</v>
      </c>
      <c r="N276" t="s">
        <v>56</v>
      </c>
      <c r="O276" t="s">
        <v>723</v>
      </c>
      <c r="P276">
        <v>83.7</v>
      </c>
      <c r="Q276">
        <v>0.8</v>
      </c>
      <c r="R276">
        <v>14.4</v>
      </c>
      <c r="S276">
        <v>0.6</v>
      </c>
      <c r="T276">
        <v>0</v>
      </c>
      <c r="U276">
        <v>0</v>
      </c>
      <c r="V276">
        <v>0.4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0.1</v>
      </c>
      <c r="AC276" t="s">
        <v>723</v>
      </c>
      <c r="AD276">
        <v>50</v>
      </c>
      <c r="AE276" t="s">
        <v>723</v>
      </c>
      <c r="AF276" s="4" t="s">
        <v>57</v>
      </c>
      <c r="AG276" s="4">
        <v>43</v>
      </c>
      <c r="AH276" s="4" t="s">
        <v>58</v>
      </c>
      <c r="AI276" s="4">
        <v>58</v>
      </c>
      <c r="AJ276" t="s">
        <v>723</v>
      </c>
      <c r="AK276" t="s">
        <v>56</v>
      </c>
      <c r="AL276" t="s">
        <v>725</v>
      </c>
      <c r="AM276">
        <v>9</v>
      </c>
      <c r="AN276">
        <v>0</v>
      </c>
      <c r="AO276">
        <v>10</v>
      </c>
      <c r="AP276">
        <v>0</v>
      </c>
      <c r="AQ276" s="5">
        <v>11</v>
      </c>
      <c r="AR276">
        <v>16</v>
      </c>
      <c r="AS276">
        <v>0</v>
      </c>
      <c r="AT276">
        <v>17</v>
      </c>
      <c r="AU276">
        <v>0</v>
      </c>
      <c r="AV276" s="5">
        <v>16</v>
      </c>
      <c r="AW276" t="s">
        <v>56</v>
      </c>
      <c r="AX276" s="6">
        <v>101</v>
      </c>
      <c r="AY276" t="s">
        <v>723</v>
      </c>
      <c r="AZ276" t="s">
        <v>56</v>
      </c>
    </row>
    <row r="277" spans="1:52" hidden="1" x14ac:dyDescent="0.45">
      <c r="A277">
        <v>510694.88056282798</v>
      </c>
      <c r="B277">
        <v>6938321.2272460498</v>
      </c>
      <c r="C277">
        <v>276</v>
      </c>
      <c r="D277" t="s">
        <v>726</v>
      </c>
      <c r="E277" t="s">
        <v>452</v>
      </c>
      <c r="F277" t="s">
        <v>727</v>
      </c>
      <c r="G277" t="s">
        <v>159</v>
      </c>
      <c r="H277" s="3">
        <v>432</v>
      </c>
      <c r="I277">
        <v>2</v>
      </c>
      <c r="J277" t="s">
        <v>56</v>
      </c>
      <c r="K277">
        <v>49.6</v>
      </c>
      <c r="L277">
        <v>60.5</v>
      </c>
      <c r="M277">
        <v>1</v>
      </c>
      <c r="N277" t="s">
        <v>56</v>
      </c>
      <c r="O277" t="s">
        <v>159</v>
      </c>
      <c r="P277">
        <v>82.5</v>
      </c>
      <c r="Q277">
        <v>1.1000000000000001</v>
      </c>
      <c r="R277">
        <v>15.1</v>
      </c>
      <c r="S277">
        <v>0.3</v>
      </c>
      <c r="T277">
        <v>0.1</v>
      </c>
      <c r="U277">
        <v>0</v>
      </c>
      <c r="V277">
        <v>0.5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0.4</v>
      </c>
      <c r="AC277" t="s">
        <v>159</v>
      </c>
      <c r="AD277">
        <v>50</v>
      </c>
      <c r="AE277" t="s">
        <v>159</v>
      </c>
      <c r="AF277" s="4" t="s">
        <v>80</v>
      </c>
      <c r="AG277" s="4">
        <v>258</v>
      </c>
      <c r="AH277" s="4" t="s">
        <v>81</v>
      </c>
      <c r="AI277" s="4">
        <v>174</v>
      </c>
      <c r="AJ277" t="s">
        <v>159</v>
      </c>
      <c r="AK277" t="s">
        <v>56</v>
      </c>
      <c r="AL277" t="s">
        <v>727</v>
      </c>
      <c r="AM277">
        <v>8</v>
      </c>
      <c r="AN277">
        <v>0</v>
      </c>
      <c r="AO277">
        <v>9</v>
      </c>
      <c r="AP277">
        <v>0</v>
      </c>
      <c r="AQ277" s="5">
        <v>42</v>
      </c>
      <c r="AR277">
        <v>14</v>
      </c>
      <c r="AS277">
        <v>0</v>
      </c>
      <c r="AT277">
        <v>15</v>
      </c>
      <c r="AU277">
        <v>0</v>
      </c>
      <c r="AV277" s="5">
        <v>52</v>
      </c>
      <c r="AW277" t="s">
        <v>56</v>
      </c>
      <c r="AX277" s="6">
        <v>448</v>
      </c>
      <c r="AY277" t="s">
        <v>159</v>
      </c>
      <c r="AZ277" t="s">
        <v>56</v>
      </c>
    </row>
    <row r="278" spans="1:52" hidden="1" x14ac:dyDescent="0.45">
      <c r="A278">
        <v>510893.74813335802</v>
      </c>
      <c r="B278">
        <v>6938614.25936851</v>
      </c>
      <c r="C278">
        <v>277</v>
      </c>
      <c r="D278" t="s">
        <v>726</v>
      </c>
      <c r="E278" t="s">
        <v>452</v>
      </c>
      <c r="F278" t="s">
        <v>728</v>
      </c>
      <c r="G278" t="s">
        <v>159</v>
      </c>
      <c r="H278" s="3">
        <v>392</v>
      </c>
      <c r="I278">
        <v>2</v>
      </c>
      <c r="J278" t="s">
        <v>56</v>
      </c>
      <c r="K278">
        <v>49.4</v>
      </c>
      <c r="L278">
        <v>60.5</v>
      </c>
      <c r="M278">
        <v>1</v>
      </c>
      <c r="N278" t="s">
        <v>56</v>
      </c>
      <c r="O278" t="s">
        <v>159</v>
      </c>
      <c r="P278">
        <v>80.7</v>
      </c>
      <c r="Q278">
        <v>1.3</v>
      </c>
      <c r="R278">
        <v>16.2</v>
      </c>
      <c r="S278">
        <v>0.5</v>
      </c>
      <c r="T278">
        <v>0.5</v>
      </c>
      <c r="U278">
        <v>0</v>
      </c>
      <c r="V278">
        <v>0.5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0.3</v>
      </c>
      <c r="AC278" t="s">
        <v>159</v>
      </c>
      <c r="AD278">
        <v>50</v>
      </c>
      <c r="AE278" t="s">
        <v>159</v>
      </c>
      <c r="AF278" s="4" t="s">
        <v>57</v>
      </c>
      <c r="AG278" s="4">
        <v>239</v>
      </c>
      <c r="AH278" s="4" t="s">
        <v>58</v>
      </c>
      <c r="AI278" s="4">
        <v>153</v>
      </c>
      <c r="AJ278" t="s">
        <v>159</v>
      </c>
      <c r="AK278" t="s">
        <v>56</v>
      </c>
      <c r="AL278" t="s">
        <v>728</v>
      </c>
      <c r="AM278">
        <v>8</v>
      </c>
      <c r="AN278">
        <v>0</v>
      </c>
      <c r="AO278">
        <v>9</v>
      </c>
      <c r="AP278">
        <v>0</v>
      </c>
      <c r="AQ278" s="5">
        <v>39</v>
      </c>
      <c r="AR278">
        <v>14</v>
      </c>
      <c r="AS278">
        <v>0</v>
      </c>
      <c r="AT278">
        <v>15</v>
      </c>
      <c r="AU278">
        <v>0</v>
      </c>
      <c r="AV278" s="5">
        <v>47</v>
      </c>
      <c r="AW278" t="s">
        <v>56</v>
      </c>
      <c r="AX278" s="6">
        <v>398</v>
      </c>
      <c r="AY278" t="s">
        <v>159</v>
      </c>
      <c r="AZ278" t="s">
        <v>56</v>
      </c>
    </row>
    <row r="279" spans="1:52" hidden="1" x14ac:dyDescent="0.45">
      <c r="A279">
        <v>518806.91485962103</v>
      </c>
      <c r="B279">
        <v>6938240.7177137397</v>
      </c>
      <c r="C279">
        <v>278</v>
      </c>
      <c r="D279" t="s">
        <v>729</v>
      </c>
      <c r="E279" t="s">
        <v>538</v>
      </c>
      <c r="F279" t="s">
        <v>730</v>
      </c>
      <c r="G279" t="s">
        <v>731</v>
      </c>
      <c r="H279" s="3">
        <v>1675</v>
      </c>
      <c r="I279">
        <v>2</v>
      </c>
      <c r="J279" t="s">
        <v>56</v>
      </c>
      <c r="K279">
        <v>44.1</v>
      </c>
      <c r="L279">
        <v>54.7</v>
      </c>
      <c r="M279">
        <v>1</v>
      </c>
      <c r="N279" t="s">
        <v>56</v>
      </c>
      <c r="O279" t="s">
        <v>731</v>
      </c>
      <c r="P279">
        <v>74.5</v>
      </c>
      <c r="Q279">
        <v>0.9</v>
      </c>
      <c r="R279">
        <v>20.7</v>
      </c>
      <c r="S279">
        <v>1.8</v>
      </c>
      <c r="T279">
        <v>0.3</v>
      </c>
      <c r="U279">
        <v>0.1</v>
      </c>
      <c r="V279">
        <v>0.4</v>
      </c>
      <c r="W279">
        <v>0.1</v>
      </c>
      <c r="X279">
        <v>0.5</v>
      </c>
      <c r="Y279">
        <v>0.1</v>
      </c>
      <c r="Z279">
        <v>0.2</v>
      </c>
      <c r="AA279">
        <v>0</v>
      </c>
      <c r="AB279">
        <v>0.4</v>
      </c>
      <c r="AC279" t="s">
        <v>731</v>
      </c>
      <c r="AD279">
        <v>50</v>
      </c>
      <c r="AE279" t="s">
        <v>731</v>
      </c>
      <c r="AF279" s="4" t="s">
        <v>80</v>
      </c>
      <c r="AG279" s="4">
        <v>1132</v>
      </c>
      <c r="AH279" s="4" t="s">
        <v>81</v>
      </c>
      <c r="AI279" s="4">
        <v>543</v>
      </c>
      <c r="AJ279" t="s">
        <v>731</v>
      </c>
      <c r="AK279" t="s">
        <v>56</v>
      </c>
      <c r="AL279" t="s">
        <v>730</v>
      </c>
      <c r="AM279">
        <v>8</v>
      </c>
      <c r="AN279">
        <v>0</v>
      </c>
      <c r="AO279">
        <v>9</v>
      </c>
      <c r="AP279">
        <v>0</v>
      </c>
      <c r="AQ279" s="5">
        <v>384</v>
      </c>
      <c r="AR279">
        <v>15</v>
      </c>
      <c r="AS279">
        <v>0</v>
      </c>
      <c r="AT279">
        <v>16</v>
      </c>
      <c r="AU279">
        <v>0</v>
      </c>
      <c r="AV279" s="5">
        <v>209</v>
      </c>
      <c r="AW279" t="s">
        <v>56</v>
      </c>
      <c r="AX279" s="6">
        <v>2335</v>
      </c>
      <c r="AY279" t="s">
        <v>731</v>
      </c>
      <c r="AZ279" t="s">
        <v>56</v>
      </c>
    </row>
    <row r="280" spans="1:52" hidden="1" x14ac:dyDescent="0.45">
      <c r="A280">
        <v>503122.74603380298</v>
      </c>
      <c r="B280">
        <v>6921477.7814592998</v>
      </c>
      <c r="C280">
        <v>279</v>
      </c>
      <c r="D280" t="s">
        <v>732</v>
      </c>
      <c r="E280" t="s">
        <v>331</v>
      </c>
      <c r="F280" t="s">
        <v>733</v>
      </c>
      <c r="G280" t="s">
        <v>734</v>
      </c>
      <c r="H280" s="3">
        <v>984</v>
      </c>
      <c r="I280">
        <v>2</v>
      </c>
      <c r="J280" t="s">
        <v>56</v>
      </c>
      <c r="K280">
        <v>43.2</v>
      </c>
      <c r="L280">
        <v>51.8</v>
      </c>
      <c r="M280">
        <v>1</v>
      </c>
      <c r="N280" t="s">
        <v>56</v>
      </c>
      <c r="O280" t="s">
        <v>734</v>
      </c>
      <c r="P280">
        <v>81.400000000000006</v>
      </c>
      <c r="Q280">
        <v>1</v>
      </c>
      <c r="R280">
        <v>15.5</v>
      </c>
      <c r="S280">
        <v>0.9</v>
      </c>
      <c r="T280">
        <v>0.4</v>
      </c>
      <c r="U280">
        <v>0</v>
      </c>
      <c r="V280">
        <v>0.2</v>
      </c>
      <c r="W280">
        <v>0</v>
      </c>
      <c r="X280">
        <v>0.1</v>
      </c>
      <c r="Y280">
        <v>0.2</v>
      </c>
      <c r="Z280">
        <v>0</v>
      </c>
      <c r="AA280">
        <v>0</v>
      </c>
      <c r="AB280">
        <v>0.3</v>
      </c>
      <c r="AC280" t="s">
        <v>734</v>
      </c>
      <c r="AD280">
        <v>50</v>
      </c>
      <c r="AE280" t="s">
        <v>734</v>
      </c>
      <c r="AF280" s="4" t="s">
        <v>80</v>
      </c>
      <c r="AG280" s="4">
        <v>572</v>
      </c>
      <c r="AH280" s="4" t="s">
        <v>81</v>
      </c>
      <c r="AI280" s="4">
        <v>412</v>
      </c>
      <c r="AJ280" t="s">
        <v>734</v>
      </c>
      <c r="AK280" t="s">
        <v>56</v>
      </c>
      <c r="AL280" t="s">
        <v>733</v>
      </c>
      <c r="AM280">
        <v>8</v>
      </c>
      <c r="AN280">
        <v>0</v>
      </c>
      <c r="AO280">
        <v>9</v>
      </c>
      <c r="AP280">
        <v>0</v>
      </c>
      <c r="AQ280" s="5">
        <v>177</v>
      </c>
      <c r="AR280">
        <v>15</v>
      </c>
      <c r="AS280">
        <v>0</v>
      </c>
      <c r="AT280">
        <v>16</v>
      </c>
      <c r="AU280">
        <v>0</v>
      </c>
      <c r="AV280" s="5">
        <v>203</v>
      </c>
      <c r="AW280" t="s">
        <v>56</v>
      </c>
      <c r="AX280" s="6">
        <v>1223</v>
      </c>
      <c r="AY280" t="s">
        <v>734</v>
      </c>
      <c r="AZ280" t="s">
        <v>56</v>
      </c>
    </row>
    <row r="281" spans="1:52" hidden="1" x14ac:dyDescent="0.45">
      <c r="A281">
        <v>506732.03388686897</v>
      </c>
      <c r="B281">
        <v>6941322.4948262097</v>
      </c>
      <c r="C281">
        <v>280</v>
      </c>
      <c r="D281" t="s">
        <v>735</v>
      </c>
      <c r="E281" t="s">
        <v>358</v>
      </c>
      <c r="F281" t="s">
        <v>736</v>
      </c>
      <c r="G281" t="s">
        <v>737</v>
      </c>
      <c r="H281" s="3">
        <v>2575</v>
      </c>
      <c r="I281">
        <v>2</v>
      </c>
      <c r="J281" t="s">
        <v>56</v>
      </c>
      <c r="K281">
        <v>46.8</v>
      </c>
      <c r="L281">
        <v>51.5</v>
      </c>
      <c r="M281">
        <v>1</v>
      </c>
      <c r="N281" t="s">
        <v>56</v>
      </c>
      <c r="O281" t="s">
        <v>737</v>
      </c>
      <c r="P281">
        <v>82.8</v>
      </c>
      <c r="Q281">
        <v>2.2000000000000002</v>
      </c>
      <c r="R281">
        <v>9.6</v>
      </c>
      <c r="S281">
        <v>2.8</v>
      </c>
      <c r="T281">
        <v>0.3</v>
      </c>
      <c r="U281">
        <v>0.1</v>
      </c>
      <c r="V281">
        <v>0.2</v>
      </c>
      <c r="W281">
        <v>0.1</v>
      </c>
      <c r="X281">
        <v>0</v>
      </c>
      <c r="Y281">
        <v>0</v>
      </c>
      <c r="Z281">
        <v>0</v>
      </c>
      <c r="AA281">
        <v>0</v>
      </c>
      <c r="AB281">
        <v>1.9</v>
      </c>
      <c r="AC281" t="s">
        <v>737</v>
      </c>
      <c r="AD281">
        <v>50</v>
      </c>
      <c r="AE281" t="s">
        <v>737</v>
      </c>
      <c r="AF281" s="4" t="s">
        <v>57</v>
      </c>
      <c r="AG281" s="4">
        <v>1532</v>
      </c>
      <c r="AH281" s="4" t="s">
        <v>58</v>
      </c>
      <c r="AI281" s="4">
        <v>1043</v>
      </c>
      <c r="AJ281" t="s">
        <v>737</v>
      </c>
      <c r="AK281" t="s">
        <v>56</v>
      </c>
      <c r="AL281" t="s">
        <v>736</v>
      </c>
      <c r="AM281">
        <v>7</v>
      </c>
      <c r="AN281">
        <v>0</v>
      </c>
      <c r="AO281">
        <v>8</v>
      </c>
      <c r="AP281">
        <v>0</v>
      </c>
      <c r="AQ281" s="5">
        <v>286</v>
      </c>
      <c r="AR281">
        <v>17</v>
      </c>
      <c r="AS281">
        <v>0</v>
      </c>
      <c r="AT281">
        <v>18</v>
      </c>
      <c r="AU281">
        <v>0</v>
      </c>
      <c r="AV281" s="5">
        <v>264</v>
      </c>
      <c r="AW281" t="s">
        <v>56</v>
      </c>
      <c r="AX281" s="6">
        <v>2742</v>
      </c>
      <c r="AY281" t="s">
        <v>737</v>
      </c>
      <c r="AZ281" t="s">
        <v>56</v>
      </c>
    </row>
    <row r="282" spans="1:52" hidden="1" x14ac:dyDescent="0.45">
      <c r="A282">
        <v>503261.41952438798</v>
      </c>
      <c r="B282">
        <v>6921188.62873758</v>
      </c>
      <c r="C282">
        <v>281</v>
      </c>
      <c r="D282" t="s">
        <v>738</v>
      </c>
      <c r="E282" t="s">
        <v>331</v>
      </c>
      <c r="F282" t="s">
        <v>739</v>
      </c>
      <c r="G282" t="s">
        <v>734</v>
      </c>
      <c r="H282" s="3">
        <v>2531</v>
      </c>
      <c r="I282">
        <v>2</v>
      </c>
      <c r="J282" t="s">
        <v>56</v>
      </c>
      <c r="K282">
        <v>53</v>
      </c>
      <c r="L282">
        <v>60.8</v>
      </c>
      <c r="M282">
        <v>1</v>
      </c>
      <c r="N282" t="s">
        <v>56</v>
      </c>
      <c r="O282" t="s">
        <v>734</v>
      </c>
      <c r="P282">
        <v>76.2</v>
      </c>
      <c r="Q282">
        <v>0.7</v>
      </c>
      <c r="R282">
        <v>21.7</v>
      </c>
      <c r="S282">
        <v>0.4</v>
      </c>
      <c r="T282">
        <v>0.1</v>
      </c>
      <c r="U282">
        <v>0</v>
      </c>
      <c r="V282">
        <v>0.5</v>
      </c>
      <c r="W282">
        <v>0</v>
      </c>
      <c r="X282">
        <v>0.1</v>
      </c>
      <c r="Y282">
        <v>0.1</v>
      </c>
      <c r="Z282">
        <v>0</v>
      </c>
      <c r="AA282">
        <v>0</v>
      </c>
      <c r="AB282">
        <v>0.2</v>
      </c>
      <c r="AC282" t="s">
        <v>734</v>
      </c>
      <c r="AD282">
        <v>50</v>
      </c>
      <c r="AE282" t="s">
        <v>734</v>
      </c>
      <c r="AF282" s="4" t="s">
        <v>57</v>
      </c>
      <c r="AG282" s="4">
        <v>1226</v>
      </c>
      <c r="AH282" s="4" t="s">
        <v>58</v>
      </c>
      <c r="AI282" s="4">
        <v>1305</v>
      </c>
      <c r="AJ282" t="s">
        <v>734</v>
      </c>
      <c r="AK282" t="s">
        <v>56</v>
      </c>
      <c r="AL282" t="s">
        <v>739</v>
      </c>
      <c r="AM282">
        <v>8</v>
      </c>
      <c r="AN282">
        <v>0</v>
      </c>
      <c r="AO282">
        <v>9</v>
      </c>
      <c r="AP282">
        <v>0</v>
      </c>
      <c r="AQ282" s="5">
        <v>580</v>
      </c>
      <c r="AR282">
        <v>15</v>
      </c>
      <c r="AS282">
        <v>0</v>
      </c>
      <c r="AT282">
        <v>16</v>
      </c>
      <c r="AU282">
        <v>0</v>
      </c>
      <c r="AV282" s="5">
        <v>456</v>
      </c>
      <c r="AW282" t="s">
        <v>56</v>
      </c>
      <c r="AX282" s="6">
        <v>3153</v>
      </c>
      <c r="AY282" t="s">
        <v>734</v>
      </c>
      <c r="AZ282" t="s">
        <v>56</v>
      </c>
    </row>
    <row r="283" spans="1:52" hidden="1" x14ac:dyDescent="0.45">
      <c r="A283">
        <v>515161.71096003399</v>
      </c>
      <c r="B283">
        <v>6942030.8225890398</v>
      </c>
      <c r="C283">
        <v>282</v>
      </c>
      <c r="D283" t="s">
        <v>740</v>
      </c>
      <c r="E283" t="s">
        <v>86</v>
      </c>
      <c r="F283" t="s">
        <v>741</v>
      </c>
      <c r="G283" t="s">
        <v>737</v>
      </c>
      <c r="H283" s="3">
        <v>9666</v>
      </c>
      <c r="I283">
        <v>2</v>
      </c>
      <c r="J283" t="s">
        <v>56</v>
      </c>
      <c r="K283">
        <v>54.6</v>
      </c>
      <c r="L283">
        <v>60.8</v>
      </c>
      <c r="M283">
        <v>1</v>
      </c>
      <c r="N283" t="s">
        <v>56</v>
      </c>
      <c r="O283" t="s">
        <v>737</v>
      </c>
      <c r="P283">
        <v>86.8</v>
      </c>
      <c r="Q283">
        <v>0.8</v>
      </c>
      <c r="R283">
        <v>11.2</v>
      </c>
      <c r="S283">
        <v>0.8</v>
      </c>
      <c r="T283">
        <v>0.1</v>
      </c>
      <c r="U283">
        <v>0</v>
      </c>
      <c r="V283">
        <v>0.2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0.1</v>
      </c>
      <c r="AC283" t="s">
        <v>737</v>
      </c>
      <c r="AD283">
        <v>60</v>
      </c>
      <c r="AE283" t="s">
        <v>737</v>
      </c>
      <c r="AF283" s="4" t="s">
        <v>80</v>
      </c>
      <c r="AG283" s="4">
        <v>4985</v>
      </c>
      <c r="AH283" s="4" t="s">
        <v>81</v>
      </c>
      <c r="AI283" s="4">
        <v>4681</v>
      </c>
      <c r="AJ283" t="s">
        <v>737</v>
      </c>
      <c r="AK283" t="s">
        <v>56</v>
      </c>
      <c r="AL283" t="s">
        <v>741</v>
      </c>
      <c r="AM283">
        <v>8</v>
      </c>
      <c r="AN283">
        <v>0</v>
      </c>
      <c r="AO283">
        <v>9</v>
      </c>
      <c r="AP283">
        <v>0</v>
      </c>
      <c r="AQ283" s="5">
        <v>807</v>
      </c>
      <c r="AR283">
        <v>15</v>
      </c>
      <c r="AS283">
        <v>0</v>
      </c>
      <c r="AT283">
        <v>16</v>
      </c>
      <c r="AU283">
        <v>0</v>
      </c>
      <c r="AV283" s="5">
        <v>1019</v>
      </c>
      <c r="AW283" t="s">
        <v>56</v>
      </c>
      <c r="AX283" s="6">
        <v>10157</v>
      </c>
      <c r="AY283" t="s">
        <v>737</v>
      </c>
      <c r="AZ283" t="s">
        <v>56</v>
      </c>
    </row>
    <row r="284" spans="1:52" hidden="1" x14ac:dyDescent="0.45">
      <c r="A284">
        <v>520907.10170727398</v>
      </c>
      <c r="B284">
        <v>6933166.4090213096</v>
      </c>
      <c r="C284">
        <v>283</v>
      </c>
      <c r="D284" t="s">
        <v>742</v>
      </c>
      <c r="E284" t="s">
        <v>743</v>
      </c>
      <c r="F284" t="s">
        <v>744</v>
      </c>
      <c r="G284" t="s">
        <v>731</v>
      </c>
      <c r="H284" s="3">
        <v>4696</v>
      </c>
      <c r="I284">
        <v>1</v>
      </c>
      <c r="J284" t="s">
        <v>56</v>
      </c>
      <c r="K284">
        <v>49.1</v>
      </c>
      <c r="L284">
        <v>55.1</v>
      </c>
      <c r="M284">
        <v>1</v>
      </c>
      <c r="N284" t="s">
        <v>56</v>
      </c>
      <c r="O284" t="s">
        <v>731</v>
      </c>
      <c r="P284">
        <v>86.4</v>
      </c>
      <c r="Q284">
        <v>1</v>
      </c>
      <c r="R284">
        <v>10.8</v>
      </c>
      <c r="S284">
        <v>0.6</v>
      </c>
      <c r="T284">
        <v>0.1</v>
      </c>
      <c r="U284">
        <v>0</v>
      </c>
      <c r="V284">
        <v>0.2</v>
      </c>
      <c r="W284">
        <v>0</v>
      </c>
      <c r="X284">
        <v>0</v>
      </c>
      <c r="Y284">
        <v>0.1</v>
      </c>
      <c r="Z284">
        <v>0</v>
      </c>
      <c r="AA284">
        <v>0</v>
      </c>
      <c r="AB284">
        <v>0.8</v>
      </c>
      <c r="AC284" t="s">
        <v>731</v>
      </c>
      <c r="AD284">
        <v>60</v>
      </c>
      <c r="AE284" t="s">
        <v>731</v>
      </c>
      <c r="AH284" s="4" t="s">
        <v>81</v>
      </c>
      <c r="AI284" s="4">
        <v>4696</v>
      </c>
      <c r="AJ284" t="s">
        <v>731</v>
      </c>
      <c r="AK284" t="s">
        <v>56</v>
      </c>
      <c r="AL284" t="s">
        <v>744</v>
      </c>
      <c r="AM284">
        <v>8</v>
      </c>
      <c r="AN284">
        <v>0</v>
      </c>
      <c r="AO284">
        <v>9</v>
      </c>
      <c r="AP284">
        <v>0</v>
      </c>
      <c r="AQ284" s="5">
        <v>887</v>
      </c>
      <c r="AR284">
        <v>16</v>
      </c>
      <c r="AS284">
        <v>0</v>
      </c>
      <c r="AT284">
        <v>17</v>
      </c>
      <c r="AU284">
        <v>0</v>
      </c>
      <c r="AV284" s="5">
        <v>927</v>
      </c>
      <c r="AW284" t="s">
        <v>56</v>
      </c>
      <c r="AX284" s="6">
        <v>10042</v>
      </c>
      <c r="AY284" t="s">
        <v>731</v>
      </c>
      <c r="AZ284" t="s">
        <v>56</v>
      </c>
    </row>
    <row r="285" spans="1:52" hidden="1" x14ac:dyDescent="0.45">
      <c r="A285">
        <v>520907.10170727398</v>
      </c>
      <c r="B285">
        <v>6933166.4090213096</v>
      </c>
      <c r="C285">
        <v>284</v>
      </c>
      <c r="D285" t="s">
        <v>742</v>
      </c>
      <c r="E285" t="s">
        <v>743</v>
      </c>
      <c r="F285" t="s">
        <v>744</v>
      </c>
      <c r="G285" t="s">
        <v>731</v>
      </c>
      <c r="H285" s="3">
        <v>4310</v>
      </c>
      <c r="I285">
        <v>1</v>
      </c>
      <c r="J285" t="s">
        <v>56</v>
      </c>
      <c r="K285">
        <v>49.1</v>
      </c>
      <c r="L285">
        <v>55.1</v>
      </c>
      <c r="M285">
        <v>1</v>
      </c>
      <c r="N285" t="s">
        <v>56</v>
      </c>
      <c r="O285" t="s">
        <v>731</v>
      </c>
      <c r="P285">
        <v>86.4</v>
      </c>
      <c r="Q285">
        <v>1</v>
      </c>
      <c r="R285">
        <v>10.8</v>
      </c>
      <c r="S285">
        <v>0.6</v>
      </c>
      <c r="T285">
        <v>0.1</v>
      </c>
      <c r="U285">
        <v>0</v>
      </c>
      <c r="V285">
        <v>0.2</v>
      </c>
      <c r="W285">
        <v>0</v>
      </c>
      <c r="X285">
        <v>0</v>
      </c>
      <c r="Y285">
        <v>0.1</v>
      </c>
      <c r="Z285">
        <v>0</v>
      </c>
      <c r="AA285">
        <v>0</v>
      </c>
      <c r="AB285">
        <v>0.8</v>
      </c>
      <c r="AC285" t="s">
        <v>731</v>
      </c>
      <c r="AD285">
        <v>60</v>
      </c>
      <c r="AE285" t="s">
        <v>731</v>
      </c>
      <c r="AF285" s="4" t="s">
        <v>80</v>
      </c>
      <c r="AG285" s="4">
        <v>4310</v>
      </c>
      <c r="AJ285" t="s">
        <v>731</v>
      </c>
      <c r="AK285" t="s">
        <v>56</v>
      </c>
      <c r="AL285" t="s">
        <v>744</v>
      </c>
      <c r="AM285">
        <v>8</v>
      </c>
      <c r="AN285">
        <v>0</v>
      </c>
      <c r="AO285">
        <v>9</v>
      </c>
      <c r="AP285">
        <v>0</v>
      </c>
      <c r="AQ285" s="5">
        <v>887</v>
      </c>
      <c r="AR285">
        <v>16</v>
      </c>
      <c r="AS285">
        <v>0</v>
      </c>
      <c r="AT285">
        <v>17</v>
      </c>
      <c r="AU285">
        <v>0</v>
      </c>
      <c r="AV285" s="5">
        <v>927</v>
      </c>
      <c r="AW285" t="s">
        <v>56</v>
      </c>
      <c r="AX285" s="6">
        <v>10042</v>
      </c>
      <c r="AY285" t="s">
        <v>731</v>
      </c>
      <c r="AZ285" t="s">
        <v>56</v>
      </c>
    </row>
    <row r="286" spans="1:52" hidden="1" x14ac:dyDescent="0.45">
      <c r="A286">
        <v>516061.23266803799</v>
      </c>
      <c r="B286">
        <v>6942629.3776158802</v>
      </c>
      <c r="C286">
        <v>285</v>
      </c>
      <c r="D286" t="s">
        <v>745</v>
      </c>
      <c r="E286" t="s">
        <v>746</v>
      </c>
      <c r="F286" t="s">
        <v>747</v>
      </c>
      <c r="G286" t="s">
        <v>737</v>
      </c>
      <c r="H286" s="3">
        <v>790</v>
      </c>
      <c r="I286">
        <v>2</v>
      </c>
      <c r="J286" t="s">
        <v>56</v>
      </c>
      <c r="K286">
        <v>96.8</v>
      </c>
      <c r="L286">
        <v>113.4</v>
      </c>
      <c r="M286">
        <v>1</v>
      </c>
      <c r="N286" t="s">
        <v>56</v>
      </c>
      <c r="O286" t="s">
        <v>737</v>
      </c>
      <c r="P286">
        <v>14.5</v>
      </c>
      <c r="Q286">
        <v>0</v>
      </c>
      <c r="R286">
        <v>75.7</v>
      </c>
      <c r="S286">
        <v>4.2</v>
      </c>
      <c r="T286">
        <v>3.1</v>
      </c>
      <c r="U286">
        <v>0.5</v>
      </c>
      <c r="V286">
        <v>0.6</v>
      </c>
      <c r="W286">
        <v>0.2</v>
      </c>
      <c r="X286">
        <v>0</v>
      </c>
      <c r="Y286">
        <v>0.1</v>
      </c>
      <c r="Z286">
        <v>0.1</v>
      </c>
      <c r="AA286">
        <v>0</v>
      </c>
      <c r="AB286">
        <v>1</v>
      </c>
      <c r="AC286" t="s">
        <v>737</v>
      </c>
      <c r="AD286">
        <v>50</v>
      </c>
      <c r="AE286" t="s">
        <v>737</v>
      </c>
      <c r="AF286" s="4" t="s">
        <v>80</v>
      </c>
      <c r="AG286" s="4">
        <v>396</v>
      </c>
      <c r="AH286" s="4" t="s">
        <v>81</v>
      </c>
      <c r="AI286" s="4">
        <v>394</v>
      </c>
      <c r="AJ286" t="s">
        <v>737</v>
      </c>
      <c r="AK286" t="s">
        <v>56</v>
      </c>
      <c r="AL286" t="s">
        <v>747</v>
      </c>
      <c r="AM286">
        <v>8</v>
      </c>
      <c r="AN286">
        <v>0</v>
      </c>
      <c r="AO286">
        <v>9</v>
      </c>
      <c r="AP286">
        <v>0</v>
      </c>
      <c r="AQ286" s="5">
        <v>56</v>
      </c>
      <c r="AR286">
        <v>17</v>
      </c>
      <c r="AS286">
        <v>0</v>
      </c>
      <c r="AT286">
        <v>18</v>
      </c>
      <c r="AU286">
        <v>0</v>
      </c>
      <c r="AV286" s="5">
        <v>94</v>
      </c>
      <c r="AW286" t="s">
        <v>56</v>
      </c>
      <c r="AX286" s="6">
        <v>785</v>
      </c>
      <c r="AY286" t="s">
        <v>737</v>
      </c>
      <c r="AZ286" t="s">
        <v>56</v>
      </c>
    </row>
    <row r="287" spans="1:52" hidden="1" x14ac:dyDescent="0.45">
      <c r="A287">
        <v>496299.97786153801</v>
      </c>
      <c r="B287">
        <v>6923778.13695483</v>
      </c>
      <c r="C287">
        <v>286</v>
      </c>
      <c r="D287" t="s">
        <v>748</v>
      </c>
      <c r="E287" t="s">
        <v>331</v>
      </c>
      <c r="F287" t="s">
        <v>749</v>
      </c>
      <c r="G287" t="s">
        <v>734</v>
      </c>
      <c r="H287" s="3">
        <v>2416</v>
      </c>
      <c r="I287">
        <v>2</v>
      </c>
      <c r="J287" t="s">
        <v>56</v>
      </c>
      <c r="K287">
        <v>57</v>
      </c>
      <c r="L287">
        <v>63.7</v>
      </c>
      <c r="M287">
        <v>1</v>
      </c>
      <c r="N287" t="s">
        <v>56</v>
      </c>
      <c r="O287" t="s">
        <v>734</v>
      </c>
      <c r="P287">
        <v>79</v>
      </c>
      <c r="Q287">
        <v>1.3</v>
      </c>
      <c r="R287">
        <v>18.2</v>
      </c>
      <c r="S287">
        <v>0.4</v>
      </c>
      <c r="T287">
        <v>0.1</v>
      </c>
      <c r="U287">
        <v>0</v>
      </c>
      <c r="V287">
        <v>0.6</v>
      </c>
      <c r="W287">
        <v>0</v>
      </c>
      <c r="X287">
        <v>0.1</v>
      </c>
      <c r="Y287">
        <v>0</v>
      </c>
      <c r="Z287">
        <v>0</v>
      </c>
      <c r="AA287">
        <v>0</v>
      </c>
      <c r="AB287">
        <v>0.3</v>
      </c>
      <c r="AC287" t="s">
        <v>734</v>
      </c>
      <c r="AD287">
        <v>60</v>
      </c>
      <c r="AE287" t="s">
        <v>734</v>
      </c>
      <c r="AF287" s="4" t="s">
        <v>80</v>
      </c>
      <c r="AG287" s="4">
        <v>1173</v>
      </c>
      <c r="AH287" s="4" t="s">
        <v>81</v>
      </c>
      <c r="AI287" s="4">
        <v>1243</v>
      </c>
      <c r="AJ287" t="s">
        <v>734</v>
      </c>
      <c r="AK287" t="s">
        <v>56</v>
      </c>
      <c r="AL287" t="s">
        <v>749</v>
      </c>
      <c r="AM287">
        <v>8</v>
      </c>
      <c r="AN287">
        <v>0</v>
      </c>
      <c r="AO287">
        <v>9</v>
      </c>
      <c r="AP287">
        <v>0</v>
      </c>
      <c r="AQ287" s="5">
        <v>243</v>
      </c>
      <c r="AR287">
        <v>15</v>
      </c>
      <c r="AS287">
        <v>0</v>
      </c>
      <c r="AT287">
        <v>16</v>
      </c>
      <c r="AU287">
        <v>0</v>
      </c>
      <c r="AV287" s="5">
        <v>280</v>
      </c>
      <c r="AW287" t="s">
        <v>56</v>
      </c>
      <c r="AX287" s="6">
        <v>2671</v>
      </c>
      <c r="AY287" t="s">
        <v>734</v>
      </c>
      <c r="AZ287" t="s">
        <v>56</v>
      </c>
    </row>
    <row r="288" spans="1:52" hidden="1" x14ac:dyDescent="0.45">
      <c r="A288">
        <v>498503.82811035402</v>
      </c>
      <c r="B288">
        <v>6917816.7229228802</v>
      </c>
      <c r="C288">
        <v>287</v>
      </c>
      <c r="D288" t="s">
        <v>750</v>
      </c>
      <c r="E288" t="s">
        <v>751</v>
      </c>
      <c r="F288" t="s">
        <v>752</v>
      </c>
      <c r="G288" t="s">
        <v>734</v>
      </c>
      <c r="H288" s="3">
        <v>518</v>
      </c>
      <c r="I288">
        <v>2</v>
      </c>
      <c r="J288" t="s">
        <v>56</v>
      </c>
      <c r="K288">
        <v>53.4</v>
      </c>
      <c r="L288">
        <v>60.5</v>
      </c>
      <c r="M288">
        <v>1</v>
      </c>
      <c r="N288" t="s">
        <v>56</v>
      </c>
      <c r="O288" t="s">
        <v>734</v>
      </c>
      <c r="P288">
        <v>74.400000000000006</v>
      </c>
      <c r="Q288">
        <v>2.1</v>
      </c>
      <c r="R288">
        <v>21.9</v>
      </c>
      <c r="S288">
        <v>0.3</v>
      </c>
      <c r="T288">
        <v>0</v>
      </c>
      <c r="U288">
        <v>0</v>
      </c>
      <c r="V288">
        <v>1.1000000000000001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0.2</v>
      </c>
      <c r="AC288" t="s">
        <v>734</v>
      </c>
      <c r="AD288">
        <v>60</v>
      </c>
      <c r="AE288" t="s">
        <v>734</v>
      </c>
      <c r="AF288" s="4" t="s">
        <v>80</v>
      </c>
      <c r="AG288" s="4">
        <v>260</v>
      </c>
      <c r="AH288" s="4" t="s">
        <v>81</v>
      </c>
      <c r="AI288" s="4">
        <v>258</v>
      </c>
      <c r="AJ288" t="s">
        <v>734</v>
      </c>
      <c r="AK288" t="s">
        <v>56</v>
      </c>
      <c r="AL288" t="s">
        <v>752</v>
      </c>
      <c r="AM288">
        <v>8</v>
      </c>
      <c r="AN288">
        <v>0</v>
      </c>
      <c r="AO288">
        <v>9</v>
      </c>
      <c r="AP288">
        <v>0</v>
      </c>
      <c r="AQ288" s="5">
        <v>46</v>
      </c>
      <c r="AR288">
        <v>17</v>
      </c>
      <c r="AS288">
        <v>0</v>
      </c>
      <c r="AT288">
        <v>18</v>
      </c>
      <c r="AU288">
        <v>0</v>
      </c>
      <c r="AV288" s="5">
        <v>55</v>
      </c>
      <c r="AW288" t="s">
        <v>56</v>
      </c>
      <c r="AX288" s="6">
        <v>553</v>
      </c>
      <c r="AY288" t="s">
        <v>734</v>
      </c>
      <c r="AZ288" t="s">
        <v>56</v>
      </c>
    </row>
    <row r="289" spans="1:52" hidden="1" x14ac:dyDescent="0.45">
      <c r="A289">
        <v>511393.200556745</v>
      </c>
      <c r="B289">
        <v>6946598.1839640904</v>
      </c>
      <c r="C289">
        <v>288</v>
      </c>
      <c r="D289" t="s">
        <v>753</v>
      </c>
      <c r="E289" t="s">
        <v>526</v>
      </c>
      <c r="F289" t="s">
        <v>754</v>
      </c>
      <c r="G289" t="s">
        <v>737</v>
      </c>
      <c r="H289" s="3">
        <v>690</v>
      </c>
      <c r="I289">
        <v>2</v>
      </c>
      <c r="J289" t="s">
        <v>56</v>
      </c>
      <c r="K289">
        <v>41.1</v>
      </c>
      <c r="L289">
        <v>49</v>
      </c>
      <c r="M289">
        <v>1</v>
      </c>
      <c r="N289" t="s">
        <v>56</v>
      </c>
      <c r="O289" t="s">
        <v>737</v>
      </c>
      <c r="P289">
        <v>85</v>
      </c>
      <c r="Q289">
        <v>0.6</v>
      </c>
      <c r="R289">
        <v>13.6</v>
      </c>
      <c r="S289">
        <v>0.5</v>
      </c>
      <c r="T289">
        <v>0</v>
      </c>
      <c r="U289">
        <v>0</v>
      </c>
      <c r="V289">
        <v>0.1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0.2</v>
      </c>
      <c r="AC289" t="s">
        <v>737</v>
      </c>
      <c r="AD289">
        <v>50</v>
      </c>
      <c r="AE289" t="s">
        <v>737</v>
      </c>
      <c r="AF289" s="4" t="s">
        <v>57</v>
      </c>
      <c r="AG289" s="4">
        <v>398</v>
      </c>
      <c r="AH289" s="4" t="s">
        <v>58</v>
      </c>
      <c r="AI289" s="4">
        <v>292</v>
      </c>
      <c r="AJ289" t="s">
        <v>737</v>
      </c>
      <c r="AK289" t="s">
        <v>56</v>
      </c>
      <c r="AL289" t="s">
        <v>754</v>
      </c>
      <c r="AM289">
        <v>7</v>
      </c>
      <c r="AN289">
        <v>0</v>
      </c>
      <c r="AO289">
        <v>8</v>
      </c>
      <c r="AP289">
        <v>0</v>
      </c>
      <c r="AQ289" s="5">
        <v>68</v>
      </c>
      <c r="AR289">
        <v>16</v>
      </c>
      <c r="AS289">
        <v>0</v>
      </c>
      <c r="AT289">
        <v>17</v>
      </c>
      <c r="AU289">
        <v>0</v>
      </c>
      <c r="AV289" s="5">
        <v>77</v>
      </c>
      <c r="AW289" t="s">
        <v>56</v>
      </c>
      <c r="AX289" s="6">
        <v>719</v>
      </c>
      <c r="AY289" t="s">
        <v>737</v>
      </c>
      <c r="AZ289" t="s">
        <v>56</v>
      </c>
    </row>
    <row r="290" spans="1:52" hidden="1" x14ac:dyDescent="0.45">
      <c r="A290">
        <v>512248.14139509801</v>
      </c>
      <c r="B290">
        <v>6940200.8601209903</v>
      </c>
      <c r="C290">
        <v>289</v>
      </c>
      <c r="D290" t="s">
        <v>755</v>
      </c>
      <c r="E290" t="s">
        <v>112</v>
      </c>
      <c r="F290" t="s">
        <v>756</v>
      </c>
      <c r="G290" t="s">
        <v>731</v>
      </c>
      <c r="H290" s="3">
        <v>8511</v>
      </c>
      <c r="I290">
        <v>2</v>
      </c>
      <c r="J290" t="s">
        <v>56</v>
      </c>
      <c r="K290">
        <v>52.8</v>
      </c>
      <c r="L290">
        <v>59</v>
      </c>
      <c r="M290">
        <v>1</v>
      </c>
      <c r="N290" t="s">
        <v>56</v>
      </c>
      <c r="O290" t="s">
        <v>731</v>
      </c>
      <c r="P290">
        <v>75.3</v>
      </c>
      <c r="Q290">
        <v>1</v>
      </c>
      <c r="R290">
        <v>19.3</v>
      </c>
      <c r="S290">
        <v>1.3</v>
      </c>
      <c r="T290">
        <v>0.4</v>
      </c>
      <c r="U290">
        <v>0</v>
      </c>
      <c r="V290">
        <v>0.7</v>
      </c>
      <c r="W290">
        <v>0.3</v>
      </c>
      <c r="X290">
        <v>0.8</v>
      </c>
      <c r="Y290">
        <v>0.3</v>
      </c>
      <c r="Z290">
        <v>0.4</v>
      </c>
      <c r="AA290">
        <v>0</v>
      </c>
      <c r="AB290">
        <v>0.2</v>
      </c>
      <c r="AC290" t="s">
        <v>731</v>
      </c>
      <c r="AD290">
        <v>60</v>
      </c>
      <c r="AE290" t="s">
        <v>731</v>
      </c>
      <c r="AF290" s="4" t="s">
        <v>80</v>
      </c>
      <c r="AG290" s="4">
        <v>3214</v>
      </c>
      <c r="AH290" s="4" t="s">
        <v>81</v>
      </c>
      <c r="AI290" s="4">
        <v>5297</v>
      </c>
      <c r="AJ290" t="s">
        <v>731</v>
      </c>
      <c r="AK290" t="s">
        <v>56</v>
      </c>
      <c r="AL290" t="s">
        <v>756</v>
      </c>
      <c r="AM290">
        <v>8</v>
      </c>
      <c r="AN290">
        <v>0</v>
      </c>
      <c r="AO290">
        <v>9</v>
      </c>
      <c r="AP290">
        <v>0</v>
      </c>
      <c r="AQ290" s="5">
        <v>738</v>
      </c>
      <c r="AR290">
        <v>16</v>
      </c>
      <c r="AS290">
        <v>0</v>
      </c>
      <c r="AT290">
        <v>17</v>
      </c>
      <c r="AU290">
        <v>0</v>
      </c>
      <c r="AV290" s="5">
        <v>1032</v>
      </c>
      <c r="AW290" t="s">
        <v>56</v>
      </c>
      <c r="AX290" s="6">
        <v>10610</v>
      </c>
      <c r="AY290" t="s">
        <v>731</v>
      </c>
      <c r="AZ290" t="s">
        <v>56</v>
      </c>
    </row>
    <row r="291" spans="1:52" hidden="1" x14ac:dyDescent="0.45">
      <c r="A291">
        <v>495741.481618953</v>
      </c>
      <c r="B291">
        <v>6924159.2307228204</v>
      </c>
      <c r="C291">
        <v>290</v>
      </c>
      <c r="D291" t="s">
        <v>757</v>
      </c>
      <c r="E291" t="s">
        <v>331</v>
      </c>
      <c r="F291" t="s">
        <v>758</v>
      </c>
      <c r="G291" t="s">
        <v>734</v>
      </c>
      <c r="H291" s="3">
        <v>1398</v>
      </c>
      <c r="I291">
        <v>2</v>
      </c>
      <c r="J291" t="s">
        <v>56</v>
      </c>
      <c r="K291">
        <v>41.6</v>
      </c>
      <c r="L291">
        <v>51.1</v>
      </c>
      <c r="M291">
        <v>1</v>
      </c>
      <c r="N291" t="s">
        <v>56</v>
      </c>
      <c r="O291" t="s">
        <v>734</v>
      </c>
      <c r="P291">
        <v>82.8</v>
      </c>
      <c r="Q291">
        <v>0.7</v>
      </c>
      <c r="R291">
        <v>14.9</v>
      </c>
      <c r="S291">
        <v>0.4</v>
      </c>
      <c r="T291">
        <v>0.1</v>
      </c>
      <c r="U291">
        <v>0.1</v>
      </c>
      <c r="V291">
        <v>0.2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0.8</v>
      </c>
      <c r="AC291" t="s">
        <v>734</v>
      </c>
      <c r="AD291">
        <v>50</v>
      </c>
      <c r="AE291" t="s">
        <v>734</v>
      </c>
      <c r="AF291" s="4" t="s">
        <v>80</v>
      </c>
      <c r="AG291" s="4">
        <v>872</v>
      </c>
      <c r="AH291" s="4" t="s">
        <v>81</v>
      </c>
      <c r="AI291" s="4">
        <v>526</v>
      </c>
      <c r="AJ291" t="s">
        <v>734</v>
      </c>
      <c r="AK291" t="s">
        <v>56</v>
      </c>
      <c r="AL291" t="s">
        <v>758</v>
      </c>
      <c r="AM291">
        <v>8</v>
      </c>
      <c r="AN291">
        <v>0</v>
      </c>
      <c r="AO291">
        <v>9</v>
      </c>
      <c r="AP291">
        <v>0</v>
      </c>
      <c r="AQ291" s="5">
        <v>504</v>
      </c>
      <c r="AR291">
        <v>15</v>
      </c>
      <c r="AS291">
        <v>0</v>
      </c>
      <c r="AT291">
        <v>16</v>
      </c>
      <c r="AU291">
        <v>0</v>
      </c>
      <c r="AV291" s="5">
        <v>292</v>
      </c>
      <c r="AW291" t="s">
        <v>56</v>
      </c>
      <c r="AX291" s="6">
        <v>1880</v>
      </c>
      <c r="AY291" t="s">
        <v>734</v>
      </c>
      <c r="AZ291" t="s">
        <v>56</v>
      </c>
    </row>
    <row r="292" spans="1:52" hidden="1" x14ac:dyDescent="0.45">
      <c r="A292">
        <v>503112.43879754498</v>
      </c>
      <c r="B292">
        <v>6922369.5016357303</v>
      </c>
      <c r="C292">
        <v>291</v>
      </c>
      <c r="D292" t="s">
        <v>759</v>
      </c>
      <c r="E292" t="s">
        <v>331</v>
      </c>
      <c r="F292" t="s">
        <v>760</v>
      </c>
      <c r="G292" t="s">
        <v>761</v>
      </c>
      <c r="H292" s="3">
        <v>2131.4</v>
      </c>
      <c r="I292">
        <v>2</v>
      </c>
      <c r="J292" t="s">
        <v>56</v>
      </c>
      <c r="K292">
        <v>35.4</v>
      </c>
      <c r="L292">
        <v>43.2</v>
      </c>
      <c r="M292">
        <v>1</v>
      </c>
      <c r="N292" t="s">
        <v>56</v>
      </c>
      <c r="O292" t="s">
        <v>761</v>
      </c>
      <c r="P292">
        <v>75.599999999999994</v>
      </c>
      <c r="Q292">
        <v>2</v>
      </c>
      <c r="R292">
        <v>19.5</v>
      </c>
      <c r="S292">
        <v>1</v>
      </c>
      <c r="T292">
        <v>0.3</v>
      </c>
      <c r="U292">
        <v>0</v>
      </c>
      <c r="V292">
        <v>0.9</v>
      </c>
      <c r="W292">
        <v>0.1</v>
      </c>
      <c r="X292">
        <v>0.1</v>
      </c>
      <c r="Y292">
        <v>0</v>
      </c>
      <c r="Z292">
        <v>0</v>
      </c>
      <c r="AA292">
        <v>0</v>
      </c>
      <c r="AB292">
        <v>0.5</v>
      </c>
      <c r="AC292" t="s">
        <v>761</v>
      </c>
      <c r="AD292">
        <v>60</v>
      </c>
      <c r="AE292" t="s">
        <v>761</v>
      </c>
      <c r="AF292" s="4" t="s">
        <v>80</v>
      </c>
      <c r="AG292" s="4">
        <v>1021</v>
      </c>
      <c r="AH292" s="4" t="s">
        <v>81</v>
      </c>
      <c r="AI292" s="4">
        <v>1111</v>
      </c>
      <c r="AJ292" t="s">
        <v>761</v>
      </c>
      <c r="AK292" t="s">
        <v>56</v>
      </c>
      <c r="AL292" t="s">
        <v>760</v>
      </c>
      <c r="AM292">
        <v>8</v>
      </c>
      <c r="AN292">
        <v>0</v>
      </c>
      <c r="AO292">
        <v>9</v>
      </c>
      <c r="AP292">
        <v>0</v>
      </c>
      <c r="AQ292" s="5">
        <v>274</v>
      </c>
      <c r="AR292">
        <v>15</v>
      </c>
      <c r="AS292">
        <v>0</v>
      </c>
      <c r="AT292">
        <v>16</v>
      </c>
      <c r="AU292">
        <v>0</v>
      </c>
      <c r="AV292" s="5">
        <v>338</v>
      </c>
      <c r="AW292" t="s">
        <v>56</v>
      </c>
      <c r="AX292" s="6">
        <v>2550</v>
      </c>
      <c r="AY292" t="s">
        <v>761</v>
      </c>
      <c r="AZ292" t="s">
        <v>56</v>
      </c>
    </row>
    <row r="293" spans="1:52" hidden="1" x14ac:dyDescent="0.45">
      <c r="A293">
        <v>518127.85334490298</v>
      </c>
      <c r="B293">
        <v>6931424.0122800097</v>
      </c>
      <c r="C293">
        <v>292</v>
      </c>
      <c r="D293" t="s">
        <v>762</v>
      </c>
      <c r="E293" t="s">
        <v>763</v>
      </c>
      <c r="F293" t="s">
        <v>764</v>
      </c>
      <c r="G293" t="s">
        <v>734</v>
      </c>
      <c r="H293" s="3">
        <v>1973</v>
      </c>
      <c r="I293">
        <v>2</v>
      </c>
      <c r="J293" t="s">
        <v>56</v>
      </c>
      <c r="K293">
        <v>60.8</v>
      </c>
      <c r="L293">
        <v>68.400000000000006</v>
      </c>
      <c r="M293">
        <v>1</v>
      </c>
      <c r="N293" t="s">
        <v>56</v>
      </c>
      <c r="O293" t="s">
        <v>734</v>
      </c>
      <c r="P293">
        <v>82.4</v>
      </c>
      <c r="Q293">
        <v>1.2</v>
      </c>
      <c r="R293">
        <v>15.1</v>
      </c>
      <c r="S293">
        <v>0.4</v>
      </c>
      <c r="T293">
        <v>0</v>
      </c>
      <c r="U293">
        <v>0</v>
      </c>
      <c r="V293">
        <v>0.4</v>
      </c>
      <c r="W293">
        <v>0</v>
      </c>
      <c r="X293">
        <v>0.1</v>
      </c>
      <c r="Y293">
        <v>0.1</v>
      </c>
      <c r="Z293">
        <v>0</v>
      </c>
      <c r="AA293">
        <v>0</v>
      </c>
      <c r="AB293">
        <v>0.3</v>
      </c>
      <c r="AC293" t="s">
        <v>734</v>
      </c>
      <c r="AD293">
        <v>60</v>
      </c>
      <c r="AE293" t="s">
        <v>734</v>
      </c>
      <c r="AF293" s="4" t="s">
        <v>57</v>
      </c>
      <c r="AG293" s="4">
        <v>972</v>
      </c>
      <c r="AH293" s="4" t="s">
        <v>58</v>
      </c>
      <c r="AI293" s="4">
        <v>1001</v>
      </c>
      <c r="AJ293" t="s">
        <v>734</v>
      </c>
      <c r="AK293" t="s">
        <v>56</v>
      </c>
      <c r="AL293" t="s">
        <v>764</v>
      </c>
      <c r="AM293">
        <v>8</v>
      </c>
      <c r="AN293">
        <v>0</v>
      </c>
      <c r="AO293">
        <v>9</v>
      </c>
      <c r="AP293">
        <v>0</v>
      </c>
      <c r="AQ293" s="5">
        <v>265</v>
      </c>
      <c r="AR293">
        <v>15</v>
      </c>
      <c r="AS293">
        <v>0</v>
      </c>
      <c r="AT293">
        <v>16</v>
      </c>
      <c r="AU293">
        <v>0</v>
      </c>
      <c r="AV293" s="5">
        <v>261</v>
      </c>
      <c r="AW293" t="s">
        <v>56</v>
      </c>
      <c r="AX293" s="6">
        <v>2197</v>
      </c>
      <c r="AY293" t="s">
        <v>734</v>
      </c>
      <c r="AZ293" t="s">
        <v>56</v>
      </c>
    </row>
    <row r="294" spans="1:52" hidden="1" x14ac:dyDescent="0.45">
      <c r="A294">
        <v>514107.29608839599</v>
      </c>
      <c r="B294">
        <v>6943287.2208286999</v>
      </c>
      <c r="C294">
        <v>293</v>
      </c>
      <c r="D294" t="s">
        <v>765</v>
      </c>
      <c r="E294" t="s">
        <v>86</v>
      </c>
      <c r="F294" t="s">
        <v>766</v>
      </c>
      <c r="G294" t="s">
        <v>737</v>
      </c>
      <c r="H294" s="3">
        <v>4658</v>
      </c>
      <c r="I294">
        <v>2</v>
      </c>
      <c r="J294" t="s">
        <v>56</v>
      </c>
      <c r="K294">
        <v>54.6</v>
      </c>
      <c r="L294">
        <v>60.5</v>
      </c>
      <c r="M294">
        <v>1</v>
      </c>
      <c r="N294" t="s">
        <v>56</v>
      </c>
      <c r="O294" t="s">
        <v>737</v>
      </c>
      <c r="P294">
        <v>89.7</v>
      </c>
      <c r="Q294">
        <v>0.5</v>
      </c>
      <c r="R294">
        <v>9</v>
      </c>
      <c r="S294">
        <v>0.5</v>
      </c>
      <c r="T294">
        <v>0</v>
      </c>
      <c r="U294">
        <v>0</v>
      </c>
      <c r="V294">
        <v>0.2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0.1</v>
      </c>
      <c r="AC294" t="s">
        <v>737</v>
      </c>
      <c r="AD294">
        <v>60</v>
      </c>
      <c r="AE294" t="s">
        <v>737</v>
      </c>
      <c r="AF294" s="4" t="s">
        <v>57</v>
      </c>
      <c r="AG294" s="4">
        <v>4658</v>
      </c>
      <c r="AJ294" t="s">
        <v>737</v>
      </c>
      <c r="AK294" t="s">
        <v>56</v>
      </c>
      <c r="AL294" t="s">
        <v>766</v>
      </c>
      <c r="AM294">
        <v>8</v>
      </c>
      <c r="AN294">
        <v>0</v>
      </c>
      <c r="AO294">
        <v>9</v>
      </c>
      <c r="AP294">
        <v>0</v>
      </c>
      <c r="AQ294" s="5">
        <v>1264</v>
      </c>
      <c r="AR294">
        <v>15</v>
      </c>
      <c r="AS294">
        <v>0</v>
      </c>
      <c r="AT294">
        <v>16</v>
      </c>
      <c r="AU294">
        <v>0</v>
      </c>
      <c r="AV294" s="5">
        <v>1291</v>
      </c>
      <c r="AW294" t="s">
        <v>56</v>
      </c>
      <c r="AX294" s="6">
        <v>11079</v>
      </c>
      <c r="AY294" t="s">
        <v>737</v>
      </c>
      <c r="AZ294" t="s">
        <v>56</v>
      </c>
    </row>
    <row r="295" spans="1:52" hidden="1" x14ac:dyDescent="0.45">
      <c r="A295">
        <v>514107.29608839599</v>
      </c>
      <c r="B295">
        <v>6943287.2208286999</v>
      </c>
      <c r="C295">
        <v>294</v>
      </c>
      <c r="D295" t="s">
        <v>765</v>
      </c>
      <c r="E295" t="s">
        <v>86</v>
      </c>
      <c r="F295" t="s">
        <v>766</v>
      </c>
      <c r="G295" t="s">
        <v>737</v>
      </c>
      <c r="H295" s="3">
        <v>5132</v>
      </c>
      <c r="I295">
        <v>2</v>
      </c>
      <c r="J295" t="s">
        <v>56</v>
      </c>
      <c r="K295">
        <v>54.6</v>
      </c>
      <c r="L295">
        <v>60.5</v>
      </c>
      <c r="M295">
        <v>1</v>
      </c>
      <c r="N295" t="s">
        <v>56</v>
      </c>
      <c r="O295" t="s">
        <v>737</v>
      </c>
      <c r="P295">
        <v>89.7</v>
      </c>
      <c r="Q295">
        <v>0.5</v>
      </c>
      <c r="R295">
        <v>9</v>
      </c>
      <c r="S295">
        <v>0.5</v>
      </c>
      <c r="T295">
        <v>0</v>
      </c>
      <c r="U295">
        <v>0</v>
      </c>
      <c r="V295">
        <v>0.2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0.1</v>
      </c>
      <c r="AC295" t="s">
        <v>737</v>
      </c>
      <c r="AD295">
        <v>60</v>
      </c>
      <c r="AE295" t="s">
        <v>737</v>
      </c>
      <c r="AH295" s="4" t="s">
        <v>58</v>
      </c>
      <c r="AI295" s="4">
        <v>5132</v>
      </c>
      <c r="AJ295" t="s">
        <v>737</v>
      </c>
      <c r="AK295" t="s">
        <v>56</v>
      </c>
      <c r="AL295" t="s">
        <v>766</v>
      </c>
      <c r="AM295">
        <v>8</v>
      </c>
      <c r="AN295">
        <v>0</v>
      </c>
      <c r="AO295">
        <v>9</v>
      </c>
      <c r="AP295">
        <v>0</v>
      </c>
      <c r="AQ295" s="5">
        <v>1264</v>
      </c>
      <c r="AR295">
        <v>15</v>
      </c>
      <c r="AS295">
        <v>0</v>
      </c>
      <c r="AT295">
        <v>16</v>
      </c>
      <c r="AU295">
        <v>0</v>
      </c>
      <c r="AV295" s="5">
        <v>1291</v>
      </c>
      <c r="AW295" t="s">
        <v>56</v>
      </c>
      <c r="AX295" s="6">
        <v>11079</v>
      </c>
      <c r="AY295" t="s">
        <v>737</v>
      </c>
      <c r="AZ295" t="s">
        <v>56</v>
      </c>
    </row>
    <row r="296" spans="1:52" hidden="1" x14ac:dyDescent="0.45">
      <c r="A296">
        <v>521351.54737909499</v>
      </c>
      <c r="B296">
        <v>6937423.3481449904</v>
      </c>
      <c r="C296">
        <v>295</v>
      </c>
      <c r="D296" t="s">
        <v>767</v>
      </c>
      <c r="E296" t="s">
        <v>411</v>
      </c>
      <c r="F296" t="s">
        <v>768</v>
      </c>
      <c r="G296" t="s">
        <v>734</v>
      </c>
      <c r="H296" s="3">
        <v>526</v>
      </c>
      <c r="I296">
        <v>2</v>
      </c>
      <c r="J296" t="s">
        <v>56</v>
      </c>
      <c r="K296">
        <v>41.9</v>
      </c>
      <c r="L296">
        <v>48.6</v>
      </c>
      <c r="M296">
        <v>1</v>
      </c>
      <c r="N296" t="s">
        <v>56</v>
      </c>
      <c r="O296" t="s">
        <v>734</v>
      </c>
      <c r="P296">
        <v>84</v>
      </c>
      <c r="Q296">
        <v>1</v>
      </c>
      <c r="R296">
        <v>11.4</v>
      </c>
      <c r="S296">
        <v>2.8</v>
      </c>
      <c r="T296">
        <v>0.2</v>
      </c>
      <c r="U296">
        <v>0</v>
      </c>
      <c r="V296">
        <v>0.2</v>
      </c>
      <c r="W296">
        <v>0.1</v>
      </c>
      <c r="X296">
        <v>0</v>
      </c>
      <c r="Y296">
        <v>0</v>
      </c>
      <c r="Z296">
        <v>0</v>
      </c>
      <c r="AA296">
        <v>0</v>
      </c>
      <c r="AB296">
        <v>0.3</v>
      </c>
      <c r="AC296" t="s">
        <v>734</v>
      </c>
      <c r="AD296">
        <v>60</v>
      </c>
      <c r="AE296" t="s">
        <v>734</v>
      </c>
      <c r="AF296" s="4" t="s">
        <v>57</v>
      </c>
      <c r="AG296" s="4">
        <v>271</v>
      </c>
      <c r="AH296" s="4" t="s">
        <v>58</v>
      </c>
      <c r="AI296" s="4">
        <v>255</v>
      </c>
      <c r="AJ296" t="s">
        <v>734</v>
      </c>
      <c r="AK296" t="s">
        <v>56</v>
      </c>
      <c r="AL296" t="s">
        <v>768</v>
      </c>
      <c r="AM296">
        <v>11</v>
      </c>
      <c r="AN296">
        <v>0</v>
      </c>
      <c r="AO296">
        <v>12</v>
      </c>
      <c r="AP296">
        <v>0</v>
      </c>
      <c r="AQ296" s="5">
        <v>48</v>
      </c>
      <c r="AR296">
        <v>15</v>
      </c>
      <c r="AS296">
        <v>0</v>
      </c>
      <c r="AT296">
        <v>16</v>
      </c>
      <c r="AU296">
        <v>0</v>
      </c>
      <c r="AV296" s="5">
        <v>53</v>
      </c>
      <c r="AW296" t="s">
        <v>56</v>
      </c>
      <c r="AX296" s="6">
        <v>554</v>
      </c>
      <c r="AY296" t="s">
        <v>734</v>
      </c>
      <c r="AZ296" t="s">
        <v>56</v>
      </c>
    </row>
    <row r="297" spans="1:52" hidden="1" x14ac:dyDescent="0.45">
      <c r="A297">
        <v>505406.92810830602</v>
      </c>
      <c r="B297">
        <v>6940158.8552485798</v>
      </c>
      <c r="C297">
        <v>296</v>
      </c>
      <c r="D297" t="s">
        <v>769</v>
      </c>
      <c r="E297" t="s">
        <v>321</v>
      </c>
      <c r="F297" t="s">
        <v>770</v>
      </c>
      <c r="G297" t="s">
        <v>731</v>
      </c>
      <c r="H297" s="3">
        <v>13800</v>
      </c>
      <c r="I297">
        <v>2</v>
      </c>
      <c r="J297" t="s">
        <v>56</v>
      </c>
      <c r="K297">
        <v>57.2</v>
      </c>
      <c r="L297">
        <v>65.5</v>
      </c>
      <c r="M297">
        <v>1</v>
      </c>
      <c r="N297" t="s">
        <v>56</v>
      </c>
      <c r="O297" t="s">
        <v>731</v>
      </c>
      <c r="P297">
        <v>84</v>
      </c>
      <c r="Q297">
        <v>0.9</v>
      </c>
      <c r="R297">
        <v>13.1</v>
      </c>
      <c r="S297">
        <v>0.8</v>
      </c>
      <c r="T297">
        <v>0.1</v>
      </c>
      <c r="U297">
        <v>0</v>
      </c>
      <c r="V297">
        <v>0.3</v>
      </c>
      <c r="W297">
        <v>0.1</v>
      </c>
      <c r="X297">
        <v>0.3</v>
      </c>
      <c r="Y297">
        <v>0</v>
      </c>
      <c r="Z297">
        <v>0</v>
      </c>
      <c r="AA297">
        <v>0</v>
      </c>
      <c r="AB297">
        <v>0.4</v>
      </c>
      <c r="AC297" t="s">
        <v>731</v>
      </c>
      <c r="AD297">
        <v>70</v>
      </c>
      <c r="AE297" t="s">
        <v>731</v>
      </c>
      <c r="AF297" s="4" t="s">
        <v>57</v>
      </c>
      <c r="AG297" s="4">
        <v>13800</v>
      </c>
      <c r="AJ297" t="s">
        <v>731</v>
      </c>
      <c r="AK297" t="s">
        <v>56</v>
      </c>
      <c r="AL297" t="s">
        <v>770</v>
      </c>
      <c r="AM297">
        <v>11</v>
      </c>
      <c r="AN297">
        <v>0</v>
      </c>
      <c r="AO297">
        <v>12</v>
      </c>
      <c r="AP297">
        <v>0</v>
      </c>
      <c r="AQ297" s="5">
        <v>2322</v>
      </c>
      <c r="AR297">
        <v>15</v>
      </c>
      <c r="AS297">
        <v>0</v>
      </c>
      <c r="AT297">
        <v>16</v>
      </c>
      <c r="AU297">
        <v>0</v>
      </c>
      <c r="AV297" s="5">
        <v>2639</v>
      </c>
      <c r="AW297" t="s">
        <v>56</v>
      </c>
      <c r="AX297" s="6">
        <v>30740</v>
      </c>
      <c r="AY297" t="s">
        <v>731</v>
      </c>
      <c r="AZ297" t="s">
        <v>56</v>
      </c>
    </row>
    <row r="298" spans="1:52" hidden="1" x14ac:dyDescent="0.45">
      <c r="A298">
        <v>505406.92810830602</v>
      </c>
      <c r="B298">
        <v>6940158.8552485798</v>
      </c>
      <c r="C298">
        <v>297</v>
      </c>
      <c r="D298" t="s">
        <v>769</v>
      </c>
      <c r="E298" t="s">
        <v>321</v>
      </c>
      <c r="F298" t="s">
        <v>770</v>
      </c>
      <c r="G298" t="s">
        <v>731</v>
      </c>
      <c r="H298" s="3">
        <v>13818</v>
      </c>
      <c r="I298">
        <v>2</v>
      </c>
      <c r="J298" t="s">
        <v>56</v>
      </c>
      <c r="K298">
        <v>57.2</v>
      </c>
      <c r="L298">
        <v>65.5</v>
      </c>
      <c r="M298">
        <v>1</v>
      </c>
      <c r="N298" t="s">
        <v>56</v>
      </c>
      <c r="O298" t="s">
        <v>731</v>
      </c>
      <c r="P298">
        <v>84</v>
      </c>
      <c r="Q298">
        <v>0.9</v>
      </c>
      <c r="R298">
        <v>13.1</v>
      </c>
      <c r="S298">
        <v>0.8</v>
      </c>
      <c r="T298">
        <v>0.1</v>
      </c>
      <c r="U298">
        <v>0</v>
      </c>
      <c r="V298">
        <v>0.3</v>
      </c>
      <c r="W298">
        <v>0.1</v>
      </c>
      <c r="X298">
        <v>0.3</v>
      </c>
      <c r="Y298">
        <v>0</v>
      </c>
      <c r="Z298">
        <v>0</v>
      </c>
      <c r="AA298">
        <v>0</v>
      </c>
      <c r="AB298">
        <v>0.4</v>
      </c>
      <c r="AC298" t="s">
        <v>731</v>
      </c>
      <c r="AD298">
        <v>70</v>
      </c>
      <c r="AE298" t="s">
        <v>731</v>
      </c>
      <c r="AH298" s="4" t="s">
        <v>58</v>
      </c>
      <c r="AI298" s="4">
        <v>13818</v>
      </c>
      <c r="AJ298" t="s">
        <v>731</v>
      </c>
      <c r="AK298" t="s">
        <v>56</v>
      </c>
      <c r="AL298" t="s">
        <v>770</v>
      </c>
      <c r="AM298">
        <v>11</v>
      </c>
      <c r="AN298">
        <v>0</v>
      </c>
      <c r="AO298">
        <v>12</v>
      </c>
      <c r="AP298">
        <v>0</v>
      </c>
      <c r="AQ298" s="5">
        <v>2322</v>
      </c>
      <c r="AR298">
        <v>15</v>
      </c>
      <c r="AS298">
        <v>0</v>
      </c>
      <c r="AT298">
        <v>16</v>
      </c>
      <c r="AU298">
        <v>0</v>
      </c>
      <c r="AV298" s="5">
        <v>2639</v>
      </c>
      <c r="AW298" t="s">
        <v>56</v>
      </c>
      <c r="AX298" s="6">
        <v>30740</v>
      </c>
      <c r="AY298" t="s">
        <v>731</v>
      </c>
      <c r="AZ298" t="s">
        <v>56</v>
      </c>
    </row>
    <row r="299" spans="1:52" hidden="1" x14ac:dyDescent="0.45">
      <c r="A299">
        <v>505843.46099484799</v>
      </c>
      <c r="B299">
        <v>6937920.4363159798</v>
      </c>
      <c r="C299">
        <v>298</v>
      </c>
      <c r="D299" t="s">
        <v>771</v>
      </c>
      <c r="E299" t="s">
        <v>772</v>
      </c>
      <c r="F299" t="s">
        <v>773</v>
      </c>
      <c r="G299" t="s">
        <v>731</v>
      </c>
      <c r="H299" s="3">
        <v>1157</v>
      </c>
      <c r="I299">
        <v>1</v>
      </c>
      <c r="J299" t="s">
        <v>56</v>
      </c>
      <c r="K299">
        <v>56.9</v>
      </c>
      <c r="L299">
        <v>63.7</v>
      </c>
      <c r="M299">
        <v>1</v>
      </c>
      <c r="N299" t="s">
        <v>56</v>
      </c>
      <c r="O299" t="s">
        <v>731</v>
      </c>
      <c r="P299">
        <v>82.1</v>
      </c>
      <c r="Q299">
        <v>1.5</v>
      </c>
      <c r="R299">
        <v>15.1</v>
      </c>
      <c r="S299">
        <v>0.6</v>
      </c>
      <c r="T299">
        <v>0.1</v>
      </c>
      <c r="U299">
        <v>0</v>
      </c>
      <c r="V299">
        <v>0.4</v>
      </c>
      <c r="W299">
        <v>0</v>
      </c>
      <c r="X299">
        <v>0.1</v>
      </c>
      <c r="Y299">
        <v>0</v>
      </c>
      <c r="Z299">
        <v>0</v>
      </c>
      <c r="AA299">
        <v>0</v>
      </c>
      <c r="AB299">
        <v>0.1</v>
      </c>
      <c r="AC299" t="s">
        <v>731</v>
      </c>
      <c r="AD299">
        <v>60</v>
      </c>
      <c r="AE299" t="s">
        <v>731</v>
      </c>
      <c r="AH299" s="4" t="s">
        <v>81</v>
      </c>
      <c r="AI299" s="4">
        <v>1157</v>
      </c>
      <c r="AJ299" t="s">
        <v>731</v>
      </c>
      <c r="AK299" t="s">
        <v>56</v>
      </c>
      <c r="AL299" t="s">
        <v>773</v>
      </c>
      <c r="AM299">
        <v>7</v>
      </c>
      <c r="AN299">
        <v>0</v>
      </c>
      <c r="AO299">
        <v>8</v>
      </c>
      <c r="AP299">
        <v>0</v>
      </c>
      <c r="AQ299" s="5">
        <v>224</v>
      </c>
      <c r="AR299">
        <v>17</v>
      </c>
      <c r="AS299">
        <v>0</v>
      </c>
      <c r="AT299">
        <v>18</v>
      </c>
      <c r="AU299">
        <v>0</v>
      </c>
      <c r="AV299" s="5">
        <v>275</v>
      </c>
      <c r="AW299" t="s">
        <v>56</v>
      </c>
      <c r="AX299" s="6">
        <v>2574</v>
      </c>
      <c r="AY299" t="s">
        <v>731</v>
      </c>
      <c r="AZ299" t="s">
        <v>56</v>
      </c>
    </row>
    <row r="300" spans="1:52" hidden="1" x14ac:dyDescent="0.45">
      <c r="A300">
        <v>505843.46099484799</v>
      </c>
      <c r="B300">
        <v>6937920.4363159798</v>
      </c>
      <c r="C300">
        <v>299</v>
      </c>
      <c r="D300" t="s">
        <v>771</v>
      </c>
      <c r="E300" t="s">
        <v>772</v>
      </c>
      <c r="F300" t="s">
        <v>773</v>
      </c>
      <c r="G300" t="s">
        <v>731</v>
      </c>
      <c r="H300" s="3">
        <v>1213</v>
      </c>
      <c r="I300">
        <v>1</v>
      </c>
      <c r="J300" t="s">
        <v>56</v>
      </c>
      <c r="K300">
        <v>56.9</v>
      </c>
      <c r="L300">
        <v>63.7</v>
      </c>
      <c r="M300">
        <v>1</v>
      </c>
      <c r="N300" t="s">
        <v>56</v>
      </c>
      <c r="O300" t="s">
        <v>731</v>
      </c>
      <c r="P300">
        <v>82.1</v>
      </c>
      <c r="Q300">
        <v>1.5</v>
      </c>
      <c r="R300">
        <v>15.1</v>
      </c>
      <c r="S300">
        <v>0.6</v>
      </c>
      <c r="T300">
        <v>0.1</v>
      </c>
      <c r="U300">
        <v>0</v>
      </c>
      <c r="V300">
        <v>0.4</v>
      </c>
      <c r="W300">
        <v>0</v>
      </c>
      <c r="X300">
        <v>0.1</v>
      </c>
      <c r="Y300">
        <v>0</v>
      </c>
      <c r="Z300">
        <v>0</v>
      </c>
      <c r="AA300">
        <v>0</v>
      </c>
      <c r="AB300">
        <v>0.1</v>
      </c>
      <c r="AC300" t="s">
        <v>731</v>
      </c>
      <c r="AD300">
        <v>60</v>
      </c>
      <c r="AE300" t="s">
        <v>731</v>
      </c>
      <c r="AF300" s="4" t="s">
        <v>80</v>
      </c>
      <c r="AG300" s="4">
        <v>1213</v>
      </c>
      <c r="AJ300" t="s">
        <v>731</v>
      </c>
      <c r="AK300" t="s">
        <v>56</v>
      </c>
      <c r="AL300" t="s">
        <v>773</v>
      </c>
      <c r="AM300">
        <v>7</v>
      </c>
      <c r="AN300">
        <v>0</v>
      </c>
      <c r="AO300">
        <v>8</v>
      </c>
      <c r="AP300">
        <v>0</v>
      </c>
      <c r="AQ300" s="5">
        <v>224</v>
      </c>
      <c r="AR300">
        <v>17</v>
      </c>
      <c r="AS300">
        <v>0</v>
      </c>
      <c r="AT300">
        <v>18</v>
      </c>
      <c r="AU300">
        <v>0</v>
      </c>
      <c r="AV300" s="5">
        <v>275</v>
      </c>
      <c r="AW300" t="s">
        <v>56</v>
      </c>
      <c r="AX300" s="6">
        <v>2574</v>
      </c>
      <c r="AY300" t="s">
        <v>731</v>
      </c>
      <c r="AZ300" t="s">
        <v>56</v>
      </c>
    </row>
    <row r="301" spans="1:52" hidden="1" x14ac:dyDescent="0.45">
      <c r="A301">
        <v>513324.85526698502</v>
      </c>
      <c r="B301">
        <v>6948321.2324792501</v>
      </c>
      <c r="C301">
        <v>300</v>
      </c>
      <c r="D301" t="s">
        <v>342</v>
      </c>
      <c r="E301" t="s">
        <v>109</v>
      </c>
      <c r="F301" t="s">
        <v>774</v>
      </c>
      <c r="G301" t="s">
        <v>737</v>
      </c>
      <c r="H301" s="3">
        <v>4855</v>
      </c>
      <c r="I301">
        <v>2</v>
      </c>
      <c r="J301" t="s">
        <v>56</v>
      </c>
      <c r="K301">
        <v>58.5</v>
      </c>
      <c r="L301">
        <v>67.3</v>
      </c>
      <c r="M301">
        <v>1</v>
      </c>
      <c r="N301" t="s">
        <v>56</v>
      </c>
      <c r="O301" t="s">
        <v>737</v>
      </c>
      <c r="P301">
        <v>84.1</v>
      </c>
      <c r="Q301">
        <v>0.7</v>
      </c>
      <c r="R301">
        <v>14.2</v>
      </c>
      <c r="S301">
        <v>0.2</v>
      </c>
      <c r="T301">
        <v>0.1</v>
      </c>
      <c r="U301">
        <v>0</v>
      </c>
      <c r="V301">
        <v>0.4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0.3</v>
      </c>
      <c r="AC301" t="s">
        <v>737</v>
      </c>
      <c r="AD301">
        <v>60</v>
      </c>
      <c r="AE301" t="s">
        <v>737</v>
      </c>
      <c r="AF301" s="4" t="s">
        <v>57</v>
      </c>
      <c r="AG301" s="4">
        <v>2362</v>
      </c>
      <c r="AH301" s="4" t="s">
        <v>58</v>
      </c>
      <c r="AI301" s="4">
        <v>2493</v>
      </c>
      <c r="AJ301" t="s">
        <v>737</v>
      </c>
      <c r="AK301" t="s">
        <v>56</v>
      </c>
      <c r="AL301" t="s">
        <v>774</v>
      </c>
      <c r="AM301">
        <v>7</v>
      </c>
      <c r="AN301">
        <v>0</v>
      </c>
      <c r="AO301">
        <v>8</v>
      </c>
      <c r="AP301">
        <v>0</v>
      </c>
      <c r="AQ301" s="5">
        <v>608</v>
      </c>
      <c r="AR301">
        <v>16</v>
      </c>
      <c r="AS301">
        <v>0</v>
      </c>
      <c r="AT301">
        <v>17</v>
      </c>
      <c r="AU301">
        <v>0</v>
      </c>
      <c r="AV301" s="5">
        <v>569</v>
      </c>
      <c r="AW301" t="s">
        <v>56</v>
      </c>
      <c r="AX301" s="6">
        <v>5549</v>
      </c>
      <c r="AY301" t="s">
        <v>737</v>
      </c>
      <c r="AZ301" t="s">
        <v>56</v>
      </c>
    </row>
    <row r="302" spans="1:52" hidden="1" x14ac:dyDescent="0.45">
      <c r="A302">
        <v>512603.26761488302</v>
      </c>
      <c r="B302">
        <v>6944651.6654749699</v>
      </c>
      <c r="C302">
        <v>301</v>
      </c>
      <c r="D302" t="s">
        <v>775</v>
      </c>
      <c r="E302" t="s">
        <v>655</v>
      </c>
      <c r="F302" t="s">
        <v>776</v>
      </c>
      <c r="G302" t="s">
        <v>731</v>
      </c>
      <c r="H302" s="3">
        <v>7480</v>
      </c>
      <c r="I302">
        <v>1</v>
      </c>
      <c r="J302" t="s">
        <v>56</v>
      </c>
      <c r="K302">
        <v>35.6</v>
      </c>
      <c r="L302">
        <v>43.6</v>
      </c>
      <c r="M302">
        <v>1</v>
      </c>
      <c r="N302" t="s">
        <v>56</v>
      </c>
      <c r="O302" t="s">
        <v>731</v>
      </c>
      <c r="P302">
        <v>85.8</v>
      </c>
      <c r="Q302">
        <v>0.6</v>
      </c>
      <c r="R302">
        <v>11.1</v>
      </c>
      <c r="S302">
        <v>0.3</v>
      </c>
      <c r="T302">
        <v>0.1</v>
      </c>
      <c r="U302">
        <v>0</v>
      </c>
      <c r="V302">
        <v>0.2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1.9</v>
      </c>
      <c r="AC302" t="s">
        <v>731</v>
      </c>
      <c r="AD302">
        <v>60</v>
      </c>
      <c r="AE302" t="s">
        <v>731</v>
      </c>
      <c r="AH302" s="4" t="s">
        <v>81</v>
      </c>
      <c r="AI302" s="4">
        <v>7480</v>
      </c>
      <c r="AJ302" t="s">
        <v>731</v>
      </c>
      <c r="AK302" t="s">
        <v>56</v>
      </c>
      <c r="AL302" t="s">
        <v>776</v>
      </c>
      <c r="AM302">
        <v>8</v>
      </c>
      <c r="AN302">
        <v>0</v>
      </c>
      <c r="AO302">
        <v>9</v>
      </c>
      <c r="AP302">
        <v>0</v>
      </c>
      <c r="AQ302" s="5">
        <v>1620</v>
      </c>
      <c r="AR302">
        <v>15</v>
      </c>
      <c r="AS302">
        <v>0</v>
      </c>
      <c r="AT302">
        <v>16</v>
      </c>
      <c r="AU302">
        <v>0</v>
      </c>
      <c r="AV302" s="5">
        <v>1594</v>
      </c>
      <c r="AW302" t="s">
        <v>56</v>
      </c>
      <c r="AX302" s="6">
        <v>18225</v>
      </c>
      <c r="AY302" t="s">
        <v>731</v>
      </c>
      <c r="AZ302" t="s">
        <v>56</v>
      </c>
    </row>
    <row r="303" spans="1:52" hidden="1" x14ac:dyDescent="0.45">
      <c r="A303">
        <v>512603.26761488302</v>
      </c>
      <c r="B303">
        <v>6944651.6654749699</v>
      </c>
      <c r="C303">
        <v>302</v>
      </c>
      <c r="D303" t="s">
        <v>775</v>
      </c>
      <c r="E303" t="s">
        <v>655</v>
      </c>
      <c r="F303" t="s">
        <v>776</v>
      </c>
      <c r="G303" t="s">
        <v>731</v>
      </c>
      <c r="H303" s="3">
        <v>7935</v>
      </c>
      <c r="I303">
        <v>1</v>
      </c>
      <c r="J303" t="s">
        <v>56</v>
      </c>
      <c r="K303">
        <v>35.6</v>
      </c>
      <c r="L303">
        <v>43.6</v>
      </c>
      <c r="M303">
        <v>1</v>
      </c>
      <c r="N303" t="s">
        <v>56</v>
      </c>
      <c r="O303" t="s">
        <v>731</v>
      </c>
      <c r="P303">
        <v>85.8</v>
      </c>
      <c r="Q303">
        <v>0.6</v>
      </c>
      <c r="R303">
        <v>11.1</v>
      </c>
      <c r="S303">
        <v>0.3</v>
      </c>
      <c r="T303">
        <v>0.1</v>
      </c>
      <c r="U303">
        <v>0</v>
      </c>
      <c r="V303">
        <v>0.2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1.9</v>
      </c>
      <c r="AC303" t="s">
        <v>731</v>
      </c>
      <c r="AD303">
        <v>60</v>
      </c>
      <c r="AE303" t="s">
        <v>731</v>
      </c>
      <c r="AF303" s="4" t="s">
        <v>80</v>
      </c>
      <c r="AG303" s="4">
        <v>7935</v>
      </c>
      <c r="AJ303" t="s">
        <v>731</v>
      </c>
      <c r="AK303" t="s">
        <v>56</v>
      </c>
      <c r="AL303" t="s">
        <v>776</v>
      </c>
      <c r="AM303">
        <v>8</v>
      </c>
      <c r="AN303">
        <v>0</v>
      </c>
      <c r="AO303">
        <v>9</v>
      </c>
      <c r="AP303">
        <v>0</v>
      </c>
      <c r="AQ303" s="5">
        <v>1620</v>
      </c>
      <c r="AR303">
        <v>15</v>
      </c>
      <c r="AS303">
        <v>0</v>
      </c>
      <c r="AT303">
        <v>16</v>
      </c>
      <c r="AU303">
        <v>0</v>
      </c>
      <c r="AV303" s="5">
        <v>1594</v>
      </c>
      <c r="AW303" t="s">
        <v>56</v>
      </c>
      <c r="AX303" s="6">
        <v>18225</v>
      </c>
      <c r="AY303" t="s">
        <v>731</v>
      </c>
      <c r="AZ303" t="s">
        <v>56</v>
      </c>
    </row>
    <row r="304" spans="1:52" hidden="1" x14ac:dyDescent="0.45">
      <c r="A304">
        <v>512602.601617234</v>
      </c>
      <c r="B304">
        <v>6944198.2871391904</v>
      </c>
      <c r="C304">
        <v>303</v>
      </c>
      <c r="D304" t="s">
        <v>777</v>
      </c>
      <c r="E304" t="s">
        <v>465</v>
      </c>
      <c r="F304" t="s">
        <v>778</v>
      </c>
      <c r="G304" t="s">
        <v>731</v>
      </c>
      <c r="H304" s="3">
        <v>10408</v>
      </c>
      <c r="I304">
        <v>2</v>
      </c>
      <c r="J304" t="s">
        <v>56</v>
      </c>
      <c r="K304">
        <v>43.9</v>
      </c>
      <c r="L304">
        <v>51.1</v>
      </c>
      <c r="M304">
        <v>1</v>
      </c>
      <c r="N304" t="s">
        <v>56</v>
      </c>
      <c r="O304" t="s">
        <v>731</v>
      </c>
      <c r="P304">
        <v>85.7</v>
      </c>
      <c r="Q304">
        <v>0.5</v>
      </c>
      <c r="R304">
        <v>12</v>
      </c>
      <c r="S304">
        <v>0.8</v>
      </c>
      <c r="T304">
        <v>0.1</v>
      </c>
      <c r="U304">
        <v>0</v>
      </c>
      <c r="V304">
        <v>0.3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0.6</v>
      </c>
      <c r="AC304" t="s">
        <v>731</v>
      </c>
      <c r="AD304">
        <v>60</v>
      </c>
      <c r="AE304" t="s">
        <v>731</v>
      </c>
      <c r="AF304" s="4" t="s">
        <v>80</v>
      </c>
      <c r="AG304" s="4">
        <v>4402</v>
      </c>
      <c r="AH304" s="4" t="s">
        <v>81</v>
      </c>
      <c r="AI304" s="4">
        <v>6006</v>
      </c>
      <c r="AJ304" t="s">
        <v>731</v>
      </c>
      <c r="AK304" t="s">
        <v>56</v>
      </c>
      <c r="AL304" t="s">
        <v>778</v>
      </c>
      <c r="AM304">
        <v>8</v>
      </c>
      <c r="AN304">
        <v>0</v>
      </c>
      <c r="AO304">
        <v>9</v>
      </c>
      <c r="AP304">
        <v>0</v>
      </c>
      <c r="AQ304" s="5">
        <v>1285</v>
      </c>
      <c r="AR304">
        <v>14</v>
      </c>
      <c r="AS304">
        <v>0</v>
      </c>
      <c r="AT304">
        <v>15</v>
      </c>
      <c r="AU304">
        <v>0</v>
      </c>
      <c r="AV304" s="5">
        <v>1021</v>
      </c>
      <c r="AW304" t="s">
        <v>56</v>
      </c>
      <c r="AX304" s="6">
        <v>12343</v>
      </c>
      <c r="AY304" t="s">
        <v>731</v>
      </c>
      <c r="AZ304" t="s">
        <v>56</v>
      </c>
    </row>
    <row r="305" spans="1:52" hidden="1" x14ac:dyDescent="0.45">
      <c r="A305">
        <v>527069.18299991498</v>
      </c>
      <c r="B305">
        <v>6937765.5456485199</v>
      </c>
      <c r="C305">
        <v>304</v>
      </c>
      <c r="D305" t="s">
        <v>779</v>
      </c>
      <c r="E305" t="s">
        <v>780</v>
      </c>
      <c r="F305" t="s">
        <v>781</v>
      </c>
      <c r="G305" t="s">
        <v>782</v>
      </c>
      <c r="H305" s="3">
        <v>845</v>
      </c>
      <c r="I305">
        <v>2</v>
      </c>
      <c r="J305" t="s">
        <v>56</v>
      </c>
      <c r="K305">
        <v>65.400000000000006</v>
      </c>
      <c r="L305">
        <v>76.3</v>
      </c>
      <c r="M305">
        <v>1</v>
      </c>
      <c r="N305" t="s">
        <v>56</v>
      </c>
      <c r="O305" t="s">
        <v>782</v>
      </c>
      <c r="P305">
        <v>69.900000000000006</v>
      </c>
      <c r="Q305">
        <v>1.9</v>
      </c>
      <c r="R305">
        <v>24.2</v>
      </c>
      <c r="S305">
        <v>1</v>
      </c>
      <c r="T305">
        <v>0.2</v>
      </c>
      <c r="U305">
        <v>0</v>
      </c>
      <c r="V305">
        <v>1.7</v>
      </c>
      <c r="W305">
        <v>0.1</v>
      </c>
      <c r="X305">
        <v>0.7</v>
      </c>
      <c r="Y305">
        <v>0</v>
      </c>
      <c r="Z305">
        <v>0</v>
      </c>
      <c r="AA305">
        <v>0</v>
      </c>
      <c r="AB305">
        <v>0.3</v>
      </c>
      <c r="AC305" t="s">
        <v>782</v>
      </c>
      <c r="AD305">
        <v>70</v>
      </c>
      <c r="AE305" t="s">
        <v>782</v>
      </c>
      <c r="AF305" s="4" t="s">
        <v>80</v>
      </c>
      <c r="AG305" s="4">
        <v>424</v>
      </c>
      <c r="AH305" s="4" t="s">
        <v>81</v>
      </c>
      <c r="AI305" s="4">
        <v>421</v>
      </c>
      <c r="AJ305" t="s">
        <v>782</v>
      </c>
      <c r="AK305" t="s">
        <v>56</v>
      </c>
      <c r="AL305" t="s">
        <v>781</v>
      </c>
      <c r="AM305">
        <v>7</v>
      </c>
      <c r="AN305">
        <v>0</v>
      </c>
      <c r="AO305">
        <v>8</v>
      </c>
      <c r="AP305">
        <v>0</v>
      </c>
      <c r="AQ305" s="5">
        <v>83</v>
      </c>
      <c r="AR305">
        <v>16</v>
      </c>
      <c r="AS305">
        <v>0</v>
      </c>
      <c r="AT305">
        <v>17</v>
      </c>
      <c r="AU305">
        <v>0</v>
      </c>
      <c r="AV305" s="5">
        <v>87</v>
      </c>
      <c r="AW305" t="s">
        <v>56</v>
      </c>
      <c r="AX305" s="6">
        <v>928</v>
      </c>
      <c r="AY305" t="s">
        <v>782</v>
      </c>
      <c r="AZ305" t="s">
        <v>56</v>
      </c>
    </row>
    <row r="306" spans="1:52" hidden="1" x14ac:dyDescent="0.45">
      <c r="A306">
        <v>504184.257450848</v>
      </c>
      <c r="B306">
        <v>6936170.0652381098</v>
      </c>
      <c r="C306">
        <v>305</v>
      </c>
      <c r="D306" t="s">
        <v>783</v>
      </c>
      <c r="E306" t="s">
        <v>347</v>
      </c>
      <c r="F306" t="s">
        <v>784</v>
      </c>
      <c r="G306" t="s">
        <v>782</v>
      </c>
      <c r="H306" s="3">
        <v>7269</v>
      </c>
      <c r="I306">
        <v>2</v>
      </c>
      <c r="J306" t="s">
        <v>56</v>
      </c>
      <c r="K306">
        <v>63.9</v>
      </c>
      <c r="L306">
        <v>70.900000000000006</v>
      </c>
      <c r="M306">
        <v>1</v>
      </c>
      <c r="N306" t="s">
        <v>56</v>
      </c>
      <c r="O306" t="s">
        <v>782</v>
      </c>
      <c r="P306">
        <v>80.8</v>
      </c>
      <c r="Q306">
        <v>1</v>
      </c>
      <c r="R306">
        <v>15.8</v>
      </c>
      <c r="S306">
        <v>0.8</v>
      </c>
      <c r="T306">
        <v>0.3</v>
      </c>
      <c r="U306">
        <v>0</v>
      </c>
      <c r="V306">
        <v>0.6</v>
      </c>
      <c r="W306">
        <v>0.1</v>
      </c>
      <c r="X306">
        <v>0.3</v>
      </c>
      <c r="Y306">
        <v>0.1</v>
      </c>
      <c r="Z306">
        <v>0</v>
      </c>
      <c r="AA306">
        <v>0</v>
      </c>
      <c r="AB306">
        <v>0.2</v>
      </c>
      <c r="AC306" t="s">
        <v>782</v>
      </c>
      <c r="AD306">
        <v>60</v>
      </c>
      <c r="AE306" t="s">
        <v>782</v>
      </c>
      <c r="AF306" s="4" t="s">
        <v>57</v>
      </c>
      <c r="AG306" s="4">
        <v>3545</v>
      </c>
      <c r="AH306" s="4" t="s">
        <v>58</v>
      </c>
      <c r="AI306" s="4">
        <v>3724</v>
      </c>
      <c r="AJ306" t="s">
        <v>782</v>
      </c>
      <c r="AK306" t="s">
        <v>56</v>
      </c>
      <c r="AL306" t="s">
        <v>784</v>
      </c>
      <c r="AM306">
        <v>8</v>
      </c>
      <c r="AN306">
        <v>0</v>
      </c>
      <c r="AO306">
        <v>9</v>
      </c>
      <c r="AP306">
        <v>0</v>
      </c>
      <c r="AQ306" s="5">
        <v>740</v>
      </c>
      <c r="AR306">
        <v>15</v>
      </c>
      <c r="AS306">
        <v>0</v>
      </c>
      <c r="AT306">
        <v>16</v>
      </c>
      <c r="AU306">
        <v>0</v>
      </c>
      <c r="AV306" s="5">
        <v>784</v>
      </c>
      <c r="AW306" t="s">
        <v>56</v>
      </c>
      <c r="AX306" s="6">
        <v>8336</v>
      </c>
      <c r="AY306" t="s">
        <v>782</v>
      </c>
      <c r="AZ306" t="s">
        <v>56</v>
      </c>
    </row>
    <row r="307" spans="1:52" hidden="1" x14ac:dyDescent="0.45">
      <c r="A307">
        <v>513349.76610321499</v>
      </c>
      <c r="B307">
        <v>6929037.4371687602</v>
      </c>
      <c r="C307">
        <v>306</v>
      </c>
      <c r="D307" t="s">
        <v>785</v>
      </c>
      <c r="E307" t="s">
        <v>313</v>
      </c>
      <c r="F307" t="s">
        <v>786</v>
      </c>
      <c r="G307" t="s">
        <v>782</v>
      </c>
      <c r="H307" s="3">
        <v>219</v>
      </c>
      <c r="I307">
        <v>2</v>
      </c>
      <c r="J307" t="s">
        <v>56</v>
      </c>
      <c r="K307">
        <v>62.9</v>
      </c>
      <c r="L307">
        <v>74.900000000000006</v>
      </c>
      <c r="M307">
        <v>1</v>
      </c>
      <c r="N307" t="s">
        <v>56</v>
      </c>
      <c r="O307" t="s">
        <v>782</v>
      </c>
      <c r="P307">
        <v>67.2</v>
      </c>
      <c r="Q307">
        <v>2.1</v>
      </c>
      <c r="R307">
        <v>27.7</v>
      </c>
      <c r="S307">
        <v>0.5</v>
      </c>
      <c r="T307">
        <v>0</v>
      </c>
      <c r="U307">
        <v>0</v>
      </c>
      <c r="V307">
        <v>1.1000000000000001</v>
      </c>
      <c r="W307">
        <v>0</v>
      </c>
      <c r="X307">
        <v>0.1</v>
      </c>
      <c r="Y307">
        <v>0.1</v>
      </c>
      <c r="Z307">
        <v>0</v>
      </c>
      <c r="AA307">
        <v>0</v>
      </c>
      <c r="AB307">
        <v>1.2</v>
      </c>
      <c r="AC307" t="s">
        <v>782</v>
      </c>
      <c r="AD307">
        <v>60</v>
      </c>
      <c r="AE307" t="s">
        <v>782</v>
      </c>
      <c r="AF307" s="4" t="s">
        <v>57</v>
      </c>
      <c r="AG307" s="4">
        <v>105</v>
      </c>
      <c r="AH307" s="4" t="s">
        <v>58</v>
      </c>
      <c r="AI307" s="4">
        <v>114</v>
      </c>
      <c r="AJ307" t="s">
        <v>782</v>
      </c>
      <c r="AK307" t="s">
        <v>56</v>
      </c>
      <c r="AL307" t="s">
        <v>786</v>
      </c>
      <c r="AM307">
        <v>8</v>
      </c>
      <c r="AN307">
        <v>0</v>
      </c>
      <c r="AO307">
        <v>9</v>
      </c>
      <c r="AP307">
        <v>0</v>
      </c>
      <c r="AQ307" s="5">
        <v>22</v>
      </c>
      <c r="AR307">
        <v>16</v>
      </c>
      <c r="AS307">
        <v>0</v>
      </c>
      <c r="AT307">
        <v>17</v>
      </c>
      <c r="AU307">
        <v>0</v>
      </c>
      <c r="AV307" s="5">
        <v>27</v>
      </c>
      <c r="AW307" t="s">
        <v>56</v>
      </c>
      <c r="AX307" s="6">
        <v>246</v>
      </c>
      <c r="AY307" t="s">
        <v>782</v>
      </c>
      <c r="AZ307" t="s">
        <v>56</v>
      </c>
    </row>
    <row r="308" spans="1:52" hidden="1" x14ac:dyDescent="0.45">
      <c r="A308">
        <v>523378.59730274999</v>
      </c>
      <c r="B308">
        <v>6940303.4277889496</v>
      </c>
      <c r="C308">
        <v>307</v>
      </c>
      <c r="D308" t="s">
        <v>787</v>
      </c>
      <c r="E308" t="s">
        <v>780</v>
      </c>
      <c r="F308" t="s">
        <v>788</v>
      </c>
      <c r="G308" t="s">
        <v>782</v>
      </c>
      <c r="H308" s="3">
        <v>360</v>
      </c>
      <c r="I308">
        <v>2</v>
      </c>
      <c r="J308" t="s">
        <v>56</v>
      </c>
      <c r="K308">
        <v>63</v>
      </c>
      <c r="L308">
        <v>73.400000000000006</v>
      </c>
      <c r="M308">
        <v>1</v>
      </c>
      <c r="N308" t="s">
        <v>56</v>
      </c>
      <c r="O308" t="s">
        <v>782</v>
      </c>
      <c r="P308">
        <v>69.7</v>
      </c>
      <c r="Q308">
        <v>1.5</v>
      </c>
      <c r="R308">
        <v>21.2</v>
      </c>
      <c r="S308">
        <v>2</v>
      </c>
      <c r="T308">
        <v>0.1</v>
      </c>
      <c r="U308">
        <v>0.1</v>
      </c>
      <c r="V308">
        <v>1.2</v>
      </c>
      <c r="W308">
        <v>0.2</v>
      </c>
      <c r="X308">
        <v>2.5</v>
      </c>
      <c r="Y308">
        <v>0.8</v>
      </c>
      <c r="Z308">
        <v>0.4</v>
      </c>
      <c r="AA308">
        <v>0</v>
      </c>
      <c r="AB308">
        <v>0.3</v>
      </c>
      <c r="AC308" t="s">
        <v>782</v>
      </c>
      <c r="AD308">
        <v>60</v>
      </c>
      <c r="AE308" t="s">
        <v>782</v>
      </c>
      <c r="AF308" s="4" t="s">
        <v>57</v>
      </c>
      <c r="AG308" s="4">
        <v>184</v>
      </c>
      <c r="AH308" s="4" t="s">
        <v>58</v>
      </c>
      <c r="AI308" s="4">
        <v>176</v>
      </c>
      <c r="AJ308" t="s">
        <v>782</v>
      </c>
      <c r="AK308" t="s">
        <v>56</v>
      </c>
      <c r="AL308" t="s">
        <v>788</v>
      </c>
      <c r="AM308">
        <v>7</v>
      </c>
      <c r="AN308">
        <v>0</v>
      </c>
      <c r="AO308">
        <v>8</v>
      </c>
      <c r="AP308">
        <v>0</v>
      </c>
      <c r="AQ308" s="5">
        <v>34</v>
      </c>
      <c r="AR308">
        <v>14</v>
      </c>
      <c r="AS308">
        <v>0</v>
      </c>
      <c r="AT308">
        <v>15</v>
      </c>
      <c r="AU308">
        <v>0</v>
      </c>
      <c r="AV308" s="5">
        <v>44</v>
      </c>
      <c r="AW308" t="s">
        <v>56</v>
      </c>
      <c r="AX308" s="6">
        <v>391</v>
      </c>
      <c r="AY308" t="s">
        <v>782</v>
      </c>
      <c r="AZ308" t="s">
        <v>56</v>
      </c>
    </row>
    <row r="309" spans="1:52" hidden="1" x14ac:dyDescent="0.45">
      <c r="A309">
        <v>504737.64416836598</v>
      </c>
      <c r="B309">
        <v>6934083.3894631797</v>
      </c>
      <c r="C309">
        <v>308</v>
      </c>
      <c r="D309" t="s">
        <v>346</v>
      </c>
      <c r="E309" t="s">
        <v>347</v>
      </c>
      <c r="F309" t="s">
        <v>789</v>
      </c>
      <c r="G309" t="s">
        <v>782</v>
      </c>
      <c r="H309" s="3">
        <v>1495</v>
      </c>
      <c r="I309">
        <v>2</v>
      </c>
      <c r="J309" t="s">
        <v>56</v>
      </c>
      <c r="K309">
        <v>71.8</v>
      </c>
      <c r="L309">
        <v>80.599999999999994</v>
      </c>
      <c r="M309">
        <v>1</v>
      </c>
      <c r="N309" t="s">
        <v>56</v>
      </c>
      <c r="O309" t="s">
        <v>782</v>
      </c>
      <c r="P309">
        <v>78.900000000000006</v>
      </c>
      <c r="Q309">
        <v>1.5</v>
      </c>
      <c r="R309">
        <v>16.8</v>
      </c>
      <c r="S309">
        <v>0.8</v>
      </c>
      <c r="T309">
        <v>0.1</v>
      </c>
      <c r="U309">
        <v>0</v>
      </c>
      <c r="V309">
        <v>0.7</v>
      </c>
      <c r="W309">
        <v>0.1</v>
      </c>
      <c r="X309">
        <v>0.3</v>
      </c>
      <c r="Y309">
        <v>0.6</v>
      </c>
      <c r="Z309">
        <v>0</v>
      </c>
      <c r="AA309">
        <v>0</v>
      </c>
      <c r="AB309">
        <v>0.2</v>
      </c>
      <c r="AC309" t="s">
        <v>782</v>
      </c>
      <c r="AD309">
        <v>70</v>
      </c>
      <c r="AE309" t="s">
        <v>782</v>
      </c>
      <c r="AF309" s="4" t="s">
        <v>57</v>
      </c>
      <c r="AG309" s="4">
        <v>788</v>
      </c>
      <c r="AH309" s="4" t="s">
        <v>58</v>
      </c>
      <c r="AI309" s="4">
        <v>707</v>
      </c>
      <c r="AJ309" t="s">
        <v>782</v>
      </c>
      <c r="AK309" t="s">
        <v>56</v>
      </c>
      <c r="AL309" t="s">
        <v>789</v>
      </c>
      <c r="AM309">
        <v>7</v>
      </c>
      <c r="AN309">
        <v>0</v>
      </c>
      <c r="AO309">
        <v>8</v>
      </c>
      <c r="AP309">
        <v>0</v>
      </c>
      <c r="AQ309" s="5">
        <v>185</v>
      </c>
      <c r="AR309">
        <v>15</v>
      </c>
      <c r="AS309">
        <v>0</v>
      </c>
      <c r="AT309">
        <v>16</v>
      </c>
      <c r="AU309">
        <v>0</v>
      </c>
      <c r="AV309" s="5">
        <v>207</v>
      </c>
      <c r="AW309" t="s">
        <v>56</v>
      </c>
      <c r="AX309" s="6">
        <v>1704</v>
      </c>
      <c r="AY309" t="s">
        <v>782</v>
      </c>
      <c r="AZ309" t="s">
        <v>56</v>
      </c>
    </row>
    <row r="310" spans="1:52" hidden="1" x14ac:dyDescent="0.45">
      <c r="A310">
        <v>513842.84354051901</v>
      </c>
      <c r="B310">
        <v>6928173.1970021604</v>
      </c>
      <c r="C310">
        <v>309</v>
      </c>
      <c r="D310" t="s">
        <v>790</v>
      </c>
      <c r="E310" t="s">
        <v>313</v>
      </c>
      <c r="F310" t="s">
        <v>791</v>
      </c>
      <c r="G310" t="s">
        <v>782</v>
      </c>
      <c r="H310" s="3">
        <v>508</v>
      </c>
      <c r="I310">
        <v>2</v>
      </c>
      <c r="J310" t="s">
        <v>56</v>
      </c>
      <c r="K310">
        <v>67.099999999999994</v>
      </c>
      <c r="L310">
        <v>77</v>
      </c>
      <c r="M310">
        <v>1</v>
      </c>
      <c r="N310" t="s">
        <v>56</v>
      </c>
      <c r="O310" t="s">
        <v>782</v>
      </c>
      <c r="P310">
        <v>69.400000000000006</v>
      </c>
      <c r="Q310">
        <v>0.7</v>
      </c>
      <c r="R310">
        <v>25.7</v>
      </c>
      <c r="S310">
        <v>0.7</v>
      </c>
      <c r="T310">
        <v>0</v>
      </c>
      <c r="U310">
        <v>0</v>
      </c>
      <c r="V310">
        <v>2</v>
      </c>
      <c r="W310">
        <v>0.1</v>
      </c>
      <c r="X310">
        <v>0.2</v>
      </c>
      <c r="Y310">
        <v>0</v>
      </c>
      <c r="Z310">
        <v>0.1</v>
      </c>
      <c r="AA310">
        <v>0</v>
      </c>
      <c r="AB310">
        <v>1.1000000000000001</v>
      </c>
      <c r="AC310" t="s">
        <v>782</v>
      </c>
      <c r="AD310">
        <v>60</v>
      </c>
      <c r="AE310" t="s">
        <v>782</v>
      </c>
      <c r="AF310" s="4" t="s">
        <v>57</v>
      </c>
      <c r="AG310" s="4">
        <v>254</v>
      </c>
      <c r="AH310" s="4" t="s">
        <v>58</v>
      </c>
      <c r="AI310" s="4">
        <v>254</v>
      </c>
      <c r="AJ310" t="s">
        <v>782</v>
      </c>
      <c r="AK310" t="s">
        <v>56</v>
      </c>
      <c r="AL310" t="s">
        <v>791</v>
      </c>
      <c r="AM310">
        <v>8</v>
      </c>
      <c r="AN310">
        <v>0</v>
      </c>
      <c r="AO310">
        <v>9</v>
      </c>
      <c r="AP310">
        <v>0</v>
      </c>
      <c r="AQ310" s="5">
        <v>38</v>
      </c>
      <c r="AR310">
        <v>15</v>
      </c>
      <c r="AS310">
        <v>0</v>
      </c>
      <c r="AT310">
        <v>16</v>
      </c>
      <c r="AU310">
        <v>0</v>
      </c>
      <c r="AV310" s="5">
        <v>55</v>
      </c>
      <c r="AW310" t="s">
        <v>56</v>
      </c>
      <c r="AX310" s="6">
        <v>540</v>
      </c>
      <c r="AY310" t="s">
        <v>782</v>
      </c>
      <c r="AZ310" t="s">
        <v>56</v>
      </c>
    </row>
    <row r="311" spans="1:52" hidden="1" x14ac:dyDescent="0.45">
      <c r="A311">
        <v>514556.45181966102</v>
      </c>
      <c r="B311">
        <v>6947826.1291575804</v>
      </c>
      <c r="C311">
        <v>310</v>
      </c>
      <c r="D311" t="s">
        <v>342</v>
      </c>
      <c r="E311" t="s">
        <v>792</v>
      </c>
      <c r="F311" t="s">
        <v>793</v>
      </c>
      <c r="G311" t="s">
        <v>782</v>
      </c>
      <c r="H311" s="3">
        <v>3172</v>
      </c>
      <c r="I311">
        <v>2</v>
      </c>
      <c r="J311" t="s">
        <v>56</v>
      </c>
      <c r="K311">
        <v>64.599999999999994</v>
      </c>
      <c r="L311">
        <v>70.900000000000006</v>
      </c>
      <c r="M311">
        <v>1</v>
      </c>
      <c r="N311" t="s">
        <v>56</v>
      </c>
      <c r="O311" t="s">
        <v>782</v>
      </c>
      <c r="P311">
        <v>80.3</v>
      </c>
      <c r="Q311">
        <v>0.8</v>
      </c>
      <c r="R311">
        <v>17.8</v>
      </c>
      <c r="S311">
        <v>0.2</v>
      </c>
      <c r="T311">
        <v>0.1</v>
      </c>
      <c r="U311">
        <v>0</v>
      </c>
      <c r="V311">
        <v>0.4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0.4</v>
      </c>
      <c r="AC311" t="s">
        <v>782</v>
      </c>
      <c r="AD311">
        <v>70</v>
      </c>
      <c r="AE311" t="s">
        <v>782</v>
      </c>
      <c r="AF311" s="4" t="s">
        <v>57</v>
      </c>
      <c r="AG311" s="4">
        <v>1612</v>
      </c>
      <c r="AH311" s="4" t="s">
        <v>58</v>
      </c>
      <c r="AI311" s="4">
        <v>1560</v>
      </c>
      <c r="AJ311" t="s">
        <v>782</v>
      </c>
      <c r="AK311" t="s">
        <v>56</v>
      </c>
      <c r="AL311" t="s">
        <v>793</v>
      </c>
      <c r="AM311">
        <v>7</v>
      </c>
      <c r="AN311">
        <v>0</v>
      </c>
      <c r="AO311">
        <v>8</v>
      </c>
      <c r="AP311">
        <v>0</v>
      </c>
      <c r="AQ311" s="5">
        <v>446</v>
      </c>
      <c r="AR311">
        <v>16</v>
      </c>
      <c r="AS311">
        <v>0</v>
      </c>
      <c r="AT311">
        <v>17</v>
      </c>
      <c r="AU311">
        <v>0</v>
      </c>
      <c r="AV311" s="5">
        <v>409</v>
      </c>
      <c r="AW311" t="s">
        <v>56</v>
      </c>
      <c r="AX311" s="6">
        <v>3838</v>
      </c>
      <c r="AY311" t="s">
        <v>782</v>
      </c>
      <c r="AZ311" t="s">
        <v>56</v>
      </c>
    </row>
    <row r="312" spans="1:52" hidden="1" x14ac:dyDescent="0.45">
      <c r="A312">
        <v>508865.44303980598</v>
      </c>
      <c r="B312">
        <v>6932264.6570218997</v>
      </c>
      <c r="C312">
        <v>311</v>
      </c>
      <c r="D312" t="s">
        <v>794</v>
      </c>
      <c r="E312" t="s">
        <v>795</v>
      </c>
      <c r="F312" t="s">
        <v>796</v>
      </c>
      <c r="G312" t="s">
        <v>782</v>
      </c>
      <c r="H312" s="3">
        <v>1827</v>
      </c>
      <c r="I312">
        <v>2</v>
      </c>
      <c r="J312" t="s">
        <v>56</v>
      </c>
      <c r="K312">
        <v>68.400000000000006</v>
      </c>
      <c r="L312">
        <v>76.7</v>
      </c>
      <c r="M312">
        <v>1</v>
      </c>
      <c r="N312" t="s">
        <v>56</v>
      </c>
      <c r="O312" t="s">
        <v>782</v>
      </c>
      <c r="P312">
        <v>77.099999999999994</v>
      </c>
      <c r="Q312">
        <v>1.8</v>
      </c>
      <c r="R312">
        <v>18.5</v>
      </c>
      <c r="S312">
        <v>0.7</v>
      </c>
      <c r="T312">
        <v>0.1</v>
      </c>
      <c r="U312">
        <v>0.1</v>
      </c>
      <c r="V312">
        <v>1</v>
      </c>
      <c r="W312">
        <v>0.1</v>
      </c>
      <c r="X312">
        <v>0.2</v>
      </c>
      <c r="Y312">
        <v>0</v>
      </c>
      <c r="Z312">
        <v>0</v>
      </c>
      <c r="AA312">
        <v>0</v>
      </c>
      <c r="AB312">
        <v>0.4</v>
      </c>
      <c r="AC312" t="s">
        <v>782</v>
      </c>
      <c r="AD312">
        <v>80</v>
      </c>
      <c r="AE312" t="s">
        <v>782</v>
      </c>
      <c r="AF312" s="4" t="s">
        <v>57</v>
      </c>
      <c r="AG312" s="4">
        <v>887</v>
      </c>
      <c r="AH312" s="4" t="s">
        <v>58</v>
      </c>
      <c r="AI312" s="4">
        <v>940</v>
      </c>
      <c r="AJ312" t="s">
        <v>782</v>
      </c>
      <c r="AK312" t="s">
        <v>56</v>
      </c>
      <c r="AL312" t="s">
        <v>796</v>
      </c>
      <c r="AM312">
        <v>8</v>
      </c>
      <c r="AN312">
        <v>0</v>
      </c>
      <c r="AO312">
        <v>9</v>
      </c>
      <c r="AP312">
        <v>0</v>
      </c>
      <c r="AQ312" s="5">
        <v>204</v>
      </c>
      <c r="AR312">
        <v>16</v>
      </c>
      <c r="AS312">
        <v>0</v>
      </c>
      <c r="AT312">
        <v>17</v>
      </c>
      <c r="AU312">
        <v>0</v>
      </c>
      <c r="AV312" s="5">
        <v>202</v>
      </c>
      <c r="AW312" t="s">
        <v>56</v>
      </c>
      <c r="AX312" s="6">
        <v>2104</v>
      </c>
      <c r="AY312" t="s">
        <v>782</v>
      </c>
      <c r="AZ312" t="s">
        <v>56</v>
      </c>
    </row>
    <row r="313" spans="1:52" hidden="1" x14ac:dyDescent="0.45">
      <c r="A313">
        <v>507008.51130856498</v>
      </c>
      <c r="B313">
        <v>6930892.6430595601</v>
      </c>
      <c r="C313">
        <v>312</v>
      </c>
      <c r="D313" t="s">
        <v>797</v>
      </c>
      <c r="E313" t="s">
        <v>482</v>
      </c>
      <c r="F313" t="s">
        <v>798</v>
      </c>
      <c r="G313" t="s">
        <v>782</v>
      </c>
      <c r="H313" s="3">
        <v>2722</v>
      </c>
      <c r="I313">
        <v>2</v>
      </c>
      <c r="J313" t="s">
        <v>56</v>
      </c>
      <c r="K313">
        <v>78.400000000000006</v>
      </c>
      <c r="L313">
        <v>86.4</v>
      </c>
      <c r="M313">
        <v>1</v>
      </c>
      <c r="N313" t="s">
        <v>56</v>
      </c>
      <c r="O313" t="s">
        <v>782</v>
      </c>
      <c r="P313">
        <v>76.400000000000006</v>
      </c>
      <c r="Q313">
        <v>1.8</v>
      </c>
      <c r="R313">
        <v>17.600000000000001</v>
      </c>
      <c r="S313">
        <v>1.7</v>
      </c>
      <c r="T313">
        <v>0.3</v>
      </c>
      <c r="U313">
        <v>0</v>
      </c>
      <c r="V313">
        <v>1.2</v>
      </c>
      <c r="W313">
        <v>0.1</v>
      </c>
      <c r="X313">
        <v>0.3</v>
      </c>
      <c r="Y313">
        <v>0.2</v>
      </c>
      <c r="Z313">
        <v>0</v>
      </c>
      <c r="AA313">
        <v>0</v>
      </c>
      <c r="AB313">
        <v>0.4</v>
      </c>
      <c r="AC313" t="s">
        <v>782</v>
      </c>
      <c r="AD313">
        <v>80</v>
      </c>
      <c r="AE313" t="s">
        <v>782</v>
      </c>
      <c r="AF313" s="4" t="s">
        <v>57</v>
      </c>
      <c r="AG313" s="4">
        <v>1314</v>
      </c>
      <c r="AH313" s="4" t="s">
        <v>58</v>
      </c>
      <c r="AI313" s="4">
        <v>1408</v>
      </c>
      <c r="AJ313" t="s">
        <v>782</v>
      </c>
      <c r="AK313" t="s">
        <v>56</v>
      </c>
      <c r="AL313" t="s">
        <v>798</v>
      </c>
      <c r="AM313">
        <v>7</v>
      </c>
      <c r="AN313">
        <v>0</v>
      </c>
      <c r="AO313">
        <v>8</v>
      </c>
      <c r="AP313">
        <v>0</v>
      </c>
      <c r="AQ313" s="5">
        <v>280</v>
      </c>
      <c r="AR313">
        <v>16</v>
      </c>
      <c r="AS313">
        <v>0</v>
      </c>
      <c r="AT313">
        <v>17</v>
      </c>
      <c r="AU313">
        <v>0</v>
      </c>
      <c r="AV313" s="5">
        <v>311</v>
      </c>
      <c r="AW313" t="s">
        <v>56</v>
      </c>
      <c r="AX313" s="6">
        <v>3050</v>
      </c>
      <c r="AY313" t="s">
        <v>782</v>
      </c>
      <c r="AZ313" t="s">
        <v>56</v>
      </c>
    </row>
    <row r="314" spans="1:52" hidden="1" x14ac:dyDescent="0.45">
      <c r="A314">
        <v>505612.077476751</v>
      </c>
      <c r="B314">
        <v>6930565.7086062897</v>
      </c>
      <c r="C314">
        <v>313</v>
      </c>
      <c r="D314" t="s">
        <v>797</v>
      </c>
      <c r="E314" t="s">
        <v>482</v>
      </c>
      <c r="F314" t="s">
        <v>799</v>
      </c>
      <c r="G314" t="s">
        <v>782</v>
      </c>
      <c r="H314" s="3">
        <v>2727</v>
      </c>
      <c r="I314">
        <v>2</v>
      </c>
      <c r="J314" t="s">
        <v>56</v>
      </c>
      <c r="K314">
        <v>74.5</v>
      </c>
      <c r="L314">
        <v>83.9</v>
      </c>
      <c r="M314">
        <v>1</v>
      </c>
      <c r="N314" t="s">
        <v>56</v>
      </c>
      <c r="O314" t="s">
        <v>782</v>
      </c>
      <c r="P314">
        <v>75.900000000000006</v>
      </c>
      <c r="Q314">
        <v>1.9</v>
      </c>
      <c r="R314">
        <v>17.7</v>
      </c>
      <c r="S314">
        <v>1.9</v>
      </c>
      <c r="T314">
        <v>0.3</v>
      </c>
      <c r="U314">
        <v>0</v>
      </c>
      <c r="V314">
        <v>1.2</v>
      </c>
      <c r="W314">
        <v>0.1</v>
      </c>
      <c r="X314">
        <v>0.4</v>
      </c>
      <c r="Y314">
        <v>0.3</v>
      </c>
      <c r="Z314">
        <v>0</v>
      </c>
      <c r="AA314">
        <v>0</v>
      </c>
      <c r="AB314">
        <v>0.3</v>
      </c>
      <c r="AC314" t="s">
        <v>782</v>
      </c>
      <c r="AD314">
        <v>80</v>
      </c>
      <c r="AE314" t="s">
        <v>782</v>
      </c>
      <c r="AF314" s="4" t="s">
        <v>57</v>
      </c>
      <c r="AG314" s="4">
        <v>1312</v>
      </c>
      <c r="AH314" s="4" t="s">
        <v>58</v>
      </c>
      <c r="AI314" s="4">
        <v>1415</v>
      </c>
      <c r="AJ314" t="s">
        <v>782</v>
      </c>
      <c r="AK314" t="s">
        <v>56</v>
      </c>
      <c r="AL314" t="s">
        <v>799</v>
      </c>
      <c r="AM314">
        <v>7</v>
      </c>
      <c r="AN314">
        <v>0</v>
      </c>
      <c r="AO314">
        <v>8</v>
      </c>
      <c r="AP314">
        <v>0</v>
      </c>
      <c r="AQ314" s="5">
        <v>278</v>
      </c>
      <c r="AR314">
        <v>16</v>
      </c>
      <c r="AS314">
        <v>0</v>
      </c>
      <c r="AT314">
        <v>17</v>
      </c>
      <c r="AU314">
        <v>0</v>
      </c>
      <c r="AV314" s="5">
        <v>315</v>
      </c>
      <c r="AW314" t="s">
        <v>56</v>
      </c>
      <c r="AX314" s="6">
        <v>3050</v>
      </c>
      <c r="AY314" t="s">
        <v>782</v>
      </c>
      <c r="AZ314" t="s">
        <v>56</v>
      </c>
    </row>
    <row r="315" spans="1:52" hidden="1" x14ac:dyDescent="0.45">
      <c r="A315">
        <v>512537.15937018802</v>
      </c>
      <c r="B315">
        <v>6944168.4468796402</v>
      </c>
      <c r="C315">
        <v>314</v>
      </c>
      <c r="D315" t="s">
        <v>800</v>
      </c>
      <c r="E315" t="s">
        <v>465</v>
      </c>
      <c r="F315" t="s">
        <v>801</v>
      </c>
      <c r="G315" t="s">
        <v>802</v>
      </c>
      <c r="H315" s="3">
        <v>10812</v>
      </c>
      <c r="I315">
        <v>2</v>
      </c>
      <c r="J315" t="s">
        <v>56</v>
      </c>
      <c r="K315">
        <v>54.7</v>
      </c>
      <c r="L315">
        <v>59.4</v>
      </c>
      <c r="M315">
        <v>1</v>
      </c>
      <c r="N315" t="s">
        <v>56</v>
      </c>
      <c r="O315" t="s">
        <v>802</v>
      </c>
      <c r="P315">
        <v>86.2</v>
      </c>
      <c r="Q315">
        <v>0.6</v>
      </c>
      <c r="R315">
        <v>11.8</v>
      </c>
      <c r="S315">
        <v>0.8</v>
      </c>
      <c r="T315">
        <v>0.1</v>
      </c>
      <c r="U315">
        <v>0</v>
      </c>
      <c r="V315">
        <v>0.2</v>
      </c>
      <c r="W315">
        <v>0</v>
      </c>
      <c r="X315">
        <v>0.1</v>
      </c>
      <c r="Y315">
        <v>0</v>
      </c>
      <c r="Z315">
        <v>0</v>
      </c>
      <c r="AA315">
        <v>0</v>
      </c>
      <c r="AB315">
        <v>0.2</v>
      </c>
      <c r="AC315" t="s">
        <v>802</v>
      </c>
      <c r="AD315">
        <v>60</v>
      </c>
      <c r="AE315" t="s">
        <v>802</v>
      </c>
      <c r="AF315" s="4" t="s">
        <v>57</v>
      </c>
      <c r="AG315" s="4">
        <v>4635</v>
      </c>
      <c r="AH315" s="4" t="s">
        <v>58</v>
      </c>
      <c r="AI315" s="4">
        <v>6177</v>
      </c>
      <c r="AJ315" t="s">
        <v>802</v>
      </c>
      <c r="AK315" t="s">
        <v>56</v>
      </c>
      <c r="AL315" t="s">
        <v>801</v>
      </c>
      <c r="AM315">
        <v>8</v>
      </c>
      <c r="AN315">
        <v>0</v>
      </c>
      <c r="AO315">
        <v>9</v>
      </c>
      <c r="AP315">
        <v>0</v>
      </c>
      <c r="AQ315" s="5">
        <v>1180</v>
      </c>
      <c r="AR315">
        <v>14</v>
      </c>
      <c r="AS315">
        <v>0</v>
      </c>
      <c r="AT315">
        <v>15</v>
      </c>
      <c r="AU315">
        <v>0</v>
      </c>
      <c r="AV315" s="5">
        <v>1018</v>
      </c>
      <c r="AW315" t="s">
        <v>56</v>
      </c>
      <c r="AX315" s="6">
        <v>11663</v>
      </c>
      <c r="AY315" t="s">
        <v>802</v>
      </c>
      <c r="AZ315" t="s">
        <v>56</v>
      </c>
    </row>
    <row r="316" spans="1:52" hidden="1" x14ac:dyDescent="0.45">
      <c r="A316">
        <v>518732.72919974802</v>
      </c>
      <c r="B316">
        <v>6935086.6330313999</v>
      </c>
      <c r="C316">
        <v>315</v>
      </c>
      <c r="D316" t="s">
        <v>803</v>
      </c>
      <c r="E316" t="s">
        <v>63</v>
      </c>
      <c r="F316" t="s">
        <v>804</v>
      </c>
      <c r="G316" t="s">
        <v>805</v>
      </c>
      <c r="H316" s="3">
        <v>66</v>
      </c>
      <c r="I316">
        <v>2</v>
      </c>
      <c r="J316" t="s">
        <v>56</v>
      </c>
      <c r="K316">
        <v>34.5</v>
      </c>
      <c r="L316">
        <v>44.6</v>
      </c>
      <c r="M316">
        <v>1</v>
      </c>
      <c r="N316" t="s">
        <v>56</v>
      </c>
      <c r="O316" t="s">
        <v>805</v>
      </c>
      <c r="P316">
        <v>88.8</v>
      </c>
      <c r="Q316">
        <v>1.5</v>
      </c>
      <c r="R316">
        <v>9.3000000000000007</v>
      </c>
      <c r="S316">
        <v>0.2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0.2</v>
      </c>
      <c r="AC316" t="s">
        <v>805</v>
      </c>
      <c r="AD316">
        <v>50</v>
      </c>
      <c r="AE316" t="s">
        <v>805</v>
      </c>
      <c r="AF316" s="4" t="s">
        <v>57</v>
      </c>
      <c r="AG316" s="4">
        <v>33</v>
      </c>
      <c r="AH316" s="4" t="s">
        <v>58</v>
      </c>
      <c r="AI316" s="4">
        <v>33</v>
      </c>
      <c r="AJ316" t="s">
        <v>805</v>
      </c>
      <c r="AK316" t="s">
        <v>56</v>
      </c>
      <c r="AL316" t="s">
        <v>804</v>
      </c>
      <c r="AM316">
        <v>11</v>
      </c>
      <c r="AN316">
        <v>0</v>
      </c>
      <c r="AO316">
        <v>12</v>
      </c>
      <c r="AP316">
        <v>0</v>
      </c>
      <c r="AQ316" s="5">
        <v>8</v>
      </c>
      <c r="AR316">
        <v>12</v>
      </c>
      <c r="AS316">
        <v>0</v>
      </c>
      <c r="AT316">
        <v>13</v>
      </c>
      <c r="AU316">
        <v>0</v>
      </c>
      <c r="AV316" s="5">
        <v>10</v>
      </c>
      <c r="AW316" t="s">
        <v>56</v>
      </c>
      <c r="AX316" s="6">
        <v>72</v>
      </c>
      <c r="AY316" t="s">
        <v>805</v>
      </c>
      <c r="AZ316" t="s">
        <v>56</v>
      </c>
    </row>
    <row r="317" spans="1:52" hidden="1" x14ac:dyDescent="0.45">
      <c r="A317">
        <v>518637.57008588698</v>
      </c>
      <c r="B317">
        <v>6941249.28011995</v>
      </c>
      <c r="C317">
        <v>316</v>
      </c>
      <c r="D317" t="s">
        <v>806</v>
      </c>
      <c r="E317" t="s">
        <v>67</v>
      </c>
      <c r="F317" t="s">
        <v>807</v>
      </c>
      <c r="G317" t="s">
        <v>805</v>
      </c>
      <c r="H317" s="3">
        <v>937</v>
      </c>
      <c r="I317">
        <v>2</v>
      </c>
      <c r="J317" t="s">
        <v>56</v>
      </c>
      <c r="K317">
        <v>48.2</v>
      </c>
      <c r="L317">
        <v>56.9</v>
      </c>
      <c r="M317">
        <v>1</v>
      </c>
      <c r="N317" t="s">
        <v>56</v>
      </c>
      <c r="O317" t="s">
        <v>805</v>
      </c>
      <c r="P317">
        <v>83.8</v>
      </c>
      <c r="Q317">
        <v>0.8</v>
      </c>
      <c r="R317">
        <v>14.4</v>
      </c>
      <c r="S317">
        <v>0.6</v>
      </c>
      <c r="T317">
        <v>0</v>
      </c>
      <c r="U317">
        <v>0</v>
      </c>
      <c r="V317">
        <v>0.3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0.1</v>
      </c>
      <c r="AC317" t="s">
        <v>805</v>
      </c>
      <c r="AD317">
        <v>50</v>
      </c>
      <c r="AE317" t="s">
        <v>805</v>
      </c>
      <c r="AF317" s="4" t="s">
        <v>57</v>
      </c>
      <c r="AG317" s="4">
        <v>463</v>
      </c>
      <c r="AH317" s="4" t="s">
        <v>58</v>
      </c>
      <c r="AI317" s="4">
        <v>474</v>
      </c>
      <c r="AJ317" t="s">
        <v>805</v>
      </c>
      <c r="AK317" t="s">
        <v>56</v>
      </c>
      <c r="AL317" t="s">
        <v>807</v>
      </c>
      <c r="AM317">
        <v>11</v>
      </c>
      <c r="AN317">
        <v>0</v>
      </c>
      <c r="AO317">
        <v>12</v>
      </c>
      <c r="AP317">
        <v>0</v>
      </c>
      <c r="AQ317" s="5">
        <v>91</v>
      </c>
      <c r="AR317">
        <v>14</v>
      </c>
      <c r="AS317">
        <v>0</v>
      </c>
      <c r="AT317">
        <v>15</v>
      </c>
      <c r="AU317">
        <v>0</v>
      </c>
      <c r="AV317" s="5">
        <v>90</v>
      </c>
      <c r="AW317" t="s">
        <v>56</v>
      </c>
      <c r="AX317" s="6">
        <v>940</v>
      </c>
      <c r="AY317" t="s">
        <v>805</v>
      </c>
      <c r="AZ317" t="s">
        <v>56</v>
      </c>
    </row>
    <row r="318" spans="1:52" hidden="1" x14ac:dyDescent="0.45">
      <c r="A318">
        <v>518658.49667339202</v>
      </c>
      <c r="B318">
        <v>6934061.8928741701</v>
      </c>
      <c r="C318">
        <v>317</v>
      </c>
      <c r="D318" t="s">
        <v>808</v>
      </c>
      <c r="E318" t="s">
        <v>63</v>
      </c>
      <c r="F318" t="s">
        <v>809</v>
      </c>
      <c r="G318" t="s">
        <v>805</v>
      </c>
      <c r="H318" s="3">
        <v>385</v>
      </c>
      <c r="I318">
        <v>2</v>
      </c>
      <c r="J318" t="s">
        <v>56</v>
      </c>
      <c r="K318">
        <v>51.8</v>
      </c>
      <c r="L318">
        <v>63</v>
      </c>
      <c r="M318">
        <v>1</v>
      </c>
      <c r="N318" t="s">
        <v>56</v>
      </c>
      <c r="O318" t="s">
        <v>805</v>
      </c>
      <c r="P318">
        <v>82.1</v>
      </c>
      <c r="Q318">
        <v>0.8</v>
      </c>
      <c r="R318">
        <v>15.7</v>
      </c>
      <c r="S318">
        <v>0.3</v>
      </c>
      <c r="T318">
        <v>0.1</v>
      </c>
      <c r="U318">
        <v>0</v>
      </c>
      <c r="V318">
        <v>0.4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0.6</v>
      </c>
      <c r="AC318" t="s">
        <v>805</v>
      </c>
      <c r="AD318">
        <v>50</v>
      </c>
      <c r="AE318" t="s">
        <v>805</v>
      </c>
      <c r="AF318" s="4" t="s">
        <v>80</v>
      </c>
      <c r="AG318" s="4">
        <v>157</v>
      </c>
      <c r="AH318" s="4" t="s">
        <v>81</v>
      </c>
      <c r="AI318" s="4">
        <v>228</v>
      </c>
      <c r="AJ318" t="s">
        <v>805</v>
      </c>
      <c r="AK318" t="s">
        <v>56</v>
      </c>
      <c r="AL318" t="s">
        <v>809</v>
      </c>
      <c r="AM318">
        <v>8</v>
      </c>
      <c r="AN318">
        <v>0</v>
      </c>
      <c r="AO318">
        <v>9</v>
      </c>
      <c r="AP318">
        <v>0</v>
      </c>
      <c r="AQ318" s="5">
        <v>55</v>
      </c>
      <c r="AR318">
        <v>17</v>
      </c>
      <c r="AS318">
        <v>0</v>
      </c>
      <c r="AT318">
        <v>18</v>
      </c>
      <c r="AU318">
        <v>0</v>
      </c>
      <c r="AV318" s="5">
        <v>51</v>
      </c>
      <c r="AW318" t="s">
        <v>56</v>
      </c>
      <c r="AX318" s="6">
        <v>418</v>
      </c>
      <c r="AY318" t="s">
        <v>805</v>
      </c>
      <c r="AZ318" t="s">
        <v>56</v>
      </c>
    </row>
    <row r="319" spans="1:52" hidden="1" x14ac:dyDescent="0.45">
      <c r="A319">
        <v>512456.05041931698</v>
      </c>
      <c r="B319">
        <v>6946669.9205172705</v>
      </c>
      <c r="C319">
        <v>318</v>
      </c>
      <c r="D319" t="s">
        <v>810</v>
      </c>
      <c r="E319" t="s">
        <v>407</v>
      </c>
      <c r="F319" t="s">
        <v>811</v>
      </c>
      <c r="G319" t="s">
        <v>812</v>
      </c>
      <c r="H319" s="3">
        <v>677</v>
      </c>
      <c r="I319">
        <v>2</v>
      </c>
      <c r="J319" t="s">
        <v>56</v>
      </c>
      <c r="K319">
        <v>21.5</v>
      </c>
      <c r="L319">
        <v>26.6</v>
      </c>
      <c r="M319">
        <v>1</v>
      </c>
      <c r="N319" t="s">
        <v>56</v>
      </c>
      <c r="O319" t="s">
        <v>812</v>
      </c>
      <c r="P319">
        <v>44.8</v>
      </c>
      <c r="Q319">
        <v>6.5</v>
      </c>
      <c r="R319">
        <v>0.9</v>
      </c>
      <c r="S319">
        <v>10.4</v>
      </c>
      <c r="T319">
        <v>2.2000000000000002</v>
      </c>
      <c r="U319">
        <v>0</v>
      </c>
      <c r="V319">
        <v>0</v>
      </c>
      <c r="W319">
        <v>0.1</v>
      </c>
      <c r="X319">
        <v>0.5</v>
      </c>
      <c r="Y319">
        <v>0.1</v>
      </c>
      <c r="Z319">
        <v>0</v>
      </c>
      <c r="AA319">
        <v>0</v>
      </c>
      <c r="AB319">
        <v>34.5</v>
      </c>
      <c r="AC319" t="s">
        <v>812</v>
      </c>
      <c r="AD319">
        <v>50</v>
      </c>
      <c r="AE319" t="s">
        <v>812</v>
      </c>
      <c r="AF319" s="4" t="s">
        <v>80</v>
      </c>
      <c r="AG319" s="4">
        <v>316</v>
      </c>
      <c r="AH319" s="4" t="s">
        <v>81</v>
      </c>
      <c r="AI319" s="4">
        <v>361</v>
      </c>
      <c r="AJ319" t="s">
        <v>812</v>
      </c>
      <c r="AK319" t="s">
        <v>56</v>
      </c>
      <c r="AL319" t="s">
        <v>811</v>
      </c>
      <c r="AM319">
        <v>8</v>
      </c>
      <c r="AN319">
        <v>0</v>
      </c>
      <c r="AO319">
        <v>9</v>
      </c>
      <c r="AP319">
        <v>0</v>
      </c>
      <c r="AQ319" s="5">
        <v>70</v>
      </c>
      <c r="AR319">
        <v>16</v>
      </c>
      <c r="AS319">
        <v>0</v>
      </c>
      <c r="AT319">
        <v>17</v>
      </c>
      <c r="AU319">
        <v>0</v>
      </c>
      <c r="AV319" s="5">
        <v>84</v>
      </c>
      <c r="AW319" t="s">
        <v>56</v>
      </c>
      <c r="AX319" s="6">
        <v>727</v>
      </c>
      <c r="AY319" t="s">
        <v>812</v>
      </c>
      <c r="AZ319" t="s">
        <v>56</v>
      </c>
    </row>
    <row r="320" spans="1:52" hidden="1" x14ac:dyDescent="0.45">
      <c r="A320">
        <v>512956.28043614997</v>
      </c>
      <c r="B320">
        <v>6938341.8472840302</v>
      </c>
      <c r="C320">
        <v>319</v>
      </c>
      <c r="D320" t="s">
        <v>813</v>
      </c>
      <c r="E320" t="s">
        <v>112</v>
      </c>
      <c r="F320" t="s">
        <v>814</v>
      </c>
      <c r="G320" t="s">
        <v>815</v>
      </c>
      <c r="H320" s="3">
        <v>3320</v>
      </c>
      <c r="I320">
        <v>2</v>
      </c>
      <c r="J320" t="s">
        <v>56</v>
      </c>
      <c r="K320">
        <v>59.4</v>
      </c>
      <c r="L320">
        <v>66.2</v>
      </c>
      <c r="M320">
        <v>1</v>
      </c>
      <c r="N320" t="s">
        <v>56</v>
      </c>
      <c r="O320" t="s">
        <v>815</v>
      </c>
      <c r="P320">
        <v>83.6</v>
      </c>
      <c r="Q320">
        <v>0.6</v>
      </c>
      <c r="R320">
        <v>15.2</v>
      </c>
      <c r="S320">
        <v>0.1</v>
      </c>
      <c r="T320">
        <v>0.2</v>
      </c>
      <c r="U320">
        <v>0</v>
      </c>
      <c r="V320">
        <v>0.2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0.1</v>
      </c>
      <c r="AC320" t="s">
        <v>815</v>
      </c>
      <c r="AD320">
        <v>60</v>
      </c>
      <c r="AE320" t="s">
        <v>815</v>
      </c>
      <c r="AF320" s="4" t="s">
        <v>80</v>
      </c>
      <c r="AG320" s="4">
        <v>1598</v>
      </c>
      <c r="AH320" s="4" t="s">
        <v>81</v>
      </c>
      <c r="AI320" s="4">
        <v>1722</v>
      </c>
      <c r="AJ320" t="s">
        <v>815</v>
      </c>
      <c r="AK320" t="s">
        <v>56</v>
      </c>
      <c r="AL320" t="s">
        <v>814</v>
      </c>
      <c r="AM320">
        <v>8</v>
      </c>
      <c r="AN320">
        <v>0</v>
      </c>
      <c r="AO320">
        <v>9</v>
      </c>
      <c r="AP320">
        <v>0</v>
      </c>
      <c r="AQ320" s="5">
        <v>360</v>
      </c>
      <c r="AR320">
        <v>14</v>
      </c>
      <c r="AS320">
        <v>0</v>
      </c>
      <c r="AT320">
        <v>15</v>
      </c>
      <c r="AU320">
        <v>0</v>
      </c>
      <c r="AV320" s="5">
        <v>368</v>
      </c>
      <c r="AW320" t="s">
        <v>56</v>
      </c>
      <c r="AX320" s="6">
        <v>3726</v>
      </c>
      <c r="AY320" t="s">
        <v>815</v>
      </c>
      <c r="AZ320" t="s">
        <v>56</v>
      </c>
    </row>
    <row r="321" spans="1:52" hidden="1" x14ac:dyDescent="0.45">
      <c r="A321">
        <v>504882.45743825397</v>
      </c>
      <c r="B321">
        <v>6937525.0785331</v>
      </c>
      <c r="C321">
        <v>320</v>
      </c>
      <c r="D321" t="s">
        <v>428</v>
      </c>
      <c r="E321" t="s">
        <v>710</v>
      </c>
      <c r="F321" t="s">
        <v>816</v>
      </c>
      <c r="G321" t="s">
        <v>805</v>
      </c>
      <c r="H321" s="3">
        <v>6092</v>
      </c>
      <c r="I321">
        <v>2</v>
      </c>
      <c r="J321" t="s">
        <v>56</v>
      </c>
      <c r="K321">
        <v>58.7</v>
      </c>
      <c r="L321">
        <v>64.8</v>
      </c>
      <c r="M321">
        <v>1</v>
      </c>
      <c r="N321" t="s">
        <v>56</v>
      </c>
      <c r="O321" t="s">
        <v>805</v>
      </c>
      <c r="P321">
        <v>90</v>
      </c>
      <c r="Q321">
        <v>0.9</v>
      </c>
      <c r="R321">
        <v>8.4</v>
      </c>
      <c r="S321">
        <v>0.2</v>
      </c>
      <c r="T321">
        <v>0.1</v>
      </c>
      <c r="U321">
        <v>0</v>
      </c>
      <c r="V321">
        <v>0.3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0.1</v>
      </c>
      <c r="AC321" t="s">
        <v>805</v>
      </c>
      <c r="AD321">
        <v>60</v>
      </c>
      <c r="AE321" t="s">
        <v>805</v>
      </c>
      <c r="AF321" s="4" t="s">
        <v>80</v>
      </c>
      <c r="AG321" s="4">
        <v>3377</v>
      </c>
      <c r="AH321" s="4" t="s">
        <v>81</v>
      </c>
      <c r="AI321" s="4">
        <v>2715</v>
      </c>
      <c r="AJ321" t="s">
        <v>805</v>
      </c>
      <c r="AK321" t="s">
        <v>56</v>
      </c>
      <c r="AL321" t="s">
        <v>816</v>
      </c>
      <c r="AM321">
        <v>8</v>
      </c>
      <c r="AN321">
        <v>0</v>
      </c>
      <c r="AO321">
        <v>9</v>
      </c>
      <c r="AP321">
        <v>0</v>
      </c>
      <c r="AQ321" s="5">
        <v>706</v>
      </c>
      <c r="AR321">
        <v>15</v>
      </c>
      <c r="AS321">
        <v>0</v>
      </c>
      <c r="AT321">
        <v>16</v>
      </c>
      <c r="AU321">
        <v>0</v>
      </c>
      <c r="AV321" s="5">
        <v>659</v>
      </c>
      <c r="AW321" t="s">
        <v>56</v>
      </c>
      <c r="AX321" s="6">
        <v>6348</v>
      </c>
      <c r="AY321" t="s">
        <v>805</v>
      </c>
      <c r="AZ321" t="s">
        <v>56</v>
      </c>
    </row>
    <row r="322" spans="1:52" hidden="1" x14ac:dyDescent="0.45">
      <c r="A322">
        <v>503125.85620882298</v>
      </c>
      <c r="B322">
        <v>6921319.1545230597</v>
      </c>
      <c r="C322">
        <v>321</v>
      </c>
      <c r="D322" t="s">
        <v>685</v>
      </c>
      <c r="E322" t="s">
        <v>331</v>
      </c>
      <c r="F322" t="s">
        <v>686</v>
      </c>
      <c r="G322" t="s">
        <v>611</v>
      </c>
      <c r="H322" s="3">
        <v>1160</v>
      </c>
      <c r="I322">
        <v>2</v>
      </c>
      <c r="J322" t="s">
        <v>56</v>
      </c>
      <c r="K322">
        <v>48.6</v>
      </c>
      <c r="L322">
        <v>57.2</v>
      </c>
      <c r="M322">
        <v>1</v>
      </c>
      <c r="N322" t="s">
        <v>56</v>
      </c>
      <c r="O322" t="s">
        <v>611</v>
      </c>
      <c r="P322">
        <v>81.3</v>
      </c>
      <c r="Q322">
        <v>0.8</v>
      </c>
      <c r="R322">
        <v>17</v>
      </c>
      <c r="S322">
        <v>0.3</v>
      </c>
      <c r="T322">
        <v>0.1</v>
      </c>
      <c r="U322">
        <v>0</v>
      </c>
      <c r="V322">
        <v>0.4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0.1</v>
      </c>
      <c r="AC322" t="s">
        <v>611</v>
      </c>
      <c r="AD322">
        <v>50</v>
      </c>
      <c r="AE322" t="s">
        <v>611</v>
      </c>
      <c r="AF322" s="4" t="s">
        <v>80</v>
      </c>
      <c r="AG322" s="4">
        <v>355</v>
      </c>
      <c r="AH322" s="4" t="s">
        <v>81</v>
      </c>
      <c r="AI322" s="4">
        <v>805</v>
      </c>
      <c r="AJ322" t="s">
        <v>611</v>
      </c>
      <c r="AK322" t="s">
        <v>56</v>
      </c>
      <c r="AL322" t="s">
        <v>686</v>
      </c>
      <c r="AM322">
        <v>8</v>
      </c>
      <c r="AN322">
        <v>0</v>
      </c>
      <c r="AO322">
        <v>9</v>
      </c>
      <c r="AP322">
        <v>0</v>
      </c>
      <c r="AQ322" s="5">
        <v>232</v>
      </c>
      <c r="AR322">
        <v>15</v>
      </c>
      <c r="AS322">
        <v>0</v>
      </c>
      <c r="AT322">
        <v>16</v>
      </c>
      <c r="AU322">
        <v>0</v>
      </c>
      <c r="AV322" s="5">
        <v>242</v>
      </c>
      <c r="AW322" t="s">
        <v>56</v>
      </c>
      <c r="AX322" s="6">
        <v>1300</v>
      </c>
      <c r="AY322" t="s">
        <v>611</v>
      </c>
      <c r="AZ322" t="s">
        <v>56</v>
      </c>
    </row>
    <row r="323" spans="1:52" hidden="1" x14ac:dyDescent="0.45">
      <c r="A323">
        <v>503077.825419762</v>
      </c>
      <c r="B323">
        <v>6921801.9130347604</v>
      </c>
      <c r="C323">
        <v>322</v>
      </c>
      <c r="D323" t="s">
        <v>817</v>
      </c>
      <c r="E323" t="s">
        <v>331</v>
      </c>
      <c r="F323" t="s">
        <v>688</v>
      </c>
      <c r="G323" t="s">
        <v>611</v>
      </c>
      <c r="H323" s="3">
        <v>1934</v>
      </c>
      <c r="I323">
        <v>2</v>
      </c>
      <c r="J323" t="s">
        <v>56</v>
      </c>
      <c r="K323">
        <v>49.2</v>
      </c>
      <c r="L323">
        <v>58.3</v>
      </c>
      <c r="M323">
        <v>1</v>
      </c>
      <c r="N323" t="s">
        <v>56</v>
      </c>
      <c r="O323" t="s">
        <v>611</v>
      </c>
      <c r="P323">
        <v>76.3</v>
      </c>
      <c r="Q323">
        <v>1</v>
      </c>
      <c r="R323">
        <v>21.3</v>
      </c>
      <c r="S323">
        <v>0.3</v>
      </c>
      <c r="T323">
        <v>0.1</v>
      </c>
      <c r="U323">
        <v>0</v>
      </c>
      <c r="V323">
        <v>0.5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0.5</v>
      </c>
      <c r="AC323" t="s">
        <v>611</v>
      </c>
      <c r="AD323">
        <v>50</v>
      </c>
      <c r="AE323" t="s">
        <v>611</v>
      </c>
      <c r="AF323" s="4" t="s">
        <v>80</v>
      </c>
      <c r="AG323" s="4">
        <v>613</v>
      </c>
      <c r="AH323" s="4" t="s">
        <v>81</v>
      </c>
      <c r="AI323" s="4">
        <v>1321</v>
      </c>
      <c r="AJ323" t="s">
        <v>611</v>
      </c>
      <c r="AK323" t="s">
        <v>56</v>
      </c>
      <c r="AL323" t="s">
        <v>688</v>
      </c>
      <c r="AM323">
        <v>8</v>
      </c>
      <c r="AN323">
        <v>0</v>
      </c>
      <c r="AO323">
        <v>9</v>
      </c>
      <c r="AP323">
        <v>0</v>
      </c>
      <c r="AQ323" s="5">
        <v>292</v>
      </c>
      <c r="AR323">
        <v>15</v>
      </c>
      <c r="AS323">
        <v>0</v>
      </c>
      <c r="AT323">
        <v>16</v>
      </c>
      <c r="AU323">
        <v>0</v>
      </c>
      <c r="AV323" s="5">
        <v>346</v>
      </c>
      <c r="AW323" t="s">
        <v>56</v>
      </c>
      <c r="AX323" s="6">
        <v>2098</v>
      </c>
      <c r="AY323" t="s">
        <v>611</v>
      </c>
      <c r="AZ323" t="s">
        <v>56</v>
      </c>
    </row>
    <row r="324" spans="1:52" hidden="1" x14ac:dyDescent="0.45">
      <c r="A324">
        <v>509589.30938197998</v>
      </c>
      <c r="B324">
        <v>6938409.3252018802</v>
      </c>
      <c r="C324">
        <v>323</v>
      </c>
      <c r="D324" t="s">
        <v>818</v>
      </c>
      <c r="E324" t="s">
        <v>452</v>
      </c>
      <c r="F324" t="s">
        <v>819</v>
      </c>
      <c r="G324" t="s">
        <v>820</v>
      </c>
      <c r="H324" s="3">
        <v>479</v>
      </c>
      <c r="I324">
        <v>2</v>
      </c>
      <c r="J324" t="s">
        <v>56</v>
      </c>
      <c r="K324">
        <v>38.5</v>
      </c>
      <c r="L324">
        <v>47.5</v>
      </c>
      <c r="M324">
        <v>1</v>
      </c>
      <c r="N324" t="s">
        <v>56</v>
      </c>
      <c r="O324" t="s">
        <v>820</v>
      </c>
      <c r="P324">
        <v>85.3</v>
      </c>
      <c r="Q324">
        <v>0.7</v>
      </c>
      <c r="R324">
        <v>12.5</v>
      </c>
      <c r="S324">
        <v>0.5</v>
      </c>
      <c r="T324">
        <v>0.2</v>
      </c>
      <c r="U324">
        <v>0</v>
      </c>
      <c r="V324">
        <v>0.2</v>
      </c>
      <c r="W324">
        <v>0.1</v>
      </c>
      <c r="X324">
        <v>0</v>
      </c>
      <c r="Y324">
        <v>0</v>
      </c>
      <c r="Z324">
        <v>0</v>
      </c>
      <c r="AA324">
        <v>0</v>
      </c>
      <c r="AB324">
        <v>0.5</v>
      </c>
      <c r="AC324" t="s">
        <v>820</v>
      </c>
      <c r="AD324">
        <v>50</v>
      </c>
      <c r="AE324" t="s">
        <v>820</v>
      </c>
      <c r="AF324" s="4" t="s">
        <v>57</v>
      </c>
      <c r="AG324" s="4">
        <v>231</v>
      </c>
      <c r="AH324" s="4" t="s">
        <v>58</v>
      </c>
      <c r="AI324" s="4">
        <v>248</v>
      </c>
      <c r="AJ324" t="s">
        <v>820</v>
      </c>
      <c r="AK324" t="s">
        <v>56</v>
      </c>
      <c r="AL324" t="s">
        <v>819</v>
      </c>
      <c r="AM324">
        <v>8</v>
      </c>
      <c r="AN324">
        <v>0</v>
      </c>
      <c r="AO324">
        <v>9</v>
      </c>
      <c r="AP324">
        <v>0</v>
      </c>
      <c r="AQ324" s="5">
        <v>39</v>
      </c>
      <c r="AR324">
        <v>17</v>
      </c>
      <c r="AS324">
        <v>0</v>
      </c>
      <c r="AT324">
        <v>18</v>
      </c>
      <c r="AU324">
        <v>0</v>
      </c>
      <c r="AV324" s="5">
        <v>52</v>
      </c>
      <c r="AW324" t="s">
        <v>56</v>
      </c>
      <c r="AX324" s="6">
        <v>492</v>
      </c>
      <c r="AY324" t="s">
        <v>820</v>
      </c>
      <c r="AZ324" t="s">
        <v>56</v>
      </c>
    </row>
    <row r="325" spans="1:52" hidden="1" x14ac:dyDescent="0.45">
      <c r="A325">
        <v>505576.94088173</v>
      </c>
      <c r="B325">
        <v>6940330.0285713105</v>
      </c>
      <c r="C325">
        <v>324</v>
      </c>
      <c r="D325" t="s">
        <v>821</v>
      </c>
      <c r="E325" t="s">
        <v>665</v>
      </c>
      <c r="F325" t="s">
        <v>822</v>
      </c>
      <c r="G325" t="s">
        <v>823</v>
      </c>
      <c r="H325" s="3">
        <v>1102</v>
      </c>
      <c r="I325">
        <v>2</v>
      </c>
      <c r="J325" t="s">
        <v>56</v>
      </c>
      <c r="K325">
        <v>47.8</v>
      </c>
      <c r="L325">
        <v>56.5</v>
      </c>
      <c r="M325">
        <v>1</v>
      </c>
      <c r="N325" t="s">
        <v>56</v>
      </c>
      <c r="O325" t="s">
        <v>823</v>
      </c>
      <c r="P325">
        <v>85.9</v>
      </c>
      <c r="Q325">
        <v>0.9</v>
      </c>
      <c r="R325">
        <v>12.6</v>
      </c>
      <c r="S325">
        <v>0.1</v>
      </c>
      <c r="T325">
        <v>0.1</v>
      </c>
      <c r="U325">
        <v>0</v>
      </c>
      <c r="V325">
        <v>0.2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0.1</v>
      </c>
      <c r="AC325" t="s">
        <v>823</v>
      </c>
      <c r="AD325">
        <v>50</v>
      </c>
      <c r="AE325" t="s">
        <v>823</v>
      </c>
      <c r="AF325" s="4" t="s">
        <v>80</v>
      </c>
      <c r="AG325" s="4">
        <v>502</v>
      </c>
      <c r="AH325" s="4" t="s">
        <v>81</v>
      </c>
      <c r="AI325" s="4">
        <v>600</v>
      </c>
      <c r="AJ325" t="s">
        <v>823</v>
      </c>
      <c r="AK325" t="s">
        <v>56</v>
      </c>
      <c r="AL325" t="s">
        <v>822</v>
      </c>
      <c r="AM325">
        <v>8</v>
      </c>
      <c r="AN325">
        <v>0</v>
      </c>
      <c r="AO325">
        <v>9</v>
      </c>
      <c r="AP325">
        <v>0</v>
      </c>
      <c r="AQ325" s="5">
        <v>128</v>
      </c>
      <c r="AR325">
        <v>16</v>
      </c>
      <c r="AS325">
        <v>0</v>
      </c>
      <c r="AT325">
        <v>17</v>
      </c>
      <c r="AU325">
        <v>0</v>
      </c>
      <c r="AV325" s="5">
        <v>130</v>
      </c>
      <c r="AW325" t="s">
        <v>56</v>
      </c>
      <c r="AX325" s="6">
        <v>1193</v>
      </c>
      <c r="AY325" t="s">
        <v>823</v>
      </c>
      <c r="AZ325" t="s">
        <v>56</v>
      </c>
    </row>
    <row r="326" spans="1:52" hidden="1" x14ac:dyDescent="0.45">
      <c r="A326">
        <v>512231.86404398398</v>
      </c>
      <c r="B326">
        <v>6946487.4891599696</v>
      </c>
      <c r="C326">
        <v>325</v>
      </c>
      <c r="D326" t="s">
        <v>824</v>
      </c>
      <c r="E326" t="s">
        <v>825</v>
      </c>
      <c r="F326" t="s">
        <v>826</v>
      </c>
      <c r="G326" t="s">
        <v>820</v>
      </c>
      <c r="H326" s="3">
        <v>192</v>
      </c>
      <c r="I326">
        <v>2</v>
      </c>
      <c r="J326" t="s">
        <v>56</v>
      </c>
      <c r="K326">
        <v>38.6</v>
      </c>
      <c r="L326">
        <v>49.7</v>
      </c>
      <c r="M326">
        <v>1</v>
      </c>
      <c r="N326" t="s">
        <v>56</v>
      </c>
      <c r="O326" t="s">
        <v>820</v>
      </c>
      <c r="P326">
        <v>85.3</v>
      </c>
      <c r="Q326">
        <v>0.4</v>
      </c>
      <c r="R326">
        <v>13.5</v>
      </c>
      <c r="S326">
        <v>0.3</v>
      </c>
      <c r="T326">
        <v>0.1</v>
      </c>
      <c r="U326">
        <v>0</v>
      </c>
      <c r="V326">
        <v>0.1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0.3</v>
      </c>
      <c r="AC326" t="s">
        <v>820</v>
      </c>
      <c r="AD326">
        <v>50</v>
      </c>
      <c r="AE326" t="s">
        <v>820</v>
      </c>
      <c r="AF326" s="4" t="s">
        <v>57</v>
      </c>
      <c r="AG326" s="4">
        <v>98</v>
      </c>
      <c r="AH326" s="4" t="s">
        <v>58</v>
      </c>
      <c r="AI326" s="4">
        <v>94</v>
      </c>
      <c r="AJ326" t="s">
        <v>820</v>
      </c>
      <c r="AK326" t="s">
        <v>56</v>
      </c>
      <c r="AL326" t="s">
        <v>826</v>
      </c>
      <c r="AM326">
        <v>7</v>
      </c>
      <c r="AN326">
        <v>0</v>
      </c>
      <c r="AO326">
        <v>8</v>
      </c>
      <c r="AP326">
        <v>0</v>
      </c>
      <c r="AQ326" s="5">
        <v>23</v>
      </c>
      <c r="AR326">
        <v>17</v>
      </c>
      <c r="AS326">
        <v>0</v>
      </c>
      <c r="AT326">
        <v>18</v>
      </c>
      <c r="AU326">
        <v>0</v>
      </c>
      <c r="AV326" s="5">
        <v>28</v>
      </c>
      <c r="AW326" t="s">
        <v>56</v>
      </c>
      <c r="AX326" s="6">
        <v>217</v>
      </c>
      <c r="AY326" t="s">
        <v>820</v>
      </c>
      <c r="AZ326" t="s">
        <v>56</v>
      </c>
    </row>
    <row r="327" spans="1:52" hidden="1" x14ac:dyDescent="0.45">
      <c r="A327">
        <v>493872.892051203</v>
      </c>
      <c r="B327">
        <v>6932541.8358100401</v>
      </c>
      <c r="C327">
        <v>326</v>
      </c>
      <c r="D327" t="s">
        <v>827</v>
      </c>
      <c r="E327" t="s">
        <v>105</v>
      </c>
      <c r="F327" t="s">
        <v>828</v>
      </c>
      <c r="G327" t="s">
        <v>829</v>
      </c>
      <c r="H327" s="3">
        <v>3811</v>
      </c>
      <c r="I327">
        <v>2</v>
      </c>
      <c r="J327" t="s">
        <v>56</v>
      </c>
      <c r="K327">
        <v>76.3</v>
      </c>
      <c r="L327">
        <v>84.2</v>
      </c>
      <c r="M327">
        <v>1</v>
      </c>
      <c r="N327" t="s">
        <v>56</v>
      </c>
      <c r="O327" t="s">
        <v>829</v>
      </c>
      <c r="P327">
        <v>79.400000000000006</v>
      </c>
      <c r="Q327">
        <v>1.4</v>
      </c>
      <c r="R327">
        <v>17.399999999999999</v>
      </c>
      <c r="S327">
        <v>0.5</v>
      </c>
      <c r="T327">
        <v>0.1</v>
      </c>
      <c r="U327">
        <v>0</v>
      </c>
      <c r="V327">
        <v>0.7</v>
      </c>
      <c r="W327">
        <v>0.1</v>
      </c>
      <c r="X327">
        <v>0.2</v>
      </c>
      <c r="Y327">
        <v>0</v>
      </c>
      <c r="Z327">
        <v>0</v>
      </c>
      <c r="AA327">
        <v>0</v>
      </c>
      <c r="AB327">
        <v>0.2</v>
      </c>
      <c r="AC327" t="s">
        <v>829</v>
      </c>
      <c r="AD327">
        <v>80</v>
      </c>
      <c r="AE327" t="s">
        <v>829</v>
      </c>
      <c r="AF327" s="4" t="s">
        <v>57</v>
      </c>
      <c r="AG327" s="4">
        <v>1913</v>
      </c>
      <c r="AH327" s="4" t="s">
        <v>58</v>
      </c>
      <c r="AI327" s="4">
        <v>1898</v>
      </c>
      <c r="AJ327" t="s">
        <v>829</v>
      </c>
      <c r="AK327" t="s">
        <v>56</v>
      </c>
      <c r="AL327" t="s">
        <v>828</v>
      </c>
      <c r="AM327">
        <v>8</v>
      </c>
      <c r="AN327">
        <v>0</v>
      </c>
      <c r="AO327">
        <v>9</v>
      </c>
      <c r="AP327">
        <v>0</v>
      </c>
      <c r="AQ327" s="5">
        <v>325</v>
      </c>
      <c r="AR327">
        <v>17</v>
      </c>
      <c r="AS327">
        <v>0</v>
      </c>
      <c r="AT327">
        <v>18</v>
      </c>
      <c r="AU327">
        <v>0</v>
      </c>
      <c r="AV327" s="5">
        <v>383</v>
      </c>
      <c r="AW327" t="s">
        <v>56</v>
      </c>
      <c r="AX327" s="6">
        <v>4014</v>
      </c>
      <c r="AY327" t="s">
        <v>829</v>
      </c>
      <c r="AZ327" t="s">
        <v>56</v>
      </c>
    </row>
    <row r="328" spans="1:52" hidden="1" x14ac:dyDescent="0.45">
      <c r="A328">
        <v>510346.98971113202</v>
      </c>
      <c r="B328">
        <v>6937757.2647664603</v>
      </c>
      <c r="C328">
        <v>327</v>
      </c>
      <c r="D328" t="s">
        <v>830</v>
      </c>
      <c r="E328" t="s">
        <v>452</v>
      </c>
      <c r="F328" t="s">
        <v>831</v>
      </c>
      <c r="G328" t="s">
        <v>832</v>
      </c>
      <c r="H328" s="3">
        <v>1672</v>
      </c>
      <c r="I328">
        <v>2</v>
      </c>
      <c r="J328" t="s">
        <v>56</v>
      </c>
      <c r="K328">
        <v>44.5</v>
      </c>
      <c r="L328">
        <v>55.8</v>
      </c>
      <c r="M328">
        <v>1</v>
      </c>
      <c r="N328" t="s">
        <v>56</v>
      </c>
      <c r="O328" t="s">
        <v>832</v>
      </c>
      <c r="P328">
        <v>87.5</v>
      </c>
      <c r="Q328">
        <v>0.7</v>
      </c>
      <c r="R328">
        <v>10.6</v>
      </c>
      <c r="S328">
        <v>0.7</v>
      </c>
      <c r="T328">
        <v>0.1</v>
      </c>
      <c r="U328">
        <v>0</v>
      </c>
      <c r="V328">
        <v>0.2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0.2</v>
      </c>
      <c r="AC328" t="s">
        <v>832</v>
      </c>
      <c r="AD328">
        <v>50</v>
      </c>
      <c r="AE328" t="s">
        <v>832</v>
      </c>
      <c r="AF328" s="4" t="s">
        <v>57</v>
      </c>
      <c r="AG328" s="4">
        <v>832</v>
      </c>
      <c r="AH328" s="4" t="s">
        <v>58</v>
      </c>
      <c r="AI328" s="4">
        <v>840</v>
      </c>
      <c r="AJ328" t="s">
        <v>832</v>
      </c>
      <c r="AK328" t="s">
        <v>56</v>
      </c>
      <c r="AL328" t="s">
        <v>831</v>
      </c>
      <c r="AM328">
        <v>8</v>
      </c>
      <c r="AN328">
        <v>0</v>
      </c>
      <c r="AO328">
        <v>9</v>
      </c>
      <c r="AP328">
        <v>0</v>
      </c>
      <c r="AQ328" s="5">
        <v>401</v>
      </c>
      <c r="AR328">
        <v>14</v>
      </c>
      <c r="AS328">
        <v>0</v>
      </c>
      <c r="AT328">
        <v>15</v>
      </c>
      <c r="AU328">
        <v>0</v>
      </c>
      <c r="AV328" s="5">
        <v>251</v>
      </c>
      <c r="AW328" t="s">
        <v>56</v>
      </c>
      <c r="AX328" s="6">
        <v>1947</v>
      </c>
      <c r="AY328" t="s">
        <v>832</v>
      </c>
      <c r="AZ328" t="s">
        <v>56</v>
      </c>
    </row>
    <row r="329" spans="1:52" hidden="1" x14ac:dyDescent="0.45">
      <c r="A329">
        <v>512461.67607602797</v>
      </c>
      <c r="B329">
        <v>6946670.8009255501</v>
      </c>
      <c r="C329">
        <v>328</v>
      </c>
      <c r="D329" t="s">
        <v>810</v>
      </c>
      <c r="E329" t="s">
        <v>109</v>
      </c>
      <c r="F329" t="s">
        <v>811</v>
      </c>
      <c r="G329" t="s">
        <v>833</v>
      </c>
      <c r="H329" s="3">
        <v>596</v>
      </c>
      <c r="I329">
        <v>2</v>
      </c>
      <c r="J329" t="s">
        <v>56</v>
      </c>
      <c r="K329">
        <v>28.7</v>
      </c>
      <c r="L329">
        <v>34.9</v>
      </c>
      <c r="M329">
        <v>1</v>
      </c>
      <c r="N329" t="s">
        <v>56</v>
      </c>
      <c r="O329" t="s">
        <v>833</v>
      </c>
      <c r="P329">
        <v>85</v>
      </c>
      <c r="Q329">
        <v>0.4</v>
      </c>
      <c r="R329">
        <v>13.8</v>
      </c>
      <c r="S329">
        <v>0.5</v>
      </c>
      <c r="T329">
        <v>0</v>
      </c>
      <c r="U329">
        <v>0</v>
      </c>
      <c r="V329">
        <v>0.2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0.1</v>
      </c>
      <c r="AC329" t="s">
        <v>833</v>
      </c>
      <c r="AD329">
        <v>50</v>
      </c>
      <c r="AE329" t="s">
        <v>833</v>
      </c>
      <c r="AF329" s="4" t="s">
        <v>80</v>
      </c>
      <c r="AG329" s="4">
        <v>309</v>
      </c>
      <c r="AH329" s="4" t="s">
        <v>81</v>
      </c>
      <c r="AI329" s="4">
        <v>286</v>
      </c>
      <c r="AJ329" t="s">
        <v>833</v>
      </c>
      <c r="AK329" t="s">
        <v>56</v>
      </c>
      <c r="AL329" t="s">
        <v>811</v>
      </c>
      <c r="AM329">
        <v>8</v>
      </c>
      <c r="AN329">
        <v>0</v>
      </c>
      <c r="AO329">
        <v>9</v>
      </c>
      <c r="AP329">
        <v>0</v>
      </c>
      <c r="AQ329" s="5">
        <v>49</v>
      </c>
      <c r="AR329">
        <v>16</v>
      </c>
      <c r="AS329">
        <v>0</v>
      </c>
      <c r="AT329">
        <v>17</v>
      </c>
      <c r="AU329">
        <v>0</v>
      </c>
      <c r="AV329" s="5">
        <v>83</v>
      </c>
      <c r="AW329" t="s">
        <v>56</v>
      </c>
      <c r="AX329" s="6">
        <v>621</v>
      </c>
      <c r="AY329" t="s">
        <v>833</v>
      </c>
      <c r="AZ329" t="s">
        <v>56</v>
      </c>
    </row>
    <row r="330" spans="1:52" hidden="1" x14ac:dyDescent="0.45">
      <c r="A330">
        <v>504662.20358676597</v>
      </c>
      <c r="B330">
        <v>6920954.1071686503</v>
      </c>
      <c r="C330">
        <v>329</v>
      </c>
      <c r="D330" t="s">
        <v>834</v>
      </c>
      <c r="E330" t="s">
        <v>331</v>
      </c>
      <c r="F330" t="s">
        <v>835</v>
      </c>
      <c r="G330" t="s">
        <v>833</v>
      </c>
      <c r="H330" s="3">
        <v>4284.2</v>
      </c>
      <c r="I330">
        <v>2</v>
      </c>
      <c r="J330" t="s">
        <v>56</v>
      </c>
      <c r="K330">
        <v>71.400000000000006</v>
      </c>
      <c r="L330">
        <v>78.8</v>
      </c>
      <c r="M330">
        <v>1</v>
      </c>
      <c r="N330" t="s">
        <v>56</v>
      </c>
      <c r="O330" t="s">
        <v>833</v>
      </c>
      <c r="P330">
        <v>75.599999999999994</v>
      </c>
      <c r="Q330">
        <v>1.4</v>
      </c>
      <c r="R330">
        <v>17.2</v>
      </c>
      <c r="S330">
        <v>4</v>
      </c>
      <c r="T330">
        <v>0.3</v>
      </c>
      <c r="U330">
        <v>0</v>
      </c>
      <c r="V330">
        <v>0.7</v>
      </c>
      <c r="W330">
        <v>0.1</v>
      </c>
      <c r="X330">
        <v>0.1</v>
      </c>
      <c r="Y330">
        <v>0.1</v>
      </c>
      <c r="Z330">
        <v>0</v>
      </c>
      <c r="AA330">
        <v>0</v>
      </c>
      <c r="AB330">
        <v>0.5</v>
      </c>
      <c r="AC330" t="s">
        <v>833</v>
      </c>
      <c r="AD330">
        <v>80</v>
      </c>
      <c r="AE330" t="s">
        <v>833</v>
      </c>
      <c r="AF330" s="4" t="s">
        <v>57</v>
      </c>
      <c r="AG330" s="4">
        <v>2064</v>
      </c>
      <c r="AH330" s="4" t="s">
        <v>58</v>
      </c>
      <c r="AI330" s="4">
        <v>2220</v>
      </c>
      <c r="AJ330" t="s">
        <v>833</v>
      </c>
      <c r="AK330" t="s">
        <v>56</v>
      </c>
      <c r="AL330" t="s">
        <v>835</v>
      </c>
      <c r="AM330">
        <v>8</v>
      </c>
      <c r="AN330">
        <v>0</v>
      </c>
      <c r="AO330">
        <v>9</v>
      </c>
      <c r="AP330">
        <v>0</v>
      </c>
      <c r="AQ330" s="5">
        <v>518</v>
      </c>
      <c r="AR330">
        <v>15</v>
      </c>
      <c r="AS330">
        <v>0</v>
      </c>
      <c r="AT330">
        <v>16</v>
      </c>
      <c r="AU330">
        <v>0</v>
      </c>
      <c r="AV330" s="5">
        <v>607</v>
      </c>
      <c r="AW330" t="s">
        <v>56</v>
      </c>
      <c r="AX330" s="6">
        <v>4726</v>
      </c>
      <c r="AY330" t="s">
        <v>833</v>
      </c>
      <c r="AZ330" t="s">
        <v>56</v>
      </c>
    </row>
    <row r="331" spans="1:52" hidden="1" x14ac:dyDescent="0.45">
      <c r="A331">
        <v>502986.71971602802</v>
      </c>
      <c r="B331">
        <v>6922543.5566069297</v>
      </c>
      <c r="C331">
        <v>330</v>
      </c>
      <c r="D331" t="s">
        <v>836</v>
      </c>
      <c r="E331" t="s">
        <v>426</v>
      </c>
      <c r="F331" t="s">
        <v>837</v>
      </c>
      <c r="G331" t="s">
        <v>761</v>
      </c>
      <c r="H331" s="3">
        <v>7593.7</v>
      </c>
      <c r="I331">
        <v>2</v>
      </c>
      <c r="J331" t="s">
        <v>56</v>
      </c>
      <c r="K331">
        <v>41.2</v>
      </c>
      <c r="L331">
        <v>49.3</v>
      </c>
      <c r="M331">
        <v>1</v>
      </c>
      <c r="N331" t="s">
        <v>56</v>
      </c>
      <c r="O331" t="s">
        <v>761</v>
      </c>
      <c r="P331">
        <v>75.3</v>
      </c>
      <c r="Q331">
        <v>1.4</v>
      </c>
      <c r="R331">
        <v>19.3</v>
      </c>
      <c r="S331">
        <v>1.7</v>
      </c>
      <c r="T331">
        <v>0.4</v>
      </c>
      <c r="U331">
        <v>0.1</v>
      </c>
      <c r="V331">
        <v>0.9</v>
      </c>
      <c r="W331">
        <v>0.2</v>
      </c>
      <c r="X331">
        <v>0.2</v>
      </c>
      <c r="Y331">
        <v>0.1</v>
      </c>
      <c r="Z331">
        <v>0</v>
      </c>
      <c r="AA331">
        <v>0</v>
      </c>
      <c r="AB331">
        <v>0.4</v>
      </c>
      <c r="AC331" t="s">
        <v>761</v>
      </c>
      <c r="AD331">
        <v>60</v>
      </c>
      <c r="AE331" t="s">
        <v>761</v>
      </c>
      <c r="AF331" s="4" t="s">
        <v>80</v>
      </c>
      <c r="AG331" s="4">
        <v>3794</v>
      </c>
      <c r="AH331" s="4" t="s">
        <v>81</v>
      </c>
      <c r="AI331" s="4">
        <v>3800</v>
      </c>
      <c r="AJ331" t="s">
        <v>761</v>
      </c>
      <c r="AK331" t="s">
        <v>56</v>
      </c>
      <c r="AL331" t="s">
        <v>837</v>
      </c>
      <c r="AM331">
        <v>8</v>
      </c>
      <c r="AN331">
        <v>0</v>
      </c>
      <c r="AO331">
        <v>9</v>
      </c>
      <c r="AP331">
        <v>0</v>
      </c>
      <c r="AQ331" s="5">
        <v>862</v>
      </c>
      <c r="AR331">
        <v>15</v>
      </c>
      <c r="AS331">
        <v>0</v>
      </c>
      <c r="AT331">
        <v>16</v>
      </c>
      <c r="AU331">
        <v>0</v>
      </c>
      <c r="AV331" s="5">
        <v>881</v>
      </c>
      <c r="AW331" t="s">
        <v>56</v>
      </c>
      <c r="AX331" s="6">
        <v>8216</v>
      </c>
      <c r="AY331" t="s">
        <v>761</v>
      </c>
      <c r="AZ331" t="s">
        <v>56</v>
      </c>
    </row>
    <row r="332" spans="1:52" hidden="1" x14ac:dyDescent="0.45">
      <c r="A332">
        <v>503943.173044872</v>
      </c>
      <c r="B332">
        <v>6921570.4796861</v>
      </c>
      <c r="C332">
        <v>331</v>
      </c>
      <c r="D332" t="s">
        <v>836</v>
      </c>
      <c r="E332" t="s">
        <v>426</v>
      </c>
      <c r="F332" t="s">
        <v>838</v>
      </c>
      <c r="G332" t="s">
        <v>761</v>
      </c>
      <c r="H332" s="3">
        <v>5639</v>
      </c>
      <c r="I332">
        <v>2</v>
      </c>
      <c r="J332" t="s">
        <v>56</v>
      </c>
      <c r="K332">
        <v>74.2</v>
      </c>
      <c r="L332">
        <v>81.7</v>
      </c>
      <c r="M332">
        <v>1</v>
      </c>
      <c r="N332" t="s">
        <v>56</v>
      </c>
      <c r="O332" t="s">
        <v>761</v>
      </c>
      <c r="P332">
        <v>61</v>
      </c>
      <c r="Q332">
        <v>1.1000000000000001</v>
      </c>
      <c r="R332">
        <v>34.4</v>
      </c>
      <c r="S332">
        <v>0.8</v>
      </c>
      <c r="T332">
        <v>0.1</v>
      </c>
      <c r="U332">
        <v>0</v>
      </c>
      <c r="V332">
        <v>1.4</v>
      </c>
      <c r="W332">
        <v>0.1</v>
      </c>
      <c r="X332">
        <v>0.3</v>
      </c>
      <c r="Y332">
        <v>0.1</v>
      </c>
      <c r="Z332">
        <v>0</v>
      </c>
      <c r="AA332">
        <v>0</v>
      </c>
      <c r="AB332">
        <v>0.7</v>
      </c>
      <c r="AC332" t="s">
        <v>761</v>
      </c>
      <c r="AD332">
        <v>80</v>
      </c>
      <c r="AE332" t="s">
        <v>761</v>
      </c>
      <c r="AF332" s="4" t="s">
        <v>80</v>
      </c>
      <c r="AG332" s="4">
        <v>2890</v>
      </c>
      <c r="AH332" s="4" t="s">
        <v>81</v>
      </c>
      <c r="AI332" s="4">
        <v>2749</v>
      </c>
      <c r="AJ332" t="s">
        <v>761</v>
      </c>
      <c r="AK332" t="s">
        <v>56</v>
      </c>
      <c r="AL332" t="s">
        <v>838</v>
      </c>
      <c r="AM332">
        <v>8</v>
      </c>
      <c r="AN332">
        <v>0</v>
      </c>
      <c r="AO332">
        <v>9</v>
      </c>
      <c r="AP332">
        <v>0</v>
      </c>
      <c r="AQ332" s="5">
        <v>607</v>
      </c>
      <c r="AR332">
        <v>15</v>
      </c>
      <c r="AS332">
        <v>0</v>
      </c>
      <c r="AT332">
        <v>16</v>
      </c>
      <c r="AU332">
        <v>0</v>
      </c>
      <c r="AV332" s="5">
        <v>628</v>
      </c>
      <c r="AW332" t="s">
        <v>56</v>
      </c>
      <c r="AX332" s="6">
        <v>5988</v>
      </c>
      <c r="AY332" t="s">
        <v>761</v>
      </c>
      <c r="AZ332" t="s">
        <v>56</v>
      </c>
    </row>
    <row r="333" spans="1:52" hidden="1" x14ac:dyDescent="0.45">
      <c r="A333">
        <v>502808.619756756</v>
      </c>
      <c r="B333">
        <v>6921095.1397250798</v>
      </c>
      <c r="C333">
        <v>332</v>
      </c>
      <c r="D333" t="s">
        <v>839</v>
      </c>
      <c r="E333" t="s">
        <v>426</v>
      </c>
      <c r="F333" t="s">
        <v>840</v>
      </c>
      <c r="G333" t="s">
        <v>761</v>
      </c>
      <c r="H333" s="3">
        <v>3743.1</v>
      </c>
      <c r="I333">
        <v>2</v>
      </c>
      <c r="J333" t="s">
        <v>56</v>
      </c>
      <c r="K333">
        <v>46.2</v>
      </c>
      <c r="L333">
        <v>55.4</v>
      </c>
      <c r="M333">
        <v>1</v>
      </c>
      <c r="N333" t="s">
        <v>56</v>
      </c>
      <c r="O333" t="s">
        <v>761</v>
      </c>
      <c r="P333">
        <v>81.2</v>
      </c>
      <c r="Q333">
        <v>1.2</v>
      </c>
      <c r="R333">
        <v>15.3</v>
      </c>
      <c r="S333">
        <v>1.1000000000000001</v>
      </c>
      <c r="T333">
        <v>0.2</v>
      </c>
      <c r="U333">
        <v>0</v>
      </c>
      <c r="V333">
        <v>0.6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0.4</v>
      </c>
      <c r="AC333" t="s">
        <v>761</v>
      </c>
      <c r="AD333">
        <v>60</v>
      </c>
      <c r="AE333" t="s">
        <v>761</v>
      </c>
      <c r="AF333" s="4" t="s">
        <v>57</v>
      </c>
      <c r="AG333" s="4">
        <v>1816</v>
      </c>
      <c r="AH333" s="4" t="s">
        <v>58</v>
      </c>
      <c r="AI333" s="4">
        <v>1927</v>
      </c>
      <c r="AJ333" t="s">
        <v>761</v>
      </c>
      <c r="AK333" t="s">
        <v>56</v>
      </c>
      <c r="AL333" t="s">
        <v>840</v>
      </c>
      <c r="AM333">
        <v>8</v>
      </c>
      <c r="AN333">
        <v>0</v>
      </c>
      <c r="AO333">
        <v>9</v>
      </c>
      <c r="AP333">
        <v>0</v>
      </c>
      <c r="AQ333" s="5">
        <v>517</v>
      </c>
      <c r="AR333">
        <v>15</v>
      </c>
      <c r="AS333">
        <v>0</v>
      </c>
      <c r="AT333">
        <v>16</v>
      </c>
      <c r="AU333">
        <v>0</v>
      </c>
      <c r="AV333" s="5">
        <v>453</v>
      </c>
      <c r="AW333" t="s">
        <v>56</v>
      </c>
      <c r="AX333" s="6">
        <v>4028</v>
      </c>
      <c r="AY333" t="s">
        <v>761</v>
      </c>
      <c r="AZ333" t="s">
        <v>56</v>
      </c>
    </row>
    <row r="334" spans="1:52" x14ac:dyDescent="0.45">
      <c r="A334">
        <v>504670.38166884001</v>
      </c>
      <c r="B334">
        <v>6920712.2875520596</v>
      </c>
      <c r="C334">
        <v>333</v>
      </c>
      <c r="D334" t="s">
        <v>841</v>
      </c>
      <c r="E334" t="s">
        <v>426</v>
      </c>
      <c r="F334" t="s">
        <v>842</v>
      </c>
      <c r="G334" t="s">
        <v>761</v>
      </c>
      <c r="H334" s="3">
        <v>5812</v>
      </c>
      <c r="I334">
        <v>2</v>
      </c>
      <c r="J334" t="s">
        <v>56</v>
      </c>
      <c r="K334">
        <v>74.5</v>
      </c>
      <c r="L334">
        <v>82.1</v>
      </c>
      <c r="M334">
        <v>1</v>
      </c>
      <c r="N334" t="s">
        <v>56</v>
      </c>
      <c r="O334" t="s">
        <v>761</v>
      </c>
      <c r="P334">
        <v>71.400000000000006</v>
      </c>
      <c r="Q334">
        <v>1.7</v>
      </c>
      <c r="R334">
        <v>23.5</v>
      </c>
      <c r="S334">
        <v>1</v>
      </c>
      <c r="T334">
        <v>0.1</v>
      </c>
      <c r="U334">
        <v>0.1</v>
      </c>
      <c r="V334">
        <v>1.3</v>
      </c>
      <c r="W334">
        <v>0.1</v>
      </c>
      <c r="X334">
        <v>0.3</v>
      </c>
      <c r="Y334">
        <v>0.1</v>
      </c>
      <c r="Z334">
        <v>0.1</v>
      </c>
      <c r="AA334">
        <v>0</v>
      </c>
      <c r="AB334">
        <v>0.3</v>
      </c>
      <c r="AC334" t="s">
        <v>761</v>
      </c>
      <c r="AD334">
        <v>80</v>
      </c>
      <c r="AE334" t="s">
        <v>761</v>
      </c>
      <c r="AF334" s="4" t="s">
        <v>80</v>
      </c>
      <c r="AG334" s="4">
        <v>2893</v>
      </c>
      <c r="AH334" s="4" t="s">
        <v>81</v>
      </c>
      <c r="AI334" s="4">
        <v>2919</v>
      </c>
      <c r="AJ334" t="s">
        <v>761</v>
      </c>
      <c r="AK334" t="s">
        <v>56</v>
      </c>
      <c r="AL334" t="s">
        <v>842</v>
      </c>
      <c r="AM334">
        <v>8</v>
      </c>
      <c r="AN334">
        <v>0</v>
      </c>
      <c r="AO334">
        <v>9</v>
      </c>
      <c r="AP334">
        <v>0</v>
      </c>
      <c r="AQ334" s="5">
        <v>573</v>
      </c>
      <c r="AR334">
        <v>15</v>
      </c>
      <c r="AS334">
        <v>0</v>
      </c>
      <c r="AT334">
        <v>16</v>
      </c>
      <c r="AU334">
        <v>0</v>
      </c>
      <c r="AV334" s="5">
        <v>634</v>
      </c>
      <c r="AW334" t="s">
        <v>56</v>
      </c>
      <c r="AX334" s="6">
        <v>6097</v>
      </c>
      <c r="AY334" t="s">
        <v>761</v>
      </c>
      <c r="AZ334" t="s">
        <v>56</v>
      </c>
    </row>
    <row r="335" spans="1:52" hidden="1" x14ac:dyDescent="0.45">
      <c r="A335">
        <v>511258.37539162103</v>
      </c>
      <c r="B335">
        <v>6943146.9608790902</v>
      </c>
      <c r="C335">
        <v>334</v>
      </c>
      <c r="D335" t="s">
        <v>843</v>
      </c>
      <c r="E335" t="s">
        <v>545</v>
      </c>
      <c r="F335" t="s">
        <v>844</v>
      </c>
      <c r="G335" t="s">
        <v>833</v>
      </c>
      <c r="H335" s="3">
        <v>431</v>
      </c>
      <c r="I335">
        <v>2</v>
      </c>
      <c r="J335" t="s">
        <v>56</v>
      </c>
      <c r="K335">
        <v>40</v>
      </c>
      <c r="L335">
        <v>50.8</v>
      </c>
      <c r="M335">
        <v>1</v>
      </c>
      <c r="N335" t="s">
        <v>56</v>
      </c>
      <c r="O335" t="s">
        <v>833</v>
      </c>
      <c r="P335">
        <v>90</v>
      </c>
      <c r="Q335">
        <v>0.6</v>
      </c>
      <c r="R335">
        <v>8.6999999999999993</v>
      </c>
      <c r="S335">
        <v>0.1</v>
      </c>
      <c r="T335">
        <v>0</v>
      </c>
      <c r="U335">
        <v>0</v>
      </c>
      <c r="V335">
        <v>0.2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0.4</v>
      </c>
      <c r="AC335" t="s">
        <v>833</v>
      </c>
      <c r="AD335">
        <v>50</v>
      </c>
      <c r="AE335" t="s">
        <v>833</v>
      </c>
      <c r="AF335" s="4" t="s">
        <v>57</v>
      </c>
      <c r="AG335" s="4">
        <v>204</v>
      </c>
      <c r="AH335" s="4" t="s">
        <v>58</v>
      </c>
      <c r="AI335" s="4">
        <v>226</v>
      </c>
      <c r="AJ335" t="s">
        <v>833</v>
      </c>
      <c r="AK335" t="s">
        <v>56</v>
      </c>
      <c r="AL335" t="s">
        <v>844</v>
      </c>
      <c r="AM335">
        <v>10</v>
      </c>
      <c r="AN335">
        <v>0</v>
      </c>
      <c r="AO335">
        <v>11</v>
      </c>
      <c r="AP335">
        <v>0</v>
      </c>
      <c r="AQ335" s="5">
        <v>31</v>
      </c>
      <c r="AR335">
        <v>16</v>
      </c>
      <c r="AS335">
        <v>0</v>
      </c>
      <c r="AT335">
        <v>17</v>
      </c>
      <c r="AU335">
        <v>0</v>
      </c>
      <c r="AV335" s="5">
        <v>49</v>
      </c>
      <c r="AW335" t="s">
        <v>56</v>
      </c>
      <c r="AX335" s="6">
        <v>459</v>
      </c>
      <c r="AY335" t="s">
        <v>833</v>
      </c>
      <c r="AZ335" t="s">
        <v>56</v>
      </c>
    </row>
    <row r="336" spans="1:52" hidden="1" x14ac:dyDescent="0.45">
      <c r="A336">
        <v>517340.15639438701</v>
      </c>
      <c r="B336">
        <v>6938030.9932588302</v>
      </c>
      <c r="C336">
        <v>335</v>
      </c>
      <c r="D336" t="s">
        <v>845</v>
      </c>
      <c r="E336" t="s">
        <v>420</v>
      </c>
      <c r="F336" t="s">
        <v>846</v>
      </c>
      <c r="G336" t="s">
        <v>833</v>
      </c>
      <c r="H336" s="3">
        <v>713</v>
      </c>
      <c r="I336">
        <v>2</v>
      </c>
      <c r="J336" t="s">
        <v>56</v>
      </c>
      <c r="K336">
        <v>42.3</v>
      </c>
      <c r="L336">
        <v>50.3</v>
      </c>
      <c r="M336">
        <v>1</v>
      </c>
      <c r="N336" t="s">
        <v>56</v>
      </c>
      <c r="O336" t="s">
        <v>833</v>
      </c>
      <c r="P336">
        <v>80.2</v>
      </c>
      <c r="Q336">
        <v>0.6</v>
      </c>
      <c r="R336">
        <v>18.100000000000001</v>
      </c>
      <c r="S336">
        <v>0.4</v>
      </c>
      <c r="T336">
        <v>0</v>
      </c>
      <c r="U336">
        <v>0</v>
      </c>
      <c r="V336">
        <v>0.3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0.4</v>
      </c>
      <c r="AC336" t="s">
        <v>833</v>
      </c>
      <c r="AD336">
        <v>50</v>
      </c>
      <c r="AE336" t="s">
        <v>833</v>
      </c>
      <c r="AF336" s="4" t="s">
        <v>57</v>
      </c>
      <c r="AG336" s="4">
        <v>342</v>
      </c>
      <c r="AH336" s="4" t="s">
        <v>58</v>
      </c>
      <c r="AI336" s="4">
        <v>371</v>
      </c>
      <c r="AJ336" t="s">
        <v>833</v>
      </c>
      <c r="AK336" t="s">
        <v>56</v>
      </c>
      <c r="AL336" t="s">
        <v>846</v>
      </c>
      <c r="AM336">
        <v>8</v>
      </c>
      <c r="AN336">
        <v>0</v>
      </c>
      <c r="AO336">
        <v>9</v>
      </c>
      <c r="AP336">
        <v>0</v>
      </c>
      <c r="AQ336" s="5">
        <v>56</v>
      </c>
      <c r="AR336">
        <v>15</v>
      </c>
      <c r="AS336">
        <v>0</v>
      </c>
      <c r="AT336">
        <v>16</v>
      </c>
      <c r="AU336">
        <v>0</v>
      </c>
      <c r="AV336" s="5">
        <v>70</v>
      </c>
      <c r="AW336" t="s">
        <v>56</v>
      </c>
      <c r="AX336" s="6">
        <v>732</v>
      </c>
      <c r="AY336" t="s">
        <v>833</v>
      </c>
      <c r="AZ336" t="s">
        <v>56</v>
      </c>
    </row>
    <row r="337" spans="1:52" hidden="1" x14ac:dyDescent="0.45">
      <c r="A337">
        <v>510519.03408515302</v>
      </c>
      <c r="B337">
        <v>6938411.2151930695</v>
      </c>
      <c r="C337">
        <v>336</v>
      </c>
      <c r="D337" t="s">
        <v>847</v>
      </c>
      <c r="E337" t="s">
        <v>468</v>
      </c>
      <c r="F337" t="s">
        <v>848</v>
      </c>
      <c r="G337" t="s">
        <v>833</v>
      </c>
      <c r="H337" s="3">
        <v>383</v>
      </c>
      <c r="I337">
        <v>2</v>
      </c>
      <c r="J337" t="s">
        <v>56</v>
      </c>
      <c r="K337">
        <v>50.1</v>
      </c>
      <c r="L337">
        <v>61.2</v>
      </c>
      <c r="M337">
        <v>1</v>
      </c>
      <c r="N337" t="s">
        <v>56</v>
      </c>
      <c r="O337" t="s">
        <v>833</v>
      </c>
      <c r="P337">
        <v>79.900000000000006</v>
      </c>
      <c r="Q337">
        <v>0.9</v>
      </c>
      <c r="R337">
        <v>17.899999999999999</v>
      </c>
      <c r="S337">
        <v>0.5</v>
      </c>
      <c r="T337">
        <v>0</v>
      </c>
      <c r="U337">
        <v>0</v>
      </c>
      <c r="V337">
        <v>0.5</v>
      </c>
      <c r="W337">
        <v>0</v>
      </c>
      <c r="X337">
        <v>0.1</v>
      </c>
      <c r="Y337">
        <v>0</v>
      </c>
      <c r="Z337">
        <v>0</v>
      </c>
      <c r="AA337">
        <v>0</v>
      </c>
      <c r="AB337">
        <v>0.2</v>
      </c>
      <c r="AC337" t="s">
        <v>833</v>
      </c>
      <c r="AD337">
        <v>50</v>
      </c>
      <c r="AE337" t="s">
        <v>833</v>
      </c>
      <c r="AF337" s="4" t="s">
        <v>80</v>
      </c>
      <c r="AG337" s="4">
        <v>173</v>
      </c>
      <c r="AH337" s="4" t="s">
        <v>81</v>
      </c>
      <c r="AI337" s="4">
        <v>210</v>
      </c>
      <c r="AJ337" t="s">
        <v>833</v>
      </c>
      <c r="AK337" t="s">
        <v>56</v>
      </c>
      <c r="AL337" t="s">
        <v>848</v>
      </c>
      <c r="AM337">
        <v>10</v>
      </c>
      <c r="AN337">
        <v>0</v>
      </c>
      <c r="AO337">
        <v>11</v>
      </c>
      <c r="AP337">
        <v>0</v>
      </c>
      <c r="AQ337" s="5">
        <v>29</v>
      </c>
      <c r="AR337">
        <v>15</v>
      </c>
      <c r="AS337">
        <v>0</v>
      </c>
      <c r="AT337">
        <v>16</v>
      </c>
      <c r="AU337">
        <v>0</v>
      </c>
      <c r="AV337" s="5">
        <v>39</v>
      </c>
      <c r="AW337" t="s">
        <v>56</v>
      </c>
      <c r="AX337" s="6">
        <v>394</v>
      </c>
      <c r="AY337" t="s">
        <v>833</v>
      </c>
      <c r="AZ337" t="s">
        <v>56</v>
      </c>
    </row>
    <row r="338" spans="1:52" hidden="1" x14ac:dyDescent="0.45">
      <c r="A338">
        <v>509105.07698516001</v>
      </c>
      <c r="B338">
        <v>6936113.7619171999</v>
      </c>
      <c r="C338">
        <v>337</v>
      </c>
      <c r="D338" t="s">
        <v>849</v>
      </c>
      <c r="E338" t="s">
        <v>850</v>
      </c>
      <c r="F338" t="s">
        <v>851</v>
      </c>
      <c r="G338" t="s">
        <v>852</v>
      </c>
      <c r="H338" s="3">
        <v>6048.1</v>
      </c>
      <c r="I338">
        <v>2</v>
      </c>
      <c r="J338" t="s">
        <v>56</v>
      </c>
      <c r="K338">
        <v>65.900000000000006</v>
      </c>
      <c r="L338">
        <v>73.400000000000006</v>
      </c>
      <c r="M338">
        <v>1</v>
      </c>
      <c r="N338" t="s">
        <v>56</v>
      </c>
      <c r="O338" t="s">
        <v>852</v>
      </c>
      <c r="P338">
        <v>85.4</v>
      </c>
      <c r="Q338">
        <v>0.8</v>
      </c>
      <c r="R338">
        <v>12.8</v>
      </c>
      <c r="S338">
        <v>0.4</v>
      </c>
      <c r="T338">
        <v>0.1</v>
      </c>
      <c r="U338">
        <v>0</v>
      </c>
      <c r="V338">
        <v>0.3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0.2</v>
      </c>
      <c r="AC338" t="s">
        <v>852</v>
      </c>
      <c r="AD338">
        <v>80</v>
      </c>
      <c r="AE338" t="s">
        <v>852</v>
      </c>
      <c r="AF338" s="4" t="s">
        <v>57</v>
      </c>
      <c r="AG338" s="4">
        <v>3078</v>
      </c>
      <c r="AH338" s="4" t="s">
        <v>58</v>
      </c>
      <c r="AI338" s="4">
        <v>2970</v>
      </c>
      <c r="AJ338" t="s">
        <v>852</v>
      </c>
      <c r="AK338" t="s">
        <v>56</v>
      </c>
      <c r="AL338" t="s">
        <v>851</v>
      </c>
      <c r="AM338">
        <v>8</v>
      </c>
      <c r="AN338">
        <v>0</v>
      </c>
      <c r="AO338">
        <v>9</v>
      </c>
      <c r="AP338">
        <v>0</v>
      </c>
      <c r="AQ338" s="5">
        <v>536</v>
      </c>
      <c r="AR338">
        <v>15</v>
      </c>
      <c r="AS338">
        <v>0</v>
      </c>
      <c r="AT338">
        <v>16</v>
      </c>
      <c r="AU338">
        <v>0</v>
      </c>
      <c r="AV338" s="5">
        <v>635</v>
      </c>
      <c r="AW338" t="s">
        <v>56</v>
      </c>
      <c r="AX338" s="6">
        <v>6380</v>
      </c>
      <c r="AY338" t="s">
        <v>852</v>
      </c>
      <c r="AZ338" t="s">
        <v>56</v>
      </c>
    </row>
    <row r="339" spans="1:52" hidden="1" x14ac:dyDescent="0.45">
      <c r="A339">
        <v>508458.28926224698</v>
      </c>
      <c r="B339">
        <v>6936242.3906473396</v>
      </c>
      <c r="C339">
        <v>338</v>
      </c>
      <c r="D339" t="s">
        <v>849</v>
      </c>
      <c r="E339" t="s">
        <v>850</v>
      </c>
      <c r="F339" t="s">
        <v>853</v>
      </c>
      <c r="G339" t="s">
        <v>852</v>
      </c>
      <c r="H339" s="3">
        <v>7207</v>
      </c>
      <c r="I339">
        <v>2</v>
      </c>
      <c r="J339" t="s">
        <v>56</v>
      </c>
      <c r="K339">
        <v>72</v>
      </c>
      <c r="L339">
        <v>80.599999999999994</v>
      </c>
      <c r="M339">
        <v>1</v>
      </c>
      <c r="N339" t="s">
        <v>56</v>
      </c>
      <c r="O339" t="s">
        <v>852</v>
      </c>
      <c r="P339">
        <v>80.8</v>
      </c>
      <c r="Q339">
        <v>0.7</v>
      </c>
      <c r="R339">
        <v>17.5</v>
      </c>
      <c r="S339">
        <v>0.4</v>
      </c>
      <c r="T339">
        <v>0.1</v>
      </c>
      <c r="U339">
        <v>0</v>
      </c>
      <c r="V339">
        <v>0.3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0.2</v>
      </c>
      <c r="AC339" t="s">
        <v>852</v>
      </c>
      <c r="AD339">
        <v>80</v>
      </c>
      <c r="AE339" t="s">
        <v>852</v>
      </c>
      <c r="AF339" s="4" t="s">
        <v>57</v>
      </c>
      <c r="AG339" s="4">
        <v>3666</v>
      </c>
      <c r="AH339" s="4" t="s">
        <v>58</v>
      </c>
      <c r="AI339" s="4">
        <v>3541</v>
      </c>
      <c r="AJ339" t="s">
        <v>852</v>
      </c>
      <c r="AK339" t="s">
        <v>56</v>
      </c>
      <c r="AL339" t="s">
        <v>853</v>
      </c>
      <c r="AM339">
        <v>8</v>
      </c>
      <c r="AN339">
        <v>0</v>
      </c>
      <c r="AO339">
        <v>9</v>
      </c>
      <c r="AP339">
        <v>0</v>
      </c>
      <c r="AQ339" s="5">
        <v>656</v>
      </c>
      <c r="AR339">
        <v>15</v>
      </c>
      <c r="AS339">
        <v>0</v>
      </c>
      <c r="AT339">
        <v>16</v>
      </c>
      <c r="AU339">
        <v>0</v>
      </c>
      <c r="AV339" s="5">
        <v>775</v>
      </c>
      <c r="AW339" t="s">
        <v>56</v>
      </c>
      <c r="AX339" s="6">
        <v>7565</v>
      </c>
      <c r="AY339" t="s">
        <v>852</v>
      </c>
      <c r="AZ339" t="s">
        <v>56</v>
      </c>
    </row>
    <row r="340" spans="1:52" hidden="1" x14ac:dyDescent="0.45">
      <c r="A340">
        <v>502613.03993371403</v>
      </c>
      <c r="B340">
        <v>6921484.3272165097</v>
      </c>
      <c r="C340">
        <v>339</v>
      </c>
      <c r="D340" t="s">
        <v>854</v>
      </c>
      <c r="E340" t="s">
        <v>331</v>
      </c>
      <c r="F340" t="s">
        <v>855</v>
      </c>
      <c r="G340" t="s">
        <v>852</v>
      </c>
      <c r="H340" s="3">
        <v>7188</v>
      </c>
      <c r="I340">
        <v>2</v>
      </c>
      <c r="J340" t="s">
        <v>56</v>
      </c>
      <c r="K340">
        <v>34</v>
      </c>
      <c r="L340">
        <v>41</v>
      </c>
      <c r="M340">
        <v>1</v>
      </c>
      <c r="N340" t="s">
        <v>56</v>
      </c>
      <c r="O340" t="s">
        <v>852</v>
      </c>
      <c r="P340">
        <v>78.8</v>
      </c>
      <c r="Q340">
        <v>0.7</v>
      </c>
      <c r="R340">
        <v>19</v>
      </c>
      <c r="S340">
        <v>0.5</v>
      </c>
      <c r="T340">
        <v>0.1</v>
      </c>
      <c r="U340">
        <v>0</v>
      </c>
      <c r="V340">
        <v>0.5</v>
      </c>
      <c r="W340">
        <v>0</v>
      </c>
      <c r="X340">
        <v>0.1</v>
      </c>
      <c r="Y340">
        <v>0.2</v>
      </c>
      <c r="Z340">
        <v>0</v>
      </c>
      <c r="AA340">
        <v>0</v>
      </c>
      <c r="AB340">
        <v>0.1</v>
      </c>
      <c r="AC340" t="s">
        <v>852</v>
      </c>
      <c r="AD340">
        <v>60</v>
      </c>
      <c r="AE340" t="s">
        <v>852</v>
      </c>
      <c r="AF340" s="4" t="s">
        <v>57</v>
      </c>
      <c r="AG340" s="4">
        <v>3421</v>
      </c>
      <c r="AH340" s="4" t="s">
        <v>58</v>
      </c>
      <c r="AI340" s="4">
        <v>3767</v>
      </c>
      <c r="AJ340" t="s">
        <v>852</v>
      </c>
      <c r="AK340" t="s">
        <v>56</v>
      </c>
      <c r="AL340" t="s">
        <v>855</v>
      </c>
      <c r="AM340">
        <v>8</v>
      </c>
      <c r="AN340">
        <v>0</v>
      </c>
      <c r="AO340">
        <v>9</v>
      </c>
      <c r="AP340">
        <v>0</v>
      </c>
      <c r="AQ340" s="5">
        <v>817</v>
      </c>
      <c r="AR340">
        <v>15</v>
      </c>
      <c r="AS340">
        <v>0</v>
      </c>
      <c r="AT340">
        <v>16</v>
      </c>
      <c r="AU340">
        <v>0</v>
      </c>
      <c r="AV340" s="5">
        <v>805</v>
      </c>
      <c r="AW340" t="s">
        <v>56</v>
      </c>
      <c r="AX340" s="6">
        <v>7495</v>
      </c>
      <c r="AY340" t="s">
        <v>852</v>
      </c>
      <c r="AZ340" t="s">
        <v>56</v>
      </c>
    </row>
    <row r="341" spans="1:52" hidden="1" x14ac:dyDescent="0.45">
      <c r="A341">
        <v>502234.10368160298</v>
      </c>
      <c r="B341">
        <v>6940190.2020519003</v>
      </c>
      <c r="C341">
        <v>340</v>
      </c>
      <c r="D341" t="s">
        <v>660</v>
      </c>
      <c r="E341" t="s">
        <v>856</v>
      </c>
      <c r="F341" t="s">
        <v>857</v>
      </c>
      <c r="G341" t="s">
        <v>858</v>
      </c>
      <c r="H341" s="3">
        <v>3663</v>
      </c>
      <c r="I341">
        <v>2</v>
      </c>
      <c r="J341" t="s">
        <v>56</v>
      </c>
      <c r="K341">
        <v>52.8</v>
      </c>
      <c r="L341">
        <v>59</v>
      </c>
      <c r="M341">
        <v>1</v>
      </c>
      <c r="N341" t="s">
        <v>56</v>
      </c>
      <c r="O341" t="s">
        <v>858</v>
      </c>
      <c r="P341">
        <v>81.400000000000006</v>
      </c>
      <c r="Q341">
        <v>1</v>
      </c>
      <c r="R341">
        <v>16.5</v>
      </c>
      <c r="S341">
        <v>0.3</v>
      </c>
      <c r="T341">
        <v>0.1</v>
      </c>
      <c r="U341">
        <v>0</v>
      </c>
      <c r="V341">
        <v>0.3</v>
      </c>
      <c r="W341">
        <v>0</v>
      </c>
      <c r="X341">
        <v>0.3</v>
      </c>
      <c r="Y341">
        <v>0</v>
      </c>
      <c r="Z341">
        <v>0</v>
      </c>
      <c r="AA341">
        <v>0</v>
      </c>
      <c r="AB341">
        <v>0.1</v>
      </c>
      <c r="AC341" t="s">
        <v>858</v>
      </c>
      <c r="AD341">
        <v>60</v>
      </c>
      <c r="AE341" t="s">
        <v>858</v>
      </c>
      <c r="AF341" s="4" t="s">
        <v>80</v>
      </c>
      <c r="AG341" s="4">
        <v>1950</v>
      </c>
      <c r="AH341" s="4" t="s">
        <v>81</v>
      </c>
      <c r="AI341" s="4">
        <v>1713</v>
      </c>
      <c r="AJ341" t="s">
        <v>858</v>
      </c>
      <c r="AK341" t="s">
        <v>56</v>
      </c>
      <c r="AL341" t="s">
        <v>857</v>
      </c>
      <c r="AM341">
        <v>7</v>
      </c>
      <c r="AN341">
        <v>0</v>
      </c>
      <c r="AO341">
        <v>8</v>
      </c>
      <c r="AP341">
        <v>0</v>
      </c>
      <c r="AQ341" s="5">
        <v>510</v>
      </c>
      <c r="AR341">
        <v>16</v>
      </c>
      <c r="AS341">
        <v>0</v>
      </c>
      <c r="AT341">
        <v>17</v>
      </c>
      <c r="AU341">
        <v>0</v>
      </c>
      <c r="AV341" s="5">
        <v>360</v>
      </c>
      <c r="AW341" t="s">
        <v>56</v>
      </c>
      <c r="AX341" s="6">
        <v>4160</v>
      </c>
      <c r="AY341" t="s">
        <v>858</v>
      </c>
      <c r="AZ341" t="s">
        <v>56</v>
      </c>
    </row>
    <row r="342" spans="1:52" hidden="1" x14ac:dyDescent="0.45">
      <c r="A342">
        <v>518893.06032015802</v>
      </c>
      <c r="B342">
        <v>6933458.0484133996</v>
      </c>
      <c r="C342">
        <v>341</v>
      </c>
      <c r="D342" t="s">
        <v>859</v>
      </c>
      <c r="E342" t="s">
        <v>590</v>
      </c>
      <c r="F342" t="s">
        <v>860</v>
      </c>
      <c r="G342" t="s">
        <v>858</v>
      </c>
      <c r="H342" s="3">
        <v>1729.3</v>
      </c>
      <c r="I342">
        <v>2</v>
      </c>
      <c r="J342" t="s">
        <v>56</v>
      </c>
      <c r="K342">
        <v>40</v>
      </c>
      <c r="L342">
        <v>46.8</v>
      </c>
      <c r="M342">
        <v>1</v>
      </c>
      <c r="N342" t="s">
        <v>56</v>
      </c>
      <c r="O342" t="s">
        <v>858</v>
      </c>
      <c r="P342">
        <v>80.7</v>
      </c>
      <c r="Q342">
        <v>0.7</v>
      </c>
      <c r="R342">
        <v>18.100000000000001</v>
      </c>
      <c r="S342">
        <v>0.2</v>
      </c>
      <c r="T342">
        <v>0.1</v>
      </c>
      <c r="U342">
        <v>0</v>
      </c>
      <c r="V342">
        <v>0.1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0.1</v>
      </c>
      <c r="AC342" t="s">
        <v>858</v>
      </c>
      <c r="AD342">
        <v>50</v>
      </c>
      <c r="AE342" t="s">
        <v>858</v>
      </c>
      <c r="AF342" s="4" t="s">
        <v>57</v>
      </c>
      <c r="AG342" s="4">
        <v>771</v>
      </c>
      <c r="AH342" s="4" t="s">
        <v>58</v>
      </c>
      <c r="AI342" s="4">
        <v>958</v>
      </c>
      <c r="AJ342" t="s">
        <v>858</v>
      </c>
      <c r="AK342" t="s">
        <v>56</v>
      </c>
      <c r="AL342" t="s">
        <v>860</v>
      </c>
      <c r="AM342">
        <v>8</v>
      </c>
      <c r="AN342">
        <v>0</v>
      </c>
      <c r="AO342">
        <v>9</v>
      </c>
      <c r="AP342">
        <v>0</v>
      </c>
      <c r="AQ342" s="5">
        <v>160</v>
      </c>
      <c r="AR342">
        <v>15</v>
      </c>
      <c r="AS342">
        <v>0</v>
      </c>
      <c r="AT342">
        <v>16</v>
      </c>
      <c r="AU342">
        <v>0</v>
      </c>
      <c r="AV342" s="5">
        <v>204</v>
      </c>
      <c r="AW342" t="s">
        <v>56</v>
      </c>
      <c r="AX342" s="6">
        <v>1800</v>
      </c>
      <c r="AY342" t="s">
        <v>858</v>
      </c>
      <c r="AZ342" t="s">
        <v>56</v>
      </c>
    </row>
    <row r="343" spans="1:52" hidden="1" x14ac:dyDescent="0.45">
      <c r="A343">
        <v>510574.82334511902</v>
      </c>
      <c r="B343">
        <v>6937587.8118168302</v>
      </c>
      <c r="C343">
        <v>342</v>
      </c>
      <c r="D343" t="s">
        <v>797</v>
      </c>
      <c r="E343" t="s">
        <v>861</v>
      </c>
      <c r="F343" t="s">
        <v>862</v>
      </c>
      <c r="G343" t="s">
        <v>863</v>
      </c>
      <c r="H343" s="3">
        <v>7436</v>
      </c>
      <c r="I343">
        <v>2</v>
      </c>
      <c r="J343" t="s">
        <v>56</v>
      </c>
      <c r="K343">
        <v>47.3</v>
      </c>
      <c r="L343">
        <v>61.9</v>
      </c>
      <c r="M343">
        <v>1</v>
      </c>
      <c r="N343" t="s">
        <v>56</v>
      </c>
      <c r="O343" t="s">
        <v>863</v>
      </c>
      <c r="P343">
        <v>76.2</v>
      </c>
      <c r="Q343">
        <v>3.1</v>
      </c>
      <c r="R343">
        <v>17.899999999999999</v>
      </c>
      <c r="S343">
        <v>0.7</v>
      </c>
      <c r="T343">
        <v>0.4</v>
      </c>
      <c r="U343">
        <v>0.1</v>
      </c>
      <c r="V343">
        <v>0.6</v>
      </c>
      <c r="W343">
        <v>0.2</v>
      </c>
      <c r="X343">
        <v>0.2</v>
      </c>
      <c r="Y343">
        <v>0</v>
      </c>
      <c r="Z343">
        <v>0.1</v>
      </c>
      <c r="AA343">
        <v>0</v>
      </c>
      <c r="AB343">
        <v>0.5</v>
      </c>
      <c r="AC343" t="s">
        <v>863</v>
      </c>
      <c r="AD343">
        <v>60</v>
      </c>
      <c r="AE343" t="s">
        <v>863</v>
      </c>
      <c r="AF343" s="4" t="s">
        <v>80</v>
      </c>
      <c r="AG343" s="4">
        <v>7436</v>
      </c>
      <c r="AJ343" t="s">
        <v>863</v>
      </c>
      <c r="AK343" t="s">
        <v>56</v>
      </c>
      <c r="AL343" t="s">
        <v>862</v>
      </c>
      <c r="AM343">
        <v>7</v>
      </c>
      <c r="AN343">
        <v>0</v>
      </c>
      <c r="AO343">
        <v>8</v>
      </c>
      <c r="AP343">
        <v>0</v>
      </c>
      <c r="AQ343" s="5">
        <v>671</v>
      </c>
      <c r="AR343">
        <v>15</v>
      </c>
      <c r="AS343">
        <v>0</v>
      </c>
      <c r="AT343">
        <v>16</v>
      </c>
      <c r="AU343">
        <v>0</v>
      </c>
      <c r="AV343" s="5">
        <v>646</v>
      </c>
      <c r="AW343" t="s">
        <v>56</v>
      </c>
      <c r="AX343" s="6">
        <v>8002</v>
      </c>
      <c r="AY343" t="s">
        <v>863</v>
      </c>
      <c r="AZ343" t="s">
        <v>56</v>
      </c>
    </row>
    <row r="344" spans="1:52" hidden="1" x14ac:dyDescent="0.45">
      <c r="A344">
        <v>510529.68613918399</v>
      </c>
      <c r="B344">
        <v>6937502.2255619699</v>
      </c>
      <c r="C344">
        <v>343</v>
      </c>
      <c r="D344" t="s">
        <v>797</v>
      </c>
      <c r="E344" t="s">
        <v>861</v>
      </c>
      <c r="F344" t="s">
        <v>864</v>
      </c>
      <c r="G344" t="s">
        <v>863</v>
      </c>
      <c r="H344" s="3">
        <v>7225</v>
      </c>
      <c r="I344">
        <v>2</v>
      </c>
      <c r="J344" t="s">
        <v>56</v>
      </c>
      <c r="K344">
        <v>59.5</v>
      </c>
      <c r="L344">
        <v>68.400000000000006</v>
      </c>
      <c r="M344">
        <v>1</v>
      </c>
      <c r="N344" t="s">
        <v>56</v>
      </c>
      <c r="O344" t="s">
        <v>863</v>
      </c>
      <c r="P344">
        <v>76.599999999999994</v>
      </c>
      <c r="Q344">
        <v>3.5</v>
      </c>
      <c r="R344">
        <v>17</v>
      </c>
      <c r="S344">
        <v>0.5</v>
      </c>
      <c r="T344">
        <v>0.3</v>
      </c>
      <c r="U344">
        <v>0</v>
      </c>
      <c r="V344">
        <v>0.8</v>
      </c>
      <c r="W344">
        <v>0.3</v>
      </c>
      <c r="X344">
        <v>0.3</v>
      </c>
      <c r="Y344">
        <v>0.1</v>
      </c>
      <c r="Z344">
        <v>0.3</v>
      </c>
      <c r="AA344">
        <v>0</v>
      </c>
      <c r="AB344">
        <v>0.3</v>
      </c>
      <c r="AC344" t="s">
        <v>863</v>
      </c>
      <c r="AD344">
        <v>60</v>
      </c>
      <c r="AE344" t="s">
        <v>863</v>
      </c>
      <c r="AH344" s="4" t="s">
        <v>81</v>
      </c>
      <c r="AI344" s="4">
        <v>7225</v>
      </c>
      <c r="AJ344" t="s">
        <v>863</v>
      </c>
      <c r="AK344" t="s">
        <v>56</v>
      </c>
      <c r="AL344" t="s">
        <v>864</v>
      </c>
      <c r="AM344">
        <v>8</v>
      </c>
      <c r="AN344">
        <v>0</v>
      </c>
      <c r="AO344">
        <v>9</v>
      </c>
      <c r="AP344">
        <v>0</v>
      </c>
      <c r="AQ344" s="5">
        <v>535</v>
      </c>
      <c r="AR344">
        <v>17</v>
      </c>
      <c r="AS344">
        <v>0</v>
      </c>
      <c r="AT344">
        <v>18</v>
      </c>
      <c r="AU344">
        <v>0</v>
      </c>
      <c r="AV344" s="5">
        <v>720</v>
      </c>
      <c r="AW344" t="s">
        <v>56</v>
      </c>
      <c r="AX344" s="6">
        <v>7740</v>
      </c>
      <c r="AY344" t="s">
        <v>863</v>
      </c>
      <c r="AZ344" t="s">
        <v>56</v>
      </c>
    </row>
    <row r="345" spans="1:52" hidden="1" x14ac:dyDescent="0.45">
      <c r="A345">
        <v>516198.14914250898</v>
      </c>
      <c r="B345">
        <v>6940251.7402982498</v>
      </c>
      <c r="C345">
        <v>344</v>
      </c>
      <c r="D345" t="s">
        <v>865</v>
      </c>
      <c r="E345" t="s">
        <v>866</v>
      </c>
      <c r="F345" t="s">
        <v>867</v>
      </c>
      <c r="G345" t="s">
        <v>868</v>
      </c>
      <c r="H345" s="3">
        <v>315</v>
      </c>
      <c r="I345">
        <v>2</v>
      </c>
      <c r="J345" t="s">
        <v>56</v>
      </c>
      <c r="K345">
        <v>54.3</v>
      </c>
      <c r="L345">
        <v>66.599999999999994</v>
      </c>
      <c r="M345">
        <v>1</v>
      </c>
      <c r="N345" t="s">
        <v>56</v>
      </c>
      <c r="O345" t="s">
        <v>868</v>
      </c>
      <c r="P345">
        <v>83.7</v>
      </c>
      <c r="Q345">
        <v>1.2</v>
      </c>
      <c r="R345">
        <v>12</v>
      </c>
      <c r="S345">
        <v>2</v>
      </c>
      <c r="T345">
        <v>0</v>
      </c>
      <c r="U345">
        <v>0.1</v>
      </c>
      <c r="V345">
        <v>0.6</v>
      </c>
      <c r="W345">
        <v>0</v>
      </c>
      <c r="X345">
        <v>0.1</v>
      </c>
      <c r="Y345">
        <v>0</v>
      </c>
      <c r="Z345">
        <v>0</v>
      </c>
      <c r="AA345">
        <v>0</v>
      </c>
      <c r="AB345">
        <v>0.3</v>
      </c>
      <c r="AC345" t="s">
        <v>868</v>
      </c>
      <c r="AD345">
        <v>60</v>
      </c>
      <c r="AE345" t="s">
        <v>868</v>
      </c>
      <c r="AF345" s="4" t="s">
        <v>80</v>
      </c>
      <c r="AG345" s="4">
        <v>165</v>
      </c>
      <c r="AH345" s="4" t="s">
        <v>81</v>
      </c>
      <c r="AI345" s="4">
        <v>150</v>
      </c>
      <c r="AJ345" t="s">
        <v>868</v>
      </c>
      <c r="AK345" t="s">
        <v>56</v>
      </c>
      <c r="AL345" t="s">
        <v>867</v>
      </c>
      <c r="AM345">
        <v>5</v>
      </c>
      <c r="AN345">
        <v>0</v>
      </c>
      <c r="AO345">
        <v>6</v>
      </c>
      <c r="AP345">
        <v>0</v>
      </c>
      <c r="AQ345" s="5">
        <v>33</v>
      </c>
      <c r="AR345">
        <v>22</v>
      </c>
      <c r="AS345">
        <v>0</v>
      </c>
      <c r="AT345">
        <v>23</v>
      </c>
      <c r="AU345">
        <v>0</v>
      </c>
      <c r="AV345" s="5">
        <v>28</v>
      </c>
      <c r="AW345" t="s">
        <v>56</v>
      </c>
      <c r="AX345" s="6">
        <v>322</v>
      </c>
      <c r="AY345" t="s">
        <v>868</v>
      </c>
      <c r="AZ345" t="s">
        <v>56</v>
      </c>
    </row>
    <row r="346" spans="1:52" hidden="1" x14ac:dyDescent="0.45">
      <c r="A346">
        <v>516091.10206221102</v>
      </c>
      <c r="B346">
        <v>6940672.5871731499</v>
      </c>
      <c r="C346">
        <v>345</v>
      </c>
      <c r="D346" t="s">
        <v>869</v>
      </c>
      <c r="E346" t="s">
        <v>866</v>
      </c>
      <c r="F346" t="s">
        <v>870</v>
      </c>
      <c r="G346" t="s">
        <v>868</v>
      </c>
      <c r="H346" s="3">
        <v>318</v>
      </c>
      <c r="I346">
        <v>2</v>
      </c>
      <c r="J346" t="s">
        <v>56</v>
      </c>
      <c r="K346">
        <v>51.3</v>
      </c>
      <c r="L346">
        <v>60.5</v>
      </c>
      <c r="M346">
        <v>1</v>
      </c>
      <c r="N346" t="s">
        <v>56</v>
      </c>
      <c r="O346" t="s">
        <v>868</v>
      </c>
      <c r="P346">
        <v>77.400000000000006</v>
      </c>
      <c r="Q346">
        <v>1.2</v>
      </c>
      <c r="R346">
        <v>19.600000000000001</v>
      </c>
      <c r="S346">
        <v>0.5</v>
      </c>
      <c r="T346">
        <v>0</v>
      </c>
      <c r="U346">
        <v>0</v>
      </c>
      <c r="V346">
        <v>0.3</v>
      </c>
      <c r="W346">
        <v>0.5</v>
      </c>
      <c r="X346">
        <v>0.1</v>
      </c>
      <c r="Y346">
        <v>0.2</v>
      </c>
      <c r="Z346">
        <v>0</v>
      </c>
      <c r="AA346">
        <v>0</v>
      </c>
      <c r="AB346">
        <v>0.2</v>
      </c>
      <c r="AC346" t="s">
        <v>868</v>
      </c>
      <c r="AD346">
        <v>50</v>
      </c>
      <c r="AE346" t="s">
        <v>868</v>
      </c>
      <c r="AF346" s="4" t="s">
        <v>80</v>
      </c>
      <c r="AG346" s="4">
        <v>152</v>
      </c>
      <c r="AH346" s="4" t="s">
        <v>81</v>
      </c>
      <c r="AI346" s="4">
        <v>166</v>
      </c>
      <c r="AJ346" t="s">
        <v>868</v>
      </c>
      <c r="AK346" t="s">
        <v>56</v>
      </c>
      <c r="AL346" t="s">
        <v>870</v>
      </c>
      <c r="AM346">
        <v>10</v>
      </c>
      <c r="AN346">
        <v>0</v>
      </c>
      <c r="AO346">
        <v>11</v>
      </c>
      <c r="AP346">
        <v>0</v>
      </c>
      <c r="AQ346" s="5">
        <v>35</v>
      </c>
      <c r="AR346">
        <v>16</v>
      </c>
      <c r="AS346">
        <v>0</v>
      </c>
      <c r="AT346">
        <v>17</v>
      </c>
      <c r="AU346">
        <v>0</v>
      </c>
      <c r="AV346" s="5">
        <v>20</v>
      </c>
      <c r="AW346" t="s">
        <v>56</v>
      </c>
      <c r="AX346" s="6">
        <v>326</v>
      </c>
      <c r="AY346" t="s">
        <v>868</v>
      </c>
      <c r="AZ346" t="s">
        <v>56</v>
      </c>
    </row>
    <row r="347" spans="1:52" hidden="1" x14ac:dyDescent="0.45">
      <c r="A347">
        <v>510107.81254450203</v>
      </c>
      <c r="B347">
        <v>6938523.4416962797</v>
      </c>
      <c r="C347">
        <v>346</v>
      </c>
      <c r="D347" t="s">
        <v>451</v>
      </c>
      <c r="E347" t="s">
        <v>452</v>
      </c>
      <c r="F347" t="s">
        <v>871</v>
      </c>
      <c r="G347" t="s">
        <v>863</v>
      </c>
      <c r="H347" s="3">
        <v>527</v>
      </c>
      <c r="I347">
        <v>2</v>
      </c>
      <c r="J347" t="s">
        <v>56</v>
      </c>
      <c r="K347">
        <v>49.2</v>
      </c>
      <c r="L347">
        <v>58.7</v>
      </c>
      <c r="M347">
        <v>1</v>
      </c>
      <c r="N347" t="s">
        <v>56</v>
      </c>
      <c r="O347" t="s">
        <v>863</v>
      </c>
      <c r="P347">
        <v>84.5</v>
      </c>
      <c r="Q347">
        <v>2.1</v>
      </c>
      <c r="R347">
        <v>12.4</v>
      </c>
      <c r="S347">
        <v>0.5</v>
      </c>
      <c r="T347">
        <v>0.1</v>
      </c>
      <c r="U347">
        <v>0</v>
      </c>
      <c r="V347">
        <v>0.4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 t="s">
        <v>863</v>
      </c>
      <c r="AD347">
        <v>50</v>
      </c>
      <c r="AE347" t="s">
        <v>863</v>
      </c>
      <c r="AF347" s="4" t="s">
        <v>80</v>
      </c>
      <c r="AG347" s="4">
        <v>271</v>
      </c>
      <c r="AH347" s="4" t="s">
        <v>81</v>
      </c>
      <c r="AI347" s="4">
        <v>256</v>
      </c>
      <c r="AJ347" t="s">
        <v>863</v>
      </c>
      <c r="AK347" t="s">
        <v>56</v>
      </c>
      <c r="AL347" t="s">
        <v>871</v>
      </c>
      <c r="AM347">
        <v>8</v>
      </c>
      <c r="AN347">
        <v>0</v>
      </c>
      <c r="AO347">
        <v>9</v>
      </c>
      <c r="AP347">
        <v>0</v>
      </c>
      <c r="AQ347" s="5">
        <v>45</v>
      </c>
      <c r="AR347">
        <v>15</v>
      </c>
      <c r="AS347">
        <v>0</v>
      </c>
      <c r="AT347">
        <v>16</v>
      </c>
      <c r="AU347">
        <v>0</v>
      </c>
      <c r="AV347" s="5">
        <v>64</v>
      </c>
      <c r="AW347" t="s">
        <v>56</v>
      </c>
      <c r="AX347" s="6">
        <v>550</v>
      </c>
      <c r="AY347" t="s">
        <v>863</v>
      </c>
      <c r="AZ347" t="s">
        <v>56</v>
      </c>
    </row>
    <row r="348" spans="1:52" hidden="1" x14ac:dyDescent="0.45">
      <c r="A348">
        <v>517041.72315908701</v>
      </c>
      <c r="B348">
        <v>6940186.1202194197</v>
      </c>
      <c r="C348">
        <v>347</v>
      </c>
      <c r="D348" t="s">
        <v>872</v>
      </c>
      <c r="E348" t="s">
        <v>873</v>
      </c>
      <c r="F348" t="s">
        <v>874</v>
      </c>
      <c r="G348" t="s">
        <v>875</v>
      </c>
      <c r="H348" s="3">
        <v>8205</v>
      </c>
      <c r="I348">
        <v>2</v>
      </c>
      <c r="J348" t="s">
        <v>56</v>
      </c>
      <c r="K348">
        <v>55.1</v>
      </c>
      <c r="L348">
        <v>68.400000000000006</v>
      </c>
      <c r="M348">
        <v>1</v>
      </c>
      <c r="N348" t="s">
        <v>56</v>
      </c>
      <c r="O348" t="s">
        <v>875</v>
      </c>
      <c r="P348">
        <v>64.7</v>
      </c>
      <c r="Q348">
        <v>2.5</v>
      </c>
      <c r="R348">
        <v>20</v>
      </c>
      <c r="S348">
        <v>2.7</v>
      </c>
      <c r="T348">
        <v>5.6</v>
      </c>
      <c r="U348">
        <v>0</v>
      </c>
      <c r="V348">
        <v>0.3</v>
      </c>
      <c r="W348">
        <v>0.3</v>
      </c>
      <c r="X348">
        <v>0.6</v>
      </c>
      <c r="Y348">
        <v>0.1</v>
      </c>
      <c r="Z348">
        <v>0.1</v>
      </c>
      <c r="AA348">
        <v>0</v>
      </c>
      <c r="AB348">
        <v>3.1</v>
      </c>
      <c r="AC348" t="s">
        <v>875</v>
      </c>
      <c r="AD348">
        <v>60</v>
      </c>
      <c r="AE348" t="s">
        <v>875</v>
      </c>
      <c r="AF348" s="4" t="s">
        <v>57</v>
      </c>
      <c r="AG348" s="4">
        <v>8205</v>
      </c>
      <c r="AJ348" t="s">
        <v>875</v>
      </c>
      <c r="AK348" t="s">
        <v>56</v>
      </c>
      <c r="AL348" t="s">
        <v>874</v>
      </c>
      <c r="AM348">
        <v>11</v>
      </c>
      <c r="AN348">
        <v>0</v>
      </c>
      <c r="AO348">
        <v>12</v>
      </c>
      <c r="AP348">
        <v>0</v>
      </c>
      <c r="AQ348" s="5">
        <v>1091</v>
      </c>
      <c r="AR348">
        <v>17</v>
      </c>
      <c r="AS348">
        <v>0</v>
      </c>
      <c r="AT348">
        <v>18</v>
      </c>
      <c r="AU348">
        <v>0</v>
      </c>
      <c r="AV348" s="5">
        <v>1240</v>
      </c>
      <c r="AW348" t="s">
        <v>56</v>
      </c>
      <c r="AX348" s="6">
        <v>12834</v>
      </c>
      <c r="AY348" t="s">
        <v>875</v>
      </c>
      <c r="AZ348" t="s">
        <v>56</v>
      </c>
    </row>
    <row r="349" spans="1:52" hidden="1" x14ac:dyDescent="0.45">
      <c r="A349">
        <v>517041.72315908701</v>
      </c>
      <c r="B349">
        <v>6940186.1202194197</v>
      </c>
      <c r="C349">
        <v>348</v>
      </c>
      <c r="D349" t="s">
        <v>872</v>
      </c>
      <c r="E349" t="s">
        <v>873</v>
      </c>
      <c r="F349" t="s">
        <v>874</v>
      </c>
      <c r="G349" t="s">
        <v>875</v>
      </c>
      <c r="H349" s="3">
        <v>4144</v>
      </c>
      <c r="I349">
        <v>2</v>
      </c>
      <c r="J349" t="s">
        <v>56</v>
      </c>
      <c r="K349">
        <v>55.1</v>
      </c>
      <c r="L349">
        <v>68.400000000000006</v>
      </c>
      <c r="M349">
        <v>1</v>
      </c>
      <c r="N349" t="s">
        <v>56</v>
      </c>
      <c r="O349" t="s">
        <v>875</v>
      </c>
      <c r="P349">
        <v>64.7</v>
      </c>
      <c r="Q349">
        <v>2.5</v>
      </c>
      <c r="R349">
        <v>20</v>
      </c>
      <c r="S349">
        <v>2.7</v>
      </c>
      <c r="T349">
        <v>5.6</v>
      </c>
      <c r="U349">
        <v>0</v>
      </c>
      <c r="V349">
        <v>0.3</v>
      </c>
      <c r="W349">
        <v>0.3</v>
      </c>
      <c r="X349">
        <v>0.6</v>
      </c>
      <c r="Y349">
        <v>0.1</v>
      </c>
      <c r="Z349">
        <v>0.1</v>
      </c>
      <c r="AA349">
        <v>0</v>
      </c>
      <c r="AB349">
        <v>3.1</v>
      </c>
      <c r="AC349" t="s">
        <v>875</v>
      </c>
      <c r="AD349">
        <v>60</v>
      </c>
      <c r="AE349" t="s">
        <v>875</v>
      </c>
      <c r="AH349" s="4" t="s">
        <v>58</v>
      </c>
      <c r="AI349" s="4">
        <v>4144</v>
      </c>
      <c r="AJ349" t="s">
        <v>875</v>
      </c>
      <c r="AK349" t="s">
        <v>56</v>
      </c>
      <c r="AL349" t="s">
        <v>874</v>
      </c>
      <c r="AM349">
        <v>11</v>
      </c>
      <c r="AN349">
        <v>0</v>
      </c>
      <c r="AO349">
        <v>12</v>
      </c>
      <c r="AP349">
        <v>0</v>
      </c>
      <c r="AQ349" s="5">
        <v>1091</v>
      </c>
      <c r="AR349">
        <v>17</v>
      </c>
      <c r="AS349">
        <v>0</v>
      </c>
      <c r="AT349">
        <v>18</v>
      </c>
      <c r="AU349">
        <v>0</v>
      </c>
      <c r="AV349" s="5">
        <v>1240</v>
      </c>
      <c r="AW349" t="s">
        <v>56</v>
      </c>
      <c r="AX349" s="6">
        <v>12834</v>
      </c>
      <c r="AY349" t="s">
        <v>875</v>
      </c>
      <c r="AZ349" t="s">
        <v>56</v>
      </c>
    </row>
    <row r="350" spans="1:52" hidden="1" x14ac:dyDescent="0.45">
      <c r="A350">
        <v>504776.70763731399</v>
      </c>
      <c r="B350">
        <v>6940425.7416267199</v>
      </c>
      <c r="C350">
        <v>349</v>
      </c>
      <c r="D350" t="s">
        <v>876</v>
      </c>
      <c r="E350" t="s">
        <v>877</v>
      </c>
      <c r="F350" t="s">
        <v>878</v>
      </c>
      <c r="G350" t="s">
        <v>815</v>
      </c>
      <c r="H350" s="3">
        <v>194</v>
      </c>
      <c r="I350">
        <v>2</v>
      </c>
      <c r="J350" t="s">
        <v>56</v>
      </c>
      <c r="K350">
        <v>40.799999999999997</v>
      </c>
      <c r="L350">
        <v>50.8</v>
      </c>
      <c r="M350">
        <v>1</v>
      </c>
      <c r="N350" t="s">
        <v>56</v>
      </c>
      <c r="O350" t="s">
        <v>815</v>
      </c>
      <c r="P350">
        <v>88.9</v>
      </c>
      <c r="Q350">
        <v>1.2</v>
      </c>
      <c r="R350">
        <v>8.1999999999999993</v>
      </c>
      <c r="S350">
        <v>0.3</v>
      </c>
      <c r="T350">
        <v>0</v>
      </c>
      <c r="U350">
        <v>0</v>
      </c>
      <c r="V350">
        <v>0.3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1.1000000000000001</v>
      </c>
      <c r="AC350" t="s">
        <v>815</v>
      </c>
      <c r="AD350">
        <v>50</v>
      </c>
      <c r="AE350" t="s">
        <v>815</v>
      </c>
      <c r="AF350" s="4" t="s">
        <v>57</v>
      </c>
      <c r="AG350" s="4">
        <v>98</v>
      </c>
      <c r="AH350" s="4" t="s">
        <v>58</v>
      </c>
      <c r="AI350" s="4">
        <v>96</v>
      </c>
      <c r="AJ350" t="s">
        <v>815</v>
      </c>
      <c r="AK350" t="s">
        <v>56</v>
      </c>
      <c r="AL350" t="s">
        <v>878</v>
      </c>
      <c r="AM350">
        <v>10</v>
      </c>
      <c r="AN350">
        <v>0</v>
      </c>
      <c r="AO350">
        <v>11</v>
      </c>
      <c r="AP350">
        <v>0</v>
      </c>
      <c r="AQ350" s="5">
        <v>19</v>
      </c>
      <c r="AR350">
        <v>14</v>
      </c>
      <c r="AS350">
        <v>0</v>
      </c>
      <c r="AT350">
        <v>15</v>
      </c>
      <c r="AU350">
        <v>0</v>
      </c>
      <c r="AV350" s="5">
        <v>28</v>
      </c>
      <c r="AW350" t="s">
        <v>56</v>
      </c>
      <c r="AX350" s="6">
        <v>205</v>
      </c>
      <c r="AY350" t="s">
        <v>815</v>
      </c>
      <c r="AZ350" t="s">
        <v>56</v>
      </c>
    </row>
    <row r="351" spans="1:52" hidden="1" x14ac:dyDescent="0.45">
      <c r="A351">
        <v>504881.41874492</v>
      </c>
      <c r="B351">
        <v>6940343.2874178998</v>
      </c>
      <c r="C351">
        <v>350</v>
      </c>
      <c r="D351" t="s">
        <v>879</v>
      </c>
      <c r="E351" t="s">
        <v>877</v>
      </c>
      <c r="F351" t="s">
        <v>880</v>
      </c>
      <c r="G351" t="s">
        <v>815</v>
      </c>
      <c r="H351" s="3">
        <v>401</v>
      </c>
      <c r="I351">
        <v>2</v>
      </c>
      <c r="J351" t="s">
        <v>56</v>
      </c>
      <c r="K351">
        <v>47.8</v>
      </c>
      <c r="L351">
        <v>57.2</v>
      </c>
      <c r="M351">
        <v>1</v>
      </c>
      <c r="N351" t="s">
        <v>56</v>
      </c>
      <c r="O351" t="s">
        <v>815</v>
      </c>
      <c r="P351">
        <v>85.8</v>
      </c>
      <c r="Q351">
        <v>1.4</v>
      </c>
      <c r="R351">
        <v>11.6</v>
      </c>
      <c r="S351">
        <v>0.4</v>
      </c>
      <c r="T351">
        <v>0</v>
      </c>
      <c r="U351">
        <v>0</v>
      </c>
      <c r="V351">
        <v>0.7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0.1</v>
      </c>
      <c r="AC351" t="s">
        <v>815</v>
      </c>
      <c r="AD351">
        <v>50</v>
      </c>
      <c r="AE351" t="s">
        <v>815</v>
      </c>
      <c r="AF351" s="4" t="s">
        <v>80</v>
      </c>
      <c r="AG351" s="4">
        <v>157</v>
      </c>
      <c r="AH351" s="4" t="s">
        <v>81</v>
      </c>
      <c r="AI351" s="4">
        <v>244</v>
      </c>
      <c r="AJ351" t="s">
        <v>815</v>
      </c>
      <c r="AK351" t="s">
        <v>56</v>
      </c>
      <c r="AL351" t="s">
        <v>880</v>
      </c>
      <c r="AM351">
        <v>8</v>
      </c>
      <c r="AN351">
        <v>0</v>
      </c>
      <c r="AO351">
        <v>9</v>
      </c>
      <c r="AP351">
        <v>0</v>
      </c>
      <c r="AQ351" s="5">
        <v>47</v>
      </c>
      <c r="AR351">
        <v>17</v>
      </c>
      <c r="AS351">
        <v>0</v>
      </c>
      <c r="AT351">
        <v>18</v>
      </c>
      <c r="AU351">
        <v>0</v>
      </c>
      <c r="AV351" s="5">
        <v>41</v>
      </c>
      <c r="AW351" t="s">
        <v>56</v>
      </c>
      <c r="AX351" s="6">
        <v>421</v>
      </c>
      <c r="AY351" t="s">
        <v>815</v>
      </c>
      <c r="AZ351" t="s">
        <v>56</v>
      </c>
    </row>
    <row r="352" spans="1:52" hidden="1" x14ac:dyDescent="0.45">
      <c r="A352">
        <v>512139.90456031502</v>
      </c>
      <c r="B352">
        <v>6945802.2525798101</v>
      </c>
      <c r="C352">
        <v>351</v>
      </c>
      <c r="D352" t="s">
        <v>881</v>
      </c>
      <c r="E352" t="s">
        <v>302</v>
      </c>
      <c r="F352" t="s">
        <v>882</v>
      </c>
      <c r="G352" t="s">
        <v>883</v>
      </c>
      <c r="H352" s="3">
        <v>11434</v>
      </c>
      <c r="I352">
        <v>2</v>
      </c>
      <c r="J352" t="s">
        <v>56</v>
      </c>
      <c r="K352">
        <v>56.5</v>
      </c>
      <c r="L352">
        <v>63.7</v>
      </c>
      <c r="M352">
        <v>1</v>
      </c>
      <c r="N352" t="s">
        <v>56</v>
      </c>
      <c r="O352" t="s">
        <v>883</v>
      </c>
      <c r="P352">
        <v>84.1</v>
      </c>
      <c r="Q352">
        <v>2.9</v>
      </c>
      <c r="R352">
        <v>10.7</v>
      </c>
      <c r="S352">
        <v>0.7</v>
      </c>
      <c r="T352">
        <v>0.2</v>
      </c>
      <c r="U352">
        <v>0</v>
      </c>
      <c r="V352">
        <v>0.4</v>
      </c>
      <c r="W352">
        <v>0.2</v>
      </c>
      <c r="X352">
        <v>0.2</v>
      </c>
      <c r="Y352">
        <v>0</v>
      </c>
      <c r="Z352">
        <v>0.1</v>
      </c>
      <c r="AA352">
        <v>0</v>
      </c>
      <c r="AB352">
        <v>0.5</v>
      </c>
      <c r="AC352" t="s">
        <v>883</v>
      </c>
      <c r="AD352">
        <v>60</v>
      </c>
      <c r="AE352" t="s">
        <v>883</v>
      </c>
      <c r="AH352" s="4" t="s">
        <v>81</v>
      </c>
      <c r="AI352" s="4">
        <v>11434</v>
      </c>
      <c r="AJ352" t="s">
        <v>883</v>
      </c>
      <c r="AK352" t="s">
        <v>56</v>
      </c>
      <c r="AL352" t="s">
        <v>882</v>
      </c>
      <c r="AM352">
        <v>8</v>
      </c>
      <c r="AN352">
        <v>0</v>
      </c>
      <c r="AO352">
        <v>9</v>
      </c>
      <c r="AP352">
        <v>0</v>
      </c>
      <c r="AQ352" s="5">
        <v>1423</v>
      </c>
      <c r="AR352">
        <v>15</v>
      </c>
      <c r="AS352">
        <v>0</v>
      </c>
      <c r="AT352">
        <v>16</v>
      </c>
      <c r="AU352">
        <v>0</v>
      </c>
      <c r="AV352" s="5">
        <v>1578</v>
      </c>
      <c r="AW352" t="s">
        <v>56</v>
      </c>
      <c r="AX352" s="6">
        <v>17850</v>
      </c>
      <c r="AY352" t="s">
        <v>883</v>
      </c>
      <c r="AZ352" t="s">
        <v>56</v>
      </c>
    </row>
    <row r="353" spans="1:52" hidden="1" x14ac:dyDescent="0.45">
      <c r="A353">
        <v>512139.90456031502</v>
      </c>
      <c r="B353">
        <v>6945802.2525798101</v>
      </c>
      <c r="C353">
        <v>352</v>
      </c>
      <c r="D353" t="s">
        <v>881</v>
      </c>
      <c r="E353" t="s">
        <v>302</v>
      </c>
      <c r="F353" t="s">
        <v>882</v>
      </c>
      <c r="G353" t="s">
        <v>883</v>
      </c>
      <c r="H353" s="3">
        <v>5355</v>
      </c>
      <c r="I353">
        <v>2</v>
      </c>
      <c r="J353" t="s">
        <v>56</v>
      </c>
      <c r="K353">
        <v>56.5</v>
      </c>
      <c r="L353">
        <v>63.7</v>
      </c>
      <c r="M353">
        <v>1</v>
      </c>
      <c r="N353" t="s">
        <v>56</v>
      </c>
      <c r="O353" t="s">
        <v>883</v>
      </c>
      <c r="P353">
        <v>84.1</v>
      </c>
      <c r="Q353">
        <v>2.9</v>
      </c>
      <c r="R353">
        <v>10.7</v>
      </c>
      <c r="S353">
        <v>0.7</v>
      </c>
      <c r="T353">
        <v>0.2</v>
      </c>
      <c r="U353">
        <v>0</v>
      </c>
      <c r="V353">
        <v>0.4</v>
      </c>
      <c r="W353">
        <v>0.2</v>
      </c>
      <c r="X353">
        <v>0.2</v>
      </c>
      <c r="Y353">
        <v>0</v>
      </c>
      <c r="Z353">
        <v>0.1</v>
      </c>
      <c r="AA353">
        <v>0</v>
      </c>
      <c r="AB353">
        <v>0.5</v>
      </c>
      <c r="AC353" t="s">
        <v>883</v>
      </c>
      <c r="AD353">
        <v>60</v>
      </c>
      <c r="AE353" t="s">
        <v>883</v>
      </c>
      <c r="AF353" s="4" t="s">
        <v>80</v>
      </c>
      <c r="AG353" s="4">
        <v>5355</v>
      </c>
      <c r="AJ353" t="s">
        <v>883</v>
      </c>
      <c r="AK353" t="s">
        <v>56</v>
      </c>
      <c r="AL353" t="s">
        <v>882</v>
      </c>
      <c r="AM353">
        <v>8</v>
      </c>
      <c r="AN353">
        <v>0</v>
      </c>
      <c r="AO353">
        <v>9</v>
      </c>
      <c r="AP353">
        <v>0</v>
      </c>
      <c r="AQ353" s="5">
        <v>1423</v>
      </c>
      <c r="AR353">
        <v>15</v>
      </c>
      <c r="AS353">
        <v>0</v>
      </c>
      <c r="AT353">
        <v>16</v>
      </c>
      <c r="AU353">
        <v>0</v>
      </c>
      <c r="AV353" s="5">
        <v>1578</v>
      </c>
      <c r="AW353" t="s">
        <v>56</v>
      </c>
      <c r="AX353" s="6">
        <v>17850</v>
      </c>
      <c r="AY353" t="s">
        <v>883</v>
      </c>
      <c r="AZ353" t="s">
        <v>56</v>
      </c>
    </row>
    <row r="354" spans="1:52" hidden="1" x14ac:dyDescent="0.45">
      <c r="A354">
        <v>502403.73525655398</v>
      </c>
      <c r="B354">
        <v>6936161.9077488296</v>
      </c>
      <c r="C354">
        <v>353</v>
      </c>
      <c r="D354" t="s">
        <v>884</v>
      </c>
      <c r="E354" t="s">
        <v>170</v>
      </c>
      <c r="F354" t="s">
        <v>885</v>
      </c>
      <c r="G354" t="s">
        <v>886</v>
      </c>
      <c r="H354" s="3">
        <v>5812</v>
      </c>
      <c r="I354">
        <v>2</v>
      </c>
      <c r="J354" t="s">
        <v>56</v>
      </c>
      <c r="K354">
        <v>65.2</v>
      </c>
      <c r="L354">
        <v>73.099999999999994</v>
      </c>
      <c r="M354">
        <v>1</v>
      </c>
      <c r="N354" t="s">
        <v>56</v>
      </c>
      <c r="O354" t="s">
        <v>886</v>
      </c>
      <c r="P354">
        <v>83.4</v>
      </c>
      <c r="Q354">
        <v>0.8</v>
      </c>
      <c r="R354">
        <v>14.6</v>
      </c>
      <c r="S354">
        <v>0.3</v>
      </c>
      <c r="T354">
        <v>0.1</v>
      </c>
      <c r="U354">
        <v>0</v>
      </c>
      <c r="V354">
        <v>0.5</v>
      </c>
      <c r="W354">
        <v>0</v>
      </c>
      <c r="X354">
        <v>0.1</v>
      </c>
      <c r="Y354">
        <v>0</v>
      </c>
      <c r="Z354">
        <v>0</v>
      </c>
      <c r="AA354">
        <v>0</v>
      </c>
      <c r="AB354">
        <v>0.2</v>
      </c>
      <c r="AC354" t="s">
        <v>886</v>
      </c>
      <c r="AD354">
        <v>70</v>
      </c>
      <c r="AE354" t="s">
        <v>886</v>
      </c>
      <c r="AF354" s="4" t="s">
        <v>57</v>
      </c>
      <c r="AG354" s="4">
        <v>2902</v>
      </c>
      <c r="AH354" s="4" t="s">
        <v>58</v>
      </c>
      <c r="AI354" s="4">
        <v>2910</v>
      </c>
      <c r="AJ354" t="s">
        <v>886</v>
      </c>
      <c r="AK354" t="s">
        <v>56</v>
      </c>
      <c r="AL354" t="s">
        <v>885</v>
      </c>
      <c r="AM354">
        <v>8</v>
      </c>
      <c r="AN354">
        <v>0</v>
      </c>
      <c r="AO354">
        <v>9</v>
      </c>
      <c r="AP354">
        <v>0</v>
      </c>
      <c r="AQ354" s="5">
        <v>767</v>
      </c>
      <c r="AR354">
        <v>15</v>
      </c>
      <c r="AS354">
        <v>0</v>
      </c>
      <c r="AT354">
        <v>16</v>
      </c>
      <c r="AU354">
        <v>0</v>
      </c>
      <c r="AV354" s="5">
        <v>757</v>
      </c>
      <c r="AW354" t="s">
        <v>56</v>
      </c>
      <c r="AX354" s="6">
        <v>6224</v>
      </c>
      <c r="AY354" t="s">
        <v>886</v>
      </c>
      <c r="AZ354" t="s">
        <v>56</v>
      </c>
    </row>
    <row r="355" spans="1:52" hidden="1" x14ac:dyDescent="0.45">
      <c r="A355">
        <v>520467.93241445499</v>
      </c>
      <c r="B355">
        <v>6933554.7466390198</v>
      </c>
      <c r="C355">
        <v>354</v>
      </c>
      <c r="D355" t="s">
        <v>887</v>
      </c>
      <c r="E355" t="s">
        <v>247</v>
      </c>
      <c r="F355" t="s">
        <v>888</v>
      </c>
      <c r="G355" t="s">
        <v>875</v>
      </c>
      <c r="H355" s="3">
        <v>5700</v>
      </c>
      <c r="I355">
        <v>2</v>
      </c>
      <c r="J355" t="s">
        <v>56</v>
      </c>
      <c r="K355">
        <v>56.4</v>
      </c>
      <c r="L355">
        <v>62.3</v>
      </c>
      <c r="M355">
        <v>1</v>
      </c>
      <c r="N355" t="s">
        <v>56</v>
      </c>
      <c r="O355" t="s">
        <v>875</v>
      </c>
      <c r="P355">
        <v>84.4</v>
      </c>
      <c r="Q355">
        <v>0.5</v>
      </c>
      <c r="R355">
        <v>14.1</v>
      </c>
      <c r="S355">
        <v>0.4</v>
      </c>
      <c r="T355">
        <v>0.1</v>
      </c>
      <c r="U355">
        <v>0</v>
      </c>
      <c r="V355">
        <v>0.2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0.3</v>
      </c>
      <c r="AC355" t="s">
        <v>875</v>
      </c>
      <c r="AD355">
        <v>50</v>
      </c>
      <c r="AE355" t="s">
        <v>875</v>
      </c>
      <c r="AF355" s="4" t="s">
        <v>57</v>
      </c>
      <c r="AG355" s="4">
        <v>2745</v>
      </c>
      <c r="AH355" s="4" t="s">
        <v>58</v>
      </c>
      <c r="AI355" s="4">
        <v>2955</v>
      </c>
      <c r="AJ355" t="s">
        <v>875</v>
      </c>
      <c r="AK355" t="s">
        <v>56</v>
      </c>
      <c r="AL355" t="s">
        <v>888</v>
      </c>
      <c r="AM355">
        <v>11</v>
      </c>
      <c r="AN355">
        <v>0</v>
      </c>
      <c r="AO355">
        <v>12</v>
      </c>
      <c r="AP355">
        <v>0</v>
      </c>
      <c r="AQ355" s="5">
        <v>550</v>
      </c>
      <c r="AR355">
        <v>15</v>
      </c>
      <c r="AS355">
        <v>0</v>
      </c>
      <c r="AT355">
        <v>16</v>
      </c>
      <c r="AU355">
        <v>0</v>
      </c>
      <c r="AV355" s="5">
        <v>575</v>
      </c>
      <c r="AW355" t="s">
        <v>56</v>
      </c>
      <c r="AX355" s="6">
        <v>6230</v>
      </c>
      <c r="AY355" t="s">
        <v>875</v>
      </c>
      <c r="AZ355" t="s">
        <v>56</v>
      </c>
    </row>
    <row r="356" spans="1:52" hidden="1" x14ac:dyDescent="0.45">
      <c r="A356">
        <v>497812.10932442499</v>
      </c>
      <c r="B356">
        <v>6918048.2435452295</v>
      </c>
      <c r="C356">
        <v>355</v>
      </c>
      <c r="D356" t="s">
        <v>889</v>
      </c>
      <c r="E356" t="s">
        <v>890</v>
      </c>
      <c r="F356" t="s">
        <v>891</v>
      </c>
      <c r="G356" t="s">
        <v>805</v>
      </c>
      <c r="H356" s="3">
        <v>1705</v>
      </c>
      <c r="I356">
        <v>2</v>
      </c>
      <c r="J356" t="s">
        <v>56</v>
      </c>
      <c r="K356">
        <v>62</v>
      </c>
      <c r="L356">
        <v>70.2</v>
      </c>
      <c r="M356">
        <v>1</v>
      </c>
      <c r="N356" t="s">
        <v>56</v>
      </c>
      <c r="O356" t="s">
        <v>805</v>
      </c>
      <c r="P356">
        <v>75.400000000000006</v>
      </c>
      <c r="Q356">
        <v>2.2000000000000002</v>
      </c>
      <c r="R356">
        <v>20.100000000000001</v>
      </c>
      <c r="S356">
        <v>0.4</v>
      </c>
      <c r="T356">
        <v>0.1</v>
      </c>
      <c r="U356">
        <v>0</v>
      </c>
      <c r="V356">
        <v>1.2</v>
      </c>
      <c r="W356">
        <v>0.1</v>
      </c>
      <c r="X356">
        <v>0.1</v>
      </c>
      <c r="Y356">
        <v>0.1</v>
      </c>
      <c r="Z356">
        <v>0</v>
      </c>
      <c r="AA356">
        <v>0</v>
      </c>
      <c r="AB356">
        <v>0.3</v>
      </c>
      <c r="AC356" t="s">
        <v>805</v>
      </c>
      <c r="AD356">
        <v>60</v>
      </c>
      <c r="AE356" t="s">
        <v>805</v>
      </c>
      <c r="AF356" s="4" t="s">
        <v>80</v>
      </c>
      <c r="AG356" s="4">
        <v>856</v>
      </c>
      <c r="AH356" s="4" t="s">
        <v>81</v>
      </c>
      <c r="AI356" s="4">
        <v>849</v>
      </c>
      <c r="AJ356" t="s">
        <v>805</v>
      </c>
      <c r="AK356" t="s">
        <v>56</v>
      </c>
      <c r="AL356" t="s">
        <v>891</v>
      </c>
      <c r="AM356">
        <v>11</v>
      </c>
      <c r="AN356">
        <v>0</v>
      </c>
      <c r="AO356">
        <v>12</v>
      </c>
      <c r="AP356">
        <v>0</v>
      </c>
      <c r="AQ356" s="5">
        <v>147</v>
      </c>
      <c r="AR356">
        <v>16</v>
      </c>
      <c r="AS356">
        <v>0</v>
      </c>
      <c r="AT356">
        <v>17</v>
      </c>
      <c r="AU356">
        <v>0</v>
      </c>
      <c r="AV356" s="5">
        <v>186</v>
      </c>
      <c r="AW356" t="s">
        <v>56</v>
      </c>
      <c r="AX356" s="6">
        <v>1728</v>
      </c>
      <c r="AY356" t="s">
        <v>805</v>
      </c>
      <c r="AZ356" t="s">
        <v>56</v>
      </c>
    </row>
    <row r="357" spans="1:52" hidden="1" x14ac:dyDescent="0.45">
      <c r="A357">
        <v>511686.97709485801</v>
      </c>
      <c r="B357">
        <v>6940536.7123962501</v>
      </c>
      <c r="C357">
        <v>356</v>
      </c>
      <c r="D357" t="s">
        <v>892</v>
      </c>
      <c r="E357" t="s">
        <v>299</v>
      </c>
      <c r="F357" t="s">
        <v>893</v>
      </c>
      <c r="G357" t="s">
        <v>875</v>
      </c>
      <c r="H357" s="3">
        <v>6089</v>
      </c>
      <c r="I357">
        <v>2</v>
      </c>
      <c r="J357" t="s">
        <v>56</v>
      </c>
      <c r="K357">
        <v>51.1</v>
      </c>
      <c r="L357">
        <v>56.5</v>
      </c>
      <c r="M357">
        <v>1</v>
      </c>
      <c r="N357" t="s">
        <v>56</v>
      </c>
      <c r="O357" t="s">
        <v>875</v>
      </c>
      <c r="P357">
        <v>87.1</v>
      </c>
      <c r="Q357">
        <v>0.7</v>
      </c>
      <c r="R357">
        <v>10.9</v>
      </c>
      <c r="S357">
        <v>0.4</v>
      </c>
      <c r="T357">
        <v>0.1</v>
      </c>
      <c r="U357">
        <v>0</v>
      </c>
      <c r="V357">
        <v>0.3</v>
      </c>
      <c r="W357">
        <v>0</v>
      </c>
      <c r="X357">
        <v>0.1</v>
      </c>
      <c r="Y357">
        <v>0</v>
      </c>
      <c r="Z357">
        <v>0</v>
      </c>
      <c r="AA357">
        <v>0</v>
      </c>
      <c r="AB357">
        <v>0.4</v>
      </c>
      <c r="AC357" t="s">
        <v>875</v>
      </c>
      <c r="AD357">
        <v>60</v>
      </c>
      <c r="AE357" t="s">
        <v>875</v>
      </c>
      <c r="AF357" s="4" t="s">
        <v>80</v>
      </c>
      <c r="AG357" s="4">
        <v>1252</v>
      </c>
      <c r="AH357" s="4" t="s">
        <v>81</v>
      </c>
      <c r="AI357" s="4">
        <v>4837</v>
      </c>
      <c r="AJ357" t="s">
        <v>875</v>
      </c>
      <c r="AK357" t="s">
        <v>56</v>
      </c>
      <c r="AL357" t="s">
        <v>893</v>
      </c>
      <c r="AM357">
        <v>8</v>
      </c>
      <c r="AN357">
        <v>0</v>
      </c>
      <c r="AO357">
        <v>9</v>
      </c>
      <c r="AP357">
        <v>0</v>
      </c>
      <c r="AQ357" s="5">
        <v>541</v>
      </c>
      <c r="AR357">
        <v>15</v>
      </c>
      <c r="AS357">
        <v>0</v>
      </c>
      <c r="AT357">
        <v>16</v>
      </c>
      <c r="AU357">
        <v>0</v>
      </c>
      <c r="AV357" s="5">
        <v>706</v>
      </c>
      <c r="AW357" t="s">
        <v>56</v>
      </c>
      <c r="AX357" s="6">
        <v>6526</v>
      </c>
      <c r="AY357" t="s">
        <v>875</v>
      </c>
      <c r="AZ357" t="s">
        <v>56</v>
      </c>
    </row>
    <row r="358" spans="1:52" hidden="1" x14ac:dyDescent="0.45">
      <c r="A358">
        <v>503591.58401106403</v>
      </c>
      <c r="B358">
        <v>6913862.1192867998</v>
      </c>
      <c r="C358">
        <v>357</v>
      </c>
      <c r="D358" t="s">
        <v>894</v>
      </c>
      <c r="E358" t="s">
        <v>895</v>
      </c>
      <c r="F358" t="s">
        <v>896</v>
      </c>
      <c r="G358" t="s">
        <v>886</v>
      </c>
      <c r="H358" s="3">
        <v>101</v>
      </c>
      <c r="I358">
        <v>2</v>
      </c>
      <c r="J358" t="s">
        <v>56</v>
      </c>
      <c r="K358">
        <v>59.2</v>
      </c>
      <c r="L358">
        <v>67.7</v>
      </c>
      <c r="M358">
        <v>1</v>
      </c>
      <c r="N358" t="s">
        <v>56</v>
      </c>
      <c r="O358" t="s">
        <v>886</v>
      </c>
      <c r="P358">
        <v>81.2</v>
      </c>
      <c r="Q358">
        <v>2.2999999999999998</v>
      </c>
      <c r="R358">
        <v>10.4</v>
      </c>
      <c r="S358">
        <v>2.9</v>
      </c>
      <c r="T358">
        <v>1.6</v>
      </c>
      <c r="U358">
        <v>0</v>
      </c>
      <c r="V358">
        <v>0.5</v>
      </c>
      <c r="W358">
        <v>0.2</v>
      </c>
      <c r="X358">
        <v>0</v>
      </c>
      <c r="Y358">
        <v>0</v>
      </c>
      <c r="Z358">
        <v>0</v>
      </c>
      <c r="AA358">
        <v>0</v>
      </c>
      <c r="AB358">
        <v>0.9</v>
      </c>
      <c r="AC358" t="s">
        <v>886</v>
      </c>
      <c r="AD358">
        <v>60</v>
      </c>
      <c r="AE358" t="s">
        <v>886</v>
      </c>
      <c r="AF358" s="4" t="s">
        <v>57</v>
      </c>
      <c r="AG358" s="4">
        <v>49</v>
      </c>
      <c r="AH358" s="4" t="s">
        <v>58</v>
      </c>
      <c r="AI358" s="4">
        <v>52</v>
      </c>
      <c r="AJ358" t="s">
        <v>886</v>
      </c>
      <c r="AK358" t="s">
        <v>56</v>
      </c>
      <c r="AL358" t="s">
        <v>896</v>
      </c>
      <c r="AM358">
        <v>7</v>
      </c>
      <c r="AN358">
        <v>0</v>
      </c>
      <c r="AO358">
        <v>8</v>
      </c>
      <c r="AP358">
        <v>0</v>
      </c>
      <c r="AQ358" s="5">
        <v>15</v>
      </c>
      <c r="AR358">
        <v>15</v>
      </c>
      <c r="AS358">
        <v>0</v>
      </c>
      <c r="AT358">
        <v>16</v>
      </c>
      <c r="AU358">
        <v>0</v>
      </c>
      <c r="AV358" s="5">
        <v>16</v>
      </c>
      <c r="AW358" t="s">
        <v>56</v>
      </c>
      <c r="AX358" s="6">
        <v>108</v>
      </c>
      <c r="AY358" t="s">
        <v>886</v>
      </c>
      <c r="AZ358" t="s">
        <v>56</v>
      </c>
    </row>
    <row r="359" spans="1:52" hidden="1" x14ac:dyDescent="0.45">
      <c r="A359">
        <v>504471.69882309501</v>
      </c>
      <c r="B359">
        <v>6926114.2780995704</v>
      </c>
      <c r="C359">
        <v>358</v>
      </c>
      <c r="D359" t="s">
        <v>897</v>
      </c>
      <c r="E359" t="s">
        <v>898</v>
      </c>
      <c r="F359" t="s">
        <v>899</v>
      </c>
      <c r="G359" t="s">
        <v>805</v>
      </c>
      <c r="H359" s="3">
        <v>197</v>
      </c>
      <c r="I359">
        <v>2</v>
      </c>
      <c r="J359" t="s">
        <v>56</v>
      </c>
      <c r="K359">
        <v>55.8</v>
      </c>
      <c r="L359">
        <v>66.2</v>
      </c>
      <c r="M359">
        <v>1</v>
      </c>
      <c r="N359" t="s">
        <v>56</v>
      </c>
      <c r="O359" t="s">
        <v>805</v>
      </c>
      <c r="P359">
        <v>72.099999999999994</v>
      </c>
      <c r="Q359">
        <v>2.9</v>
      </c>
      <c r="R359">
        <v>16.3</v>
      </c>
      <c r="S359">
        <v>2</v>
      </c>
      <c r="T359">
        <v>0.6</v>
      </c>
      <c r="U359">
        <v>0</v>
      </c>
      <c r="V359">
        <v>3.9</v>
      </c>
      <c r="W359">
        <v>0.3</v>
      </c>
      <c r="X359">
        <v>1.2</v>
      </c>
      <c r="Y359">
        <v>0.1</v>
      </c>
      <c r="Z359">
        <v>0</v>
      </c>
      <c r="AA359">
        <v>0</v>
      </c>
      <c r="AB359">
        <v>0.6</v>
      </c>
      <c r="AC359" t="s">
        <v>805</v>
      </c>
      <c r="AD359">
        <v>50</v>
      </c>
      <c r="AE359" t="s">
        <v>805</v>
      </c>
      <c r="AF359" s="4" t="s">
        <v>57</v>
      </c>
      <c r="AG359" s="4">
        <v>98</v>
      </c>
      <c r="AH359" s="4" t="s">
        <v>58</v>
      </c>
      <c r="AI359" s="4">
        <v>99</v>
      </c>
      <c r="AJ359" t="s">
        <v>805</v>
      </c>
      <c r="AK359" t="s">
        <v>56</v>
      </c>
      <c r="AL359" t="s">
        <v>899</v>
      </c>
      <c r="AM359">
        <v>10</v>
      </c>
      <c r="AN359">
        <v>0</v>
      </c>
      <c r="AO359">
        <v>11</v>
      </c>
      <c r="AP359">
        <v>0</v>
      </c>
      <c r="AQ359" s="5">
        <v>21</v>
      </c>
      <c r="AR359">
        <v>17</v>
      </c>
      <c r="AS359">
        <v>0</v>
      </c>
      <c r="AT359">
        <v>18</v>
      </c>
      <c r="AU359">
        <v>0</v>
      </c>
      <c r="AV359" s="5">
        <v>30</v>
      </c>
      <c r="AW359" t="s">
        <v>56</v>
      </c>
      <c r="AX359" s="6">
        <v>212</v>
      </c>
      <c r="AY359" t="s">
        <v>805</v>
      </c>
      <c r="AZ359" t="s">
        <v>56</v>
      </c>
    </row>
    <row r="360" spans="1:52" hidden="1" x14ac:dyDescent="0.45">
      <c r="A360">
        <v>497211.55646214099</v>
      </c>
      <c r="B360">
        <v>6917729.7582969097</v>
      </c>
      <c r="C360">
        <v>359</v>
      </c>
      <c r="D360" t="s">
        <v>900</v>
      </c>
      <c r="E360" t="s">
        <v>890</v>
      </c>
      <c r="F360" t="s">
        <v>901</v>
      </c>
      <c r="G360" t="s">
        <v>805</v>
      </c>
      <c r="H360" s="3">
        <v>147</v>
      </c>
      <c r="I360">
        <v>2</v>
      </c>
      <c r="J360" t="s">
        <v>56</v>
      </c>
      <c r="K360">
        <v>44.2</v>
      </c>
      <c r="L360">
        <v>52.6</v>
      </c>
      <c r="M360">
        <v>1</v>
      </c>
      <c r="N360" t="s">
        <v>56</v>
      </c>
      <c r="O360" t="s">
        <v>805</v>
      </c>
      <c r="P360">
        <v>67.400000000000006</v>
      </c>
      <c r="Q360">
        <v>1.3</v>
      </c>
      <c r="R360">
        <v>28.2</v>
      </c>
      <c r="S360">
        <v>2</v>
      </c>
      <c r="T360">
        <v>0</v>
      </c>
      <c r="U360">
        <v>0</v>
      </c>
      <c r="V360">
        <v>0.6</v>
      </c>
      <c r="W360">
        <v>0.1</v>
      </c>
      <c r="X360">
        <v>0</v>
      </c>
      <c r="Y360">
        <v>0</v>
      </c>
      <c r="Z360">
        <v>0</v>
      </c>
      <c r="AA360">
        <v>0</v>
      </c>
      <c r="AB360">
        <v>0.4</v>
      </c>
      <c r="AC360" t="s">
        <v>805</v>
      </c>
      <c r="AD360">
        <v>50</v>
      </c>
      <c r="AE360" t="s">
        <v>805</v>
      </c>
      <c r="AF360" s="4" t="s">
        <v>80</v>
      </c>
      <c r="AG360" s="4">
        <v>77</v>
      </c>
      <c r="AH360" s="4" t="s">
        <v>81</v>
      </c>
      <c r="AI360" s="4">
        <v>70</v>
      </c>
      <c r="AJ360" t="s">
        <v>805</v>
      </c>
      <c r="AK360" t="s">
        <v>56</v>
      </c>
      <c r="AL360" t="s">
        <v>901</v>
      </c>
      <c r="AM360">
        <v>7</v>
      </c>
      <c r="AN360">
        <v>0</v>
      </c>
      <c r="AO360">
        <v>8</v>
      </c>
      <c r="AP360">
        <v>0</v>
      </c>
      <c r="AQ360" s="5">
        <v>18</v>
      </c>
      <c r="AR360">
        <v>16</v>
      </c>
      <c r="AS360">
        <v>0</v>
      </c>
      <c r="AT360">
        <v>17</v>
      </c>
      <c r="AU360">
        <v>0</v>
      </c>
      <c r="AV360" s="5">
        <v>27</v>
      </c>
      <c r="AW360" t="s">
        <v>56</v>
      </c>
      <c r="AX360" s="6">
        <v>150</v>
      </c>
      <c r="AY360" t="s">
        <v>805</v>
      </c>
      <c r="AZ360" t="s">
        <v>56</v>
      </c>
    </row>
    <row r="361" spans="1:52" hidden="1" x14ac:dyDescent="0.45">
      <c r="A361">
        <v>502787.57702622103</v>
      </c>
      <c r="B361">
        <v>6939230.2676800396</v>
      </c>
      <c r="C361">
        <v>360</v>
      </c>
      <c r="D361" t="s">
        <v>902</v>
      </c>
      <c r="E361" t="s">
        <v>903</v>
      </c>
      <c r="F361" t="s">
        <v>904</v>
      </c>
      <c r="G361" t="s">
        <v>886</v>
      </c>
      <c r="H361" s="3">
        <v>2362</v>
      </c>
      <c r="I361">
        <v>2</v>
      </c>
      <c r="J361" t="s">
        <v>56</v>
      </c>
      <c r="K361">
        <v>44.9</v>
      </c>
      <c r="L361">
        <v>51.8</v>
      </c>
      <c r="M361">
        <v>1</v>
      </c>
      <c r="N361" t="s">
        <v>56</v>
      </c>
      <c r="O361" t="s">
        <v>886</v>
      </c>
      <c r="P361">
        <v>84.3</v>
      </c>
      <c r="Q361">
        <v>1</v>
      </c>
      <c r="R361">
        <v>13.9</v>
      </c>
      <c r="S361">
        <v>0.2</v>
      </c>
      <c r="T361">
        <v>0</v>
      </c>
      <c r="U361">
        <v>0</v>
      </c>
      <c r="V361">
        <v>0.4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0.2</v>
      </c>
      <c r="AC361" t="s">
        <v>886</v>
      </c>
      <c r="AD361">
        <v>50</v>
      </c>
      <c r="AE361" t="s">
        <v>886</v>
      </c>
      <c r="AF361" s="4" t="s">
        <v>57</v>
      </c>
      <c r="AG361" s="4">
        <v>989</v>
      </c>
      <c r="AH361" s="4" t="s">
        <v>58</v>
      </c>
      <c r="AI361" s="4">
        <v>1373</v>
      </c>
      <c r="AJ361" t="s">
        <v>886</v>
      </c>
      <c r="AK361" t="s">
        <v>56</v>
      </c>
      <c r="AL361" t="s">
        <v>904</v>
      </c>
      <c r="AM361">
        <v>7</v>
      </c>
      <c r="AN361">
        <v>0</v>
      </c>
      <c r="AO361">
        <v>8</v>
      </c>
      <c r="AP361">
        <v>0</v>
      </c>
      <c r="AQ361" s="5">
        <v>415</v>
      </c>
      <c r="AR361">
        <v>15</v>
      </c>
      <c r="AS361">
        <v>0</v>
      </c>
      <c r="AT361">
        <v>16</v>
      </c>
      <c r="AU361">
        <v>0</v>
      </c>
      <c r="AV361" s="5">
        <v>267</v>
      </c>
      <c r="AW361" t="s">
        <v>56</v>
      </c>
      <c r="AX361" s="6">
        <v>2552</v>
      </c>
      <c r="AY361" t="s">
        <v>886</v>
      </c>
      <c r="AZ361" t="s">
        <v>56</v>
      </c>
    </row>
    <row r="362" spans="1:52" hidden="1" x14ac:dyDescent="0.45">
      <c r="A362">
        <v>500244.20981924102</v>
      </c>
      <c r="B362">
        <v>6940630.9356187703</v>
      </c>
      <c r="C362">
        <v>361</v>
      </c>
      <c r="D362" t="s">
        <v>905</v>
      </c>
      <c r="E362" t="s">
        <v>906</v>
      </c>
      <c r="F362" t="s">
        <v>907</v>
      </c>
      <c r="G362" t="s">
        <v>886</v>
      </c>
      <c r="H362" s="3">
        <v>807</v>
      </c>
      <c r="I362">
        <v>2</v>
      </c>
      <c r="J362" t="s">
        <v>56</v>
      </c>
      <c r="K362">
        <v>56.7</v>
      </c>
      <c r="L362">
        <v>66.599999999999994</v>
      </c>
      <c r="M362">
        <v>1</v>
      </c>
      <c r="N362" t="s">
        <v>56</v>
      </c>
      <c r="O362" t="s">
        <v>886</v>
      </c>
      <c r="P362">
        <v>77.8</v>
      </c>
      <c r="Q362">
        <v>1.1000000000000001</v>
      </c>
      <c r="R362">
        <v>19.100000000000001</v>
      </c>
      <c r="S362">
        <v>0.6</v>
      </c>
      <c r="T362">
        <v>0</v>
      </c>
      <c r="U362">
        <v>0</v>
      </c>
      <c r="V362">
        <v>0.8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0.6</v>
      </c>
      <c r="AC362" t="s">
        <v>886</v>
      </c>
      <c r="AD362">
        <v>60</v>
      </c>
      <c r="AE362" t="s">
        <v>886</v>
      </c>
      <c r="AF362" s="4" t="s">
        <v>80</v>
      </c>
      <c r="AG362" s="4">
        <v>406</v>
      </c>
      <c r="AH362" s="4" t="s">
        <v>81</v>
      </c>
      <c r="AI362" s="4">
        <v>401</v>
      </c>
      <c r="AJ362" t="s">
        <v>886</v>
      </c>
      <c r="AK362" t="s">
        <v>56</v>
      </c>
      <c r="AL362" t="s">
        <v>907</v>
      </c>
      <c r="AM362">
        <v>7</v>
      </c>
      <c r="AN362">
        <v>0</v>
      </c>
      <c r="AO362">
        <v>8</v>
      </c>
      <c r="AP362">
        <v>0</v>
      </c>
      <c r="AQ362" s="5">
        <v>91</v>
      </c>
      <c r="AR362">
        <v>15</v>
      </c>
      <c r="AS362">
        <v>0</v>
      </c>
      <c r="AT362">
        <v>16</v>
      </c>
      <c r="AU362">
        <v>0</v>
      </c>
      <c r="AV362" s="5">
        <v>85</v>
      </c>
      <c r="AW362" t="s">
        <v>56</v>
      </c>
      <c r="AX362" s="6">
        <v>847</v>
      </c>
      <c r="AY362" t="s">
        <v>886</v>
      </c>
      <c r="AZ362" t="s">
        <v>56</v>
      </c>
    </row>
    <row r="363" spans="1:52" hidden="1" x14ac:dyDescent="0.45">
      <c r="A363">
        <v>496330.360298371</v>
      </c>
      <c r="B363">
        <v>6932082.4639610499</v>
      </c>
      <c r="C363">
        <v>362</v>
      </c>
      <c r="D363" t="s">
        <v>289</v>
      </c>
      <c r="E363" t="s">
        <v>257</v>
      </c>
      <c r="F363" t="s">
        <v>908</v>
      </c>
      <c r="G363" t="s">
        <v>886</v>
      </c>
      <c r="H363" s="3">
        <v>5561</v>
      </c>
      <c r="I363">
        <v>2</v>
      </c>
      <c r="J363" t="s">
        <v>56</v>
      </c>
      <c r="K363">
        <v>80.599999999999994</v>
      </c>
      <c r="L363">
        <v>87.5</v>
      </c>
      <c r="M363">
        <v>1</v>
      </c>
      <c r="N363" t="s">
        <v>56</v>
      </c>
      <c r="O363" t="s">
        <v>886</v>
      </c>
      <c r="P363">
        <v>70.8</v>
      </c>
      <c r="Q363">
        <v>1.4</v>
      </c>
      <c r="R363">
        <v>25.1</v>
      </c>
      <c r="S363">
        <v>0.8</v>
      </c>
      <c r="T363">
        <v>0.2</v>
      </c>
      <c r="U363">
        <v>0</v>
      </c>
      <c r="V363">
        <v>0.8</v>
      </c>
      <c r="W363">
        <v>0.1</v>
      </c>
      <c r="X363">
        <v>0.1</v>
      </c>
      <c r="Y363">
        <v>0.3</v>
      </c>
      <c r="Z363">
        <v>0</v>
      </c>
      <c r="AA363">
        <v>0</v>
      </c>
      <c r="AB363">
        <v>0.4</v>
      </c>
      <c r="AC363" t="s">
        <v>886</v>
      </c>
      <c r="AD363">
        <v>80</v>
      </c>
      <c r="AE363" t="s">
        <v>886</v>
      </c>
      <c r="AF363" s="4" t="s">
        <v>57</v>
      </c>
      <c r="AG363" s="4">
        <v>2799</v>
      </c>
      <c r="AH363" s="4" t="s">
        <v>58</v>
      </c>
      <c r="AI363" s="4">
        <v>2762</v>
      </c>
      <c r="AJ363" t="s">
        <v>886</v>
      </c>
      <c r="AK363" t="s">
        <v>56</v>
      </c>
      <c r="AL363" t="s">
        <v>908</v>
      </c>
      <c r="AM363">
        <v>11</v>
      </c>
      <c r="AN363">
        <v>0</v>
      </c>
      <c r="AO363">
        <v>12</v>
      </c>
      <c r="AP363">
        <v>0</v>
      </c>
      <c r="AQ363" s="5">
        <v>508</v>
      </c>
      <c r="AR363">
        <v>17</v>
      </c>
      <c r="AS363">
        <v>0</v>
      </c>
      <c r="AT363">
        <v>18</v>
      </c>
      <c r="AU363">
        <v>0</v>
      </c>
      <c r="AV363" s="5">
        <v>562</v>
      </c>
      <c r="AW363" t="s">
        <v>56</v>
      </c>
      <c r="AX363" s="6">
        <v>5620</v>
      </c>
      <c r="AY363" t="s">
        <v>886</v>
      </c>
      <c r="AZ363" t="s">
        <v>56</v>
      </c>
    </row>
    <row r="364" spans="1:52" hidden="1" x14ac:dyDescent="0.45">
      <c r="A364">
        <v>500429.22069394001</v>
      </c>
      <c r="B364">
        <v>6917792.2164407903</v>
      </c>
      <c r="C364">
        <v>363</v>
      </c>
      <c r="D364" t="s">
        <v>909</v>
      </c>
      <c r="E364" t="s">
        <v>202</v>
      </c>
      <c r="F364" t="s">
        <v>910</v>
      </c>
      <c r="G364" t="s">
        <v>805</v>
      </c>
      <c r="H364" s="3">
        <v>1059</v>
      </c>
      <c r="I364">
        <v>2</v>
      </c>
      <c r="J364" t="s">
        <v>56</v>
      </c>
      <c r="K364">
        <v>67.8</v>
      </c>
      <c r="L364">
        <v>77</v>
      </c>
      <c r="M364">
        <v>1</v>
      </c>
      <c r="N364" t="s">
        <v>56</v>
      </c>
      <c r="O364" t="s">
        <v>805</v>
      </c>
      <c r="P364">
        <v>67.3</v>
      </c>
      <c r="Q364">
        <v>1.9</v>
      </c>
      <c r="R364">
        <v>27.3</v>
      </c>
      <c r="S364">
        <v>0.8</v>
      </c>
      <c r="T364">
        <v>0.2</v>
      </c>
      <c r="U364">
        <v>0</v>
      </c>
      <c r="V364">
        <v>1.6</v>
      </c>
      <c r="W364">
        <v>0.2</v>
      </c>
      <c r="X364">
        <v>0.3</v>
      </c>
      <c r="Y364">
        <v>0.2</v>
      </c>
      <c r="Z364">
        <v>0</v>
      </c>
      <c r="AA364">
        <v>0</v>
      </c>
      <c r="AB364">
        <v>0.2</v>
      </c>
      <c r="AC364" t="s">
        <v>805</v>
      </c>
      <c r="AD364">
        <v>60</v>
      </c>
      <c r="AE364" t="s">
        <v>805</v>
      </c>
      <c r="AF364" s="4" t="s">
        <v>57</v>
      </c>
      <c r="AG364" s="4">
        <v>531</v>
      </c>
      <c r="AH364" s="4" t="s">
        <v>58</v>
      </c>
      <c r="AI364" s="4">
        <v>528</v>
      </c>
      <c r="AJ364" t="s">
        <v>805</v>
      </c>
      <c r="AK364" t="s">
        <v>56</v>
      </c>
      <c r="AL364" t="s">
        <v>910</v>
      </c>
      <c r="AM364">
        <v>8</v>
      </c>
      <c r="AN364">
        <v>0</v>
      </c>
      <c r="AO364">
        <v>9</v>
      </c>
      <c r="AP364">
        <v>0</v>
      </c>
      <c r="AQ364" s="5">
        <v>103</v>
      </c>
      <c r="AR364">
        <v>15</v>
      </c>
      <c r="AS364">
        <v>0</v>
      </c>
      <c r="AT364">
        <v>16</v>
      </c>
      <c r="AU364">
        <v>0</v>
      </c>
      <c r="AV364" s="5">
        <v>120</v>
      </c>
      <c r="AW364" t="s">
        <v>56</v>
      </c>
      <c r="AX364" s="6">
        <v>1069</v>
      </c>
      <c r="AY364" t="s">
        <v>805</v>
      </c>
      <c r="AZ364" t="s">
        <v>56</v>
      </c>
    </row>
    <row r="365" spans="1:52" hidden="1" x14ac:dyDescent="0.45">
      <c r="A365">
        <v>497910.73387820303</v>
      </c>
      <c r="B365">
        <v>6927851.6011249796</v>
      </c>
      <c r="C365">
        <v>364</v>
      </c>
      <c r="D365" t="s">
        <v>911</v>
      </c>
      <c r="E365" t="s">
        <v>250</v>
      </c>
      <c r="F365" t="s">
        <v>912</v>
      </c>
      <c r="G365" t="s">
        <v>805</v>
      </c>
      <c r="H365" s="3">
        <v>368</v>
      </c>
      <c r="I365">
        <v>2</v>
      </c>
      <c r="J365" t="s">
        <v>56</v>
      </c>
      <c r="K365">
        <v>66.7</v>
      </c>
      <c r="L365">
        <v>78.5</v>
      </c>
      <c r="M365">
        <v>1</v>
      </c>
      <c r="N365" t="s">
        <v>56</v>
      </c>
      <c r="O365" t="s">
        <v>805</v>
      </c>
      <c r="P365">
        <v>64.900000000000006</v>
      </c>
      <c r="Q365">
        <v>1.4</v>
      </c>
      <c r="R365">
        <v>30.7</v>
      </c>
      <c r="S365">
        <v>0.8</v>
      </c>
      <c r="T365">
        <v>0</v>
      </c>
      <c r="U365">
        <v>0</v>
      </c>
      <c r="V365">
        <v>0.9</v>
      </c>
      <c r="W365">
        <v>0.1</v>
      </c>
      <c r="X365">
        <v>0.4</v>
      </c>
      <c r="Y365">
        <v>0.1</v>
      </c>
      <c r="Z365">
        <v>0</v>
      </c>
      <c r="AA365">
        <v>0</v>
      </c>
      <c r="AB365">
        <v>0.7</v>
      </c>
      <c r="AC365" t="s">
        <v>805</v>
      </c>
      <c r="AD365">
        <v>60</v>
      </c>
      <c r="AE365" t="s">
        <v>805</v>
      </c>
      <c r="AF365" s="4" t="s">
        <v>57</v>
      </c>
      <c r="AG365" s="4">
        <v>185</v>
      </c>
      <c r="AH365" s="4" t="s">
        <v>58</v>
      </c>
      <c r="AI365" s="4">
        <v>183</v>
      </c>
      <c r="AJ365" t="s">
        <v>805</v>
      </c>
      <c r="AK365" t="s">
        <v>56</v>
      </c>
      <c r="AL365" t="s">
        <v>912</v>
      </c>
      <c r="AM365">
        <v>8</v>
      </c>
      <c r="AN365">
        <v>0</v>
      </c>
      <c r="AO365">
        <v>9</v>
      </c>
      <c r="AP365">
        <v>0</v>
      </c>
      <c r="AQ365" s="5">
        <v>41</v>
      </c>
      <c r="AR365">
        <v>17</v>
      </c>
      <c r="AS365">
        <v>0</v>
      </c>
      <c r="AT365">
        <v>18</v>
      </c>
      <c r="AU365">
        <v>0</v>
      </c>
      <c r="AV365" s="5">
        <v>46</v>
      </c>
      <c r="AW365" t="s">
        <v>56</v>
      </c>
      <c r="AX365" s="6">
        <v>382</v>
      </c>
      <c r="AY365" t="s">
        <v>805</v>
      </c>
      <c r="AZ365" t="s">
        <v>56</v>
      </c>
    </row>
    <row r="366" spans="1:52" hidden="1" x14ac:dyDescent="0.45">
      <c r="A366">
        <v>509822.11174690898</v>
      </c>
      <c r="B366">
        <v>6934720.5960659198</v>
      </c>
      <c r="C366">
        <v>365</v>
      </c>
      <c r="D366" t="s">
        <v>913</v>
      </c>
      <c r="E366" t="s">
        <v>178</v>
      </c>
      <c r="F366" t="s">
        <v>914</v>
      </c>
      <c r="G366" t="s">
        <v>805</v>
      </c>
      <c r="H366" s="3">
        <v>2985</v>
      </c>
      <c r="I366">
        <v>2</v>
      </c>
      <c r="J366" t="s">
        <v>56</v>
      </c>
      <c r="K366">
        <v>71.3</v>
      </c>
      <c r="L366">
        <v>80.3</v>
      </c>
      <c r="M366">
        <v>1</v>
      </c>
      <c r="N366" t="s">
        <v>56</v>
      </c>
      <c r="O366" t="s">
        <v>805</v>
      </c>
      <c r="P366">
        <v>74.7</v>
      </c>
      <c r="Q366">
        <v>1</v>
      </c>
      <c r="R366">
        <v>22.1</v>
      </c>
      <c r="S366">
        <v>0.6</v>
      </c>
      <c r="T366">
        <v>0.1</v>
      </c>
      <c r="U366">
        <v>0</v>
      </c>
      <c r="V366">
        <v>0.5</v>
      </c>
      <c r="W366">
        <v>0</v>
      </c>
      <c r="X366">
        <v>0.2</v>
      </c>
      <c r="Y366">
        <v>0.1</v>
      </c>
      <c r="Z366">
        <v>0.1</v>
      </c>
      <c r="AA366">
        <v>0</v>
      </c>
      <c r="AB366">
        <v>0.6</v>
      </c>
      <c r="AC366" t="s">
        <v>805</v>
      </c>
      <c r="AD366">
        <v>60</v>
      </c>
      <c r="AE366" t="s">
        <v>805</v>
      </c>
      <c r="AF366" s="4" t="s">
        <v>57</v>
      </c>
      <c r="AG366" s="4">
        <v>1482</v>
      </c>
      <c r="AH366" s="4" t="s">
        <v>58</v>
      </c>
      <c r="AI366" s="4">
        <v>1503</v>
      </c>
      <c r="AJ366" t="s">
        <v>805</v>
      </c>
      <c r="AK366" t="s">
        <v>56</v>
      </c>
      <c r="AL366" t="s">
        <v>914</v>
      </c>
      <c r="AM366">
        <v>8</v>
      </c>
      <c r="AN366">
        <v>0</v>
      </c>
      <c r="AO366">
        <v>9</v>
      </c>
      <c r="AP366">
        <v>0</v>
      </c>
      <c r="AQ366" s="5">
        <v>375</v>
      </c>
      <c r="AR366">
        <v>15</v>
      </c>
      <c r="AS366">
        <v>0</v>
      </c>
      <c r="AT366">
        <v>16</v>
      </c>
      <c r="AU366">
        <v>0</v>
      </c>
      <c r="AV366" s="5">
        <v>352</v>
      </c>
      <c r="AW366" t="s">
        <v>56</v>
      </c>
      <c r="AX366" s="6">
        <v>3212</v>
      </c>
      <c r="AY366" t="s">
        <v>805</v>
      </c>
      <c r="AZ366" t="s">
        <v>56</v>
      </c>
    </row>
    <row r="367" spans="1:52" hidden="1" x14ac:dyDescent="0.45">
      <c r="A367">
        <v>503064.63703767001</v>
      </c>
      <c r="B367">
        <v>6921055.4209556403</v>
      </c>
      <c r="C367">
        <v>366</v>
      </c>
      <c r="D367" t="s">
        <v>915</v>
      </c>
      <c r="E367" t="s">
        <v>191</v>
      </c>
      <c r="F367" t="s">
        <v>916</v>
      </c>
      <c r="G367" t="s">
        <v>805</v>
      </c>
      <c r="H367" s="3">
        <v>3433</v>
      </c>
      <c r="I367">
        <v>2</v>
      </c>
      <c r="J367" t="s">
        <v>56</v>
      </c>
      <c r="K367">
        <v>51.6</v>
      </c>
      <c r="L367">
        <v>58.7</v>
      </c>
      <c r="M367">
        <v>1</v>
      </c>
      <c r="N367" t="s">
        <v>56</v>
      </c>
      <c r="O367" t="s">
        <v>805</v>
      </c>
      <c r="P367">
        <v>79.7</v>
      </c>
      <c r="Q367">
        <v>1</v>
      </c>
      <c r="R367">
        <v>17.8</v>
      </c>
      <c r="S367">
        <v>0.5</v>
      </c>
      <c r="T367">
        <v>0.1</v>
      </c>
      <c r="U367">
        <v>0</v>
      </c>
      <c r="V367">
        <v>0.5</v>
      </c>
      <c r="W367">
        <v>0</v>
      </c>
      <c r="X367">
        <v>0.1</v>
      </c>
      <c r="Y367">
        <v>0.1</v>
      </c>
      <c r="Z367">
        <v>0</v>
      </c>
      <c r="AA367">
        <v>0</v>
      </c>
      <c r="AB367">
        <v>0.2</v>
      </c>
      <c r="AC367" t="s">
        <v>805</v>
      </c>
      <c r="AD367">
        <v>60</v>
      </c>
      <c r="AE367" t="s">
        <v>805</v>
      </c>
      <c r="AF367" s="4" t="s">
        <v>57</v>
      </c>
      <c r="AG367" s="4">
        <v>1600</v>
      </c>
      <c r="AH367" s="4" t="s">
        <v>58</v>
      </c>
      <c r="AI367" s="4">
        <v>1833</v>
      </c>
      <c r="AJ367" t="s">
        <v>805</v>
      </c>
      <c r="AK367" t="s">
        <v>56</v>
      </c>
      <c r="AL367" t="s">
        <v>916</v>
      </c>
      <c r="AM367">
        <v>8</v>
      </c>
      <c r="AN367">
        <v>0</v>
      </c>
      <c r="AO367">
        <v>9</v>
      </c>
      <c r="AP367">
        <v>0</v>
      </c>
      <c r="AQ367" s="5">
        <v>531</v>
      </c>
      <c r="AR367">
        <v>15</v>
      </c>
      <c r="AS367">
        <v>0</v>
      </c>
      <c r="AT367">
        <v>16</v>
      </c>
      <c r="AU367">
        <v>0</v>
      </c>
      <c r="AV367" s="5">
        <v>471</v>
      </c>
      <c r="AW367" t="s">
        <v>56</v>
      </c>
      <c r="AX367" s="6">
        <v>3751</v>
      </c>
      <c r="AY367" t="s">
        <v>805</v>
      </c>
      <c r="AZ367" t="s">
        <v>56</v>
      </c>
    </row>
    <row r="368" spans="1:52" hidden="1" x14ac:dyDescent="0.45">
      <c r="A368">
        <v>519517.45658765</v>
      </c>
      <c r="B368">
        <v>6934398.5057022898</v>
      </c>
      <c r="C368">
        <v>367</v>
      </c>
      <c r="D368" t="s">
        <v>917</v>
      </c>
      <c r="E368" t="s">
        <v>247</v>
      </c>
      <c r="F368" t="s">
        <v>918</v>
      </c>
      <c r="G368" t="s">
        <v>886</v>
      </c>
      <c r="H368" s="3">
        <v>3818</v>
      </c>
      <c r="I368">
        <v>2</v>
      </c>
      <c r="J368" t="s">
        <v>56</v>
      </c>
      <c r="K368">
        <v>44.1</v>
      </c>
      <c r="L368">
        <v>52.6</v>
      </c>
      <c r="M368">
        <v>1</v>
      </c>
      <c r="N368" t="s">
        <v>56</v>
      </c>
      <c r="O368" t="s">
        <v>886</v>
      </c>
      <c r="P368">
        <v>88.9</v>
      </c>
      <c r="Q368">
        <v>0.6</v>
      </c>
      <c r="R368">
        <v>9.6</v>
      </c>
      <c r="S368">
        <v>0.1</v>
      </c>
      <c r="T368">
        <v>0.1</v>
      </c>
      <c r="U368">
        <v>0</v>
      </c>
      <c r="V368">
        <v>0.1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0.6</v>
      </c>
      <c r="AC368" t="s">
        <v>886</v>
      </c>
      <c r="AD368">
        <v>50</v>
      </c>
      <c r="AE368" t="s">
        <v>886</v>
      </c>
      <c r="AF368" s="4" t="s">
        <v>80</v>
      </c>
      <c r="AG368" s="4">
        <v>1548</v>
      </c>
      <c r="AH368" s="4" t="s">
        <v>81</v>
      </c>
      <c r="AI368" s="4">
        <v>2270</v>
      </c>
      <c r="AJ368" t="s">
        <v>886</v>
      </c>
      <c r="AK368" t="s">
        <v>56</v>
      </c>
      <c r="AL368" t="s">
        <v>919</v>
      </c>
      <c r="AM368">
        <v>8</v>
      </c>
      <c r="AN368">
        <v>0</v>
      </c>
      <c r="AO368">
        <v>9</v>
      </c>
      <c r="AP368">
        <v>0</v>
      </c>
      <c r="AQ368" s="5">
        <v>598</v>
      </c>
      <c r="AR368">
        <v>15</v>
      </c>
      <c r="AS368">
        <v>0</v>
      </c>
      <c r="AT368">
        <v>16</v>
      </c>
      <c r="AU368">
        <v>0</v>
      </c>
      <c r="AV368" s="5">
        <v>625</v>
      </c>
      <c r="AW368" t="s">
        <v>56</v>
      </c>
      <c r="AX368" s="6">
        <v>4397</v>
      </c>
      <c r="AY368" t="s">
        <v>886</v>
      </c>
      <c r="AZ368" t="s">
        <v>56</v>
      </c>
    </row>
    <row r="369" spans="1:52" hidden="1" x14ac:dyDescent="0.45">
      <c r="A369">
        <v>519605.68498795101</v>
      </c>
      <c r="B369">
        <v>6934275.4075442702</v>
      </c>
      <c r="C369">
        <v>368</v>
      </c>
      <c r="D369" t="s">
        <v>920</v>
      </c>
      <c r="E369" t="s">
        <v>247</v>
      </c>
      <c r="F369" t="s">
        <v>921</v>
      </c>
      <c r="G369" t="s">
        <v>875</v>
      </c>
      <c r="H369" s="3">
        <v>5784</v>
      </c>
      <c r="I369">
        <v>2</v>
      </c>
      <c r="J369" t="s">
        <v>56</v>
      </c>
      <c r="K369">
        <v>36.1</v>
      </c>
      <c r="L369">
        <v>44.3</v>
      </c>
      <c r="M369">
        <v>1</v>
      </c>
      <c r="N369" t="s">
        <v>56</v>
      </c>
      <c r="O369" t="s">
        <v>875</v>
      </c>
      <c r="P369">
        <v>86.9</v>
      </c>
      <c r="Q369">
        <v>0.4</v>
      </c>
      <c r="R369">
        <v>11.1</v>
      </c>
      <c r="S369">
        <v>0.3</v>
      </c>
      <c r="T369">
        <v>0</v>
      </c>
      <c r="U369">
        <v>0</v>
      </c>
      <c r="V369">
        <v>0.2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1.1000000000000001</v>
      </c>
      <c r="AC369" t="s">
        <v>875</v>
      </c>
      <c r="AD369">
        <v>50</v>
      </c>
      <c r="AE369" t="s">
        <v>875</v>
      </c>
      <c r="AF369" s="4" t="s">
        <v>57</v>
      </c>
      <c r="AG369" s="4">
        <v>5784</v>
      </c>
      <c r="AJ369" t="s">
        <v>875</v>
      </c>
      <c r="AK369" t="s">
        <v>56</v>
      </c>
      <c r="AL369" t="s">
        <v>921</v>
      </c>
      <c r="AM369">
        <v>11</v>
      </c>
      <c r="AN369">
        <v>0</v>
      </c>
      <c r="AO369">
        <v>12</v>
      </c>
      <c r="AP369">
        <v>0</v>
      </c>
      <c r="AQ369" s="5">
        <v>989</v>
      </c>
      <c r="AR369">
        <v>15</v>
      </c>
      <c r="AS369">
        <v>0</v>
      </c>
      <c r="AT369">
        <v>16</v>
      </c>
      <c r="AU369">
        <v>0</v>
      </c>
      <c r="AV369" s="5">
        <v>977</v>
      </c>
      <c r="AW369" t="s">
        <v>56</v>
      </c>
      <c r="AX369" s="6">
        <v>11880</v>
      </c>
      <c r="AY369" t="s">
        <v>875</v>
      </c>
      <c r="AZ369" t="s">
        <v>56</v>
      </c>
    </row>
    <row r="370" spans="1:52" hidden="1" x14ac:dyDescent="0.45">
      <c r="A370">
        <v>519605.68498795101</v>
      </c>
      <c r="B370">
        <v>6934275.4075442702</v>
      </c>
      <c r="C370">
        <v>369</v>
      </c>
      <c r="D370" t="s">
        <v>920</v>
      </c>
      <c r="E370" t="s">
        <v>247</v>
      </c>
      <c r="F370" t="s">
        <v>921</v>
      </c>
      <c r="G370" t="s">
        <v>875</v>
      </c>
      <c r="H370" s="3">
        <v>5613</v>
      </c>
      <c r="I370">
        <v>2</v>
      </c>
      <c r="J370" t="s">
        <v>56</v>
      </c>
      <c r="K370">
        <v>36.1</v>
      </c>
      <c r="L370">
        <v>44.3</v>
      </c>
      <c r="M370">
        <v>1</v>
      </c>
      <c r="N370" t="s">
        <v>56</v>
      </c>
      <c r="O370" t="s">
        <v>875</v>
      </c>
      <c r="P370">
        <v>86.9</v>
      </c>
      <c r="Q370">
        <v>0.4</v>
      </c>
      <c r="R370">
        <v>11.1</v>
      </c>
      <c r="S370">
        <v>0.3</v>
      </c>
      <c r="T370">
        <v>0</v>
      </c>
      <c r="U370">
        <v>0</v>
      </c>
      <c r="V370">
        <v>0.2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1.1000000000000001</v>
      </c>
      <c r="AC370" t="s">
        <v>875</v>
      </c>
      <c r="AD370">
        <v>50</v>
      </c>
      <c r="AE370" t="s">
        <v>875</v>
      </c>
      <c r="AH370" s="4" t="s">
        <v>58</v>
      </c>
      <c r="AI370" s="4">
        <v>5613</v>
      </c>
      <c r="AJ370" t="s">
        <v>875</v>
      </c>
      <c r="AK370" t="s">
        <v>56</v>
      </c>
      <c r="AL370" t="s">
        <v>921</v>
      </c>
      <c r="AM370">
        <v>11</v>
      </c>
      <c r="AN370">
        <v>0</v>
      </c>
      <c r="AO370">
        <v>12</v>
      </c>
      <c r="AP370">
        <v>0</v>
      </c>
      <c r="AQ370" s="5">
        <v>989</v>
      </c>
      <c r="AR370">
        <v>15</v>
      </c>
      <c r="AS370">
        <v>0</v>
      </c>
      <c r="AT370">
        <v>16</v>
      </c>
      <c r="AU370">
        <v>0</v>
      </c>
      <c r="AV370" s="5">
        <v>977</v>
      </c>
      <c r="AW370" t="s">
        <v>56</v>
      </c>
      <c r="AX370" s="6">
        <v>11880</v>
      </c>
      <c r="AY370" t="s">
        <v>875</v>
      </c>
      <c r="AZ370" t="s">
        <v>56</v>
      </c>
    </row>
    <row r="371" spans="1:52" hidden="1" x14ac:dyDescent="0.45">
      <c r="A371">
        <v>506998.77068259899</v>
      </c>
      <c r="B371">
        <v>6924780.71629187</v>
      </c>
      <c r="C371">
        <v>370</v>
      </c>
      <c r="D371" t="s">
        <v>922</v>
      </c>
      <c r="E371" t="s">
        <v>191</v>
      </c>
      <c r="F371" t="s">
        <v>923</v>
      </c>
      <c r="G371" t="s">
        <v>805</v>
      </c>
      <c r="H371" s="3">
        <v>490</v>
      </c>
      <c r="I371">
        <v>2</v>
      </c>
      <c r="J371" t="s">
        <v>56</v>
      </c>
      <c r="K371">
        <v>73.599999999999994</v>
      </c>
      <c r="L371">
        <v>87.1</v>
      </c>
      <c r="M371">
        <v>1</v>
      </c>
      <c r="N371" t="s">
        <v>56</v>
      </c>
      <c r="O371" t="s">
        <v>805</v>
      </c>
      <c r="P371">
        <v>65.099999999999994</v>
      </c>
      <c r="Q371">
        <v>1.9</v>
      </c>
      <c r="R371">
        <v>29.2</v>
      </c>
      <c r="S371">
        <v>1</v>
      </c>
      <c r="T371">
        <v>0.1</v>
      </c>
      <c r="U371">
        <v>0.1</v>
      </c>
      <c r="V371">
        <v>1.8</v>
      </c>
      <c r="W371">
        <v>0</v>
      </c>
      <c r="X371">
        <v>0.1</v>
      </c>
      <c r="Y371">
        <v>0</v>
      </c>
      <c r="Z371">
        <v>0.1</v>
      </c>
      <c r="AA371">
        <v>0</v>
      </c>
      <c r="AB371">
        <v>0.6</v>
      </c>
      <c r="AC371" t="s">
        <v>805</v>
      </c>
      <c r="AD371">
        <v>80</v>
      </c>
      <c r="AE371" t="s">
        <v>805</v>
      </c>
      <c r="AF371" s="4" t="s">
        <v>80</v>
      </c>
      <c r="AG371" s="4">
        <v>244</v>
      </c>
      <c r="AH371" s="4" t="s">
        <v>81</v>
      </c>
      <c r="AI371" s="4">
        <v>246</v>
      </c>
      <c r="AJ371" t="s">
        <v>805</v>
      </c>
      <c r="AK371" t="s">
        <v>56</v>
      </c>
      <c r="AL371" t="s">
        <v>923</v>
      </c>
      <c r="AM371">
        <v>8</v>
      </c>
      <c r="AN371">
        <v>0</v>
      </c>
      <c r="AO371">
        <v>9</v>
      </c>
      <c r="AP371">
        <v>0</v>
      </c>
      <c r="AQ371" s="5">
        <v>56</v>
      </c>
      <c r="AR371">
        <v>15</v>
      </c>
      <c r="AS371">
        <v>0</v>
      </c>
      <c r="AT371">
        <v>16</v>
      </c>
      <c r="AU371">
        <v>0</v>
      </c>
      <c r="AV371" s="5">
        <v>64</v>
      </c>
      <c r="AW371" t="s">
        <v>56</v>
      </c>
      <c r="AX371" s="6">
        <v>509</v>
      </c>
      <c r="AY371" t="s">
        <v>805</v>
      </c>
      <c r="AZ371" t="s">
        <v>56</v>
      </c>
    </row>
    <row r="372" spans="1:52" hidden="1" x14ac:dyDescent="0.45">
      <c r="A372">
        <v>506260.59982635197</v>
      </c>
      <c r="B372">
        <v>6917376.6413118197</v>
      </c>
      <c r="C372">
        <v>371</v>
      </c>
      <c r="D372" t="s">
        <v>924</v>
      </c>
      <c r="E372" t="s">
        <v>895</v>
      </c>
      <c r="F372" t="s">
        <v>925</v>
      </c>
      <c r="G372" t="s">
        <v>886</v>
      </c>
      <c r="H372" s="3">
        <v>4982</v>
      </c>
      <c r="I372">
        <v>2</v>
      </c>
      <c r="J372" t="s">
        <v>56</v>
      </c>
      <c r="K372">
        <v>85.9</v>
      </c>
      <c r="L372">
        <v>93.6</v>
      </c>
      <c r="M372">
        <v>1</v>
      </c>
      <c r="N372" t="s">
        <v>56</v>
      </c>
      <c r="O372" t="s">
        <v>886</v>
      </c>
      <c r="P372">
        <v>67.400000000000006</v>
      </c>
      <c r="Q372">
        <v>1.6</v>
      </c>
      <c r="R372">
        <v>27</v>
      </c>
      <c r="S372">
        <v>0.9</v>
      </c>
      <c r="T372">
        <v>0.2</v>
      </c>
      <c r="U372">
        <v>0</v>
      </c>
      <c r="V372">
        <v>1.5</v>
      </c>
      <c r="W372">
        <v>0.1</v>
      </c>
      <c r="X372">
        <v>0.6</v>
      </c>
      <c r="Y372">
        <v>0.3</v>
      </c>
      <c r="Z372">
        <v>0.1</v>
      </c>
      <c r="AA372">
        <v>0</v>
      </c>
      <c r="AB372">
        <v>0.3</v>
      </c>
      <c r="AC372" t="s">
        <v>886</v>
      </c>
      <c r="AD372">
        <v>80</v>
      </c>
      <c r="AE372" t="s">
        <v>886</v>
      </c>
      <c r="AF372" s="4" t="s">
        <v>80</v>
      </c>
      <c r="AG372" s="4">
        <v>2471</v>
      </c>
      <c r="AH372" s="4" t="s">
        <v>81</v>
      </c>
      <c r="AI372" s="4">
        <v>2511</v>
      </c>
      <c r="AJ372" t="s">
        <v>886</v>
      </c>
      <c r="AK372" t="s">
        <v>56</v>
      </c>
      <c r="AL372" t="s">
        <v>925</v>
      </c>
      <c r="AM372">
        <v>10</v>
      </c>
      <c r="AN372">
        <v>0</v>
      </c>
      <c r="AO372">
        <v>11</v>
      </c>
      <c r="AP372">
        <v>0</v>
      </c>
      <c r="AQ372" s="5">
        <v>441</v>
      </c>
      <c r="AR372">
        <v>16</v>
      </c>
      <c r="AS372">
        <v>0</v>
      </c>
      <c r="AT372">
        <v>17</v>
      </c>
      <c r="AU372">
        <v>0</v>
      </c>
      <c r="AV372" s="5">
        <v>541</v>
      </c>
      <c r="AW372" t="s">
        <v>56</v>
      </c>
      <c r="AX372" s="6">
        <v>5102</v>
      </c>
      <c r="AY372" t="s">
        <v>886</v>
      </c>
      <c r="AZ372" t="s">
        <v>56</v>
      </c>
    </row>
    <row r="373" spans="1:52" hidden="1" x14ac:dyDescent="0.45">
      <c r="A373">
        <v>501714.76922419999</v>
      </c>
      <c r="B373">
        <v>6915389.6547363997</v>
      </c>
      <c r="C373">
        <v>372</v>
      </c>
      <c r="D373" t="s">
        <v>201</v>
      </c>
      <c r="E373" t="s">
        <v>202</v>
      </c>
      <c r="F373" t="s">
        <v>926</v>
      </c>
      <c r="G373" t="s">
        <v>805</v>
      </c>
      <c r="H373" s="3">
        <v>855</v>
      </c>
      <c r="I373">
        <v>2</v>
      </c>
      <c r="J373" t="s">
        <v>56</v>
      </c>
      <c r="K373">
        <v>62.8</v>
      </c>
      <c r="L373">
        <v>74.2</v>
      </c>
      <c r="M373">
        <v>1</v>
      </c>
      <c r="N373" t="s">
        <v>56</v>
      </c>
      <c r="O373" t="s">
        <v>805</v>
      </c>
      <c r="P373">
        <v>77.599999999999994</v>
      </c>
      <c r="Q373">
        <v>1.9</v>
      </c>
      <c r="R373">
        <v>18.7</v>
      </c>
      <c r="S373">
        <v>0.4</v>
      </c>
      <c r="T373">
        <v>0.1</v>
      </c>
      <c r="U373">
        <v>0</v>
      </c>
      <c r="V373">
        <v>0.9</v>
      </c>
      <c r="W373">
        <v>0</v>
      </c>
      <c r="X373">
        <v>0.2</v>
      </c>
      <c r="Y373">
        <v>0</v>
      </c>
      <c r="Z373">
        <v>0</v>
      </c>
      <c r="AA373">
        <v>0</v>
      </c>
      <c r="AB373">
        <v>0.2</v>
      </c>
      <c r="AC373" t="s">
        <v>805</v>
      </c>
      <c r="AD373">
        <v>70</v>
      </c>
      <c r="AE373" t="s">
        <v>805</v>
      </c>
      <c r="AF373" s="4" t="s">
        <v>80</v>
      </c>
      <c r="AG373" s="4">
        <v>417</v>
      </c>
      <c r="AH373" s="4" t="s">
        <v>81</v>
      </c>
      <c r="AI373" s="4">
        <v>438</v>
      </c>
      <c r="AJ373" t="s">
        <v>805</v>
      </c>
      <c r="AK373" t="s">
        <v>56</v>
      </c>
      <c r="AL373" t="s">
        <v>926</v>
      </c>
      <c r="AM373">
        <v>8</v>
      </c>
      <c r="AN373">
        <v>0</v>
      </c>
      <c r="AO373">
        <v>9</v>
      </c>
      <c r="AP373">
        <v>0</v>
      </c>
      <c r="AQ373" s="5">
        <v>100</v>
      </c>
      <c r="AR373">
        <v>15</v>
      </c>
      <c r="AS373">
        <v>0</v>
      </c>
      <c r="AT373">
        <v>16</v>
      </c>
      <c r="AU373">
        <v>0</v>
      </c>
      <c r="AV373" s="5">
        <v>110</v>
      </c>
      <c r="AW373" t="s">
        <v>56</v>
      </c>
      <c r="AX373" s="6">
        <v>892</v>
      </c>
      <c r="AY373" t="s">
        <v>805</v>
      </c>
      <c r="AZ373" t="s">
        <v>56</v>
      </c>
    </row>
    <row r="374" spans="1:52" hidden="1" x14ac:dyDescent="0.45">
      <c r="A374">
        <v>498551.34211626102</v>
      </c>
      <c r="B374">
        <v>6923858.2612338196</v>
      </c>
      <c r="C374">
        <v>373</v>
      </c>
      <c r="D374" t="s">
        <v>927</v>
      </c>
      <c r="E374" t="s">
        <v>191</v>
      </c>
      <c r="F374" t="s">
        <v>928</v>
      </c>
      <c r="G374" t="s">
        <v>805</v>
      </c>
      <c r="H374" s="3">
        <v>396</v>
      </c>
      <c r="I374">
        <v>2</v>
      </c>
      <c r="J374" t="s">
        <v>56</v>
      </c>
      <c r="K374">
        <v>50.7</v>
      </c>
      <c r="L374">
        <v>59</v>
      </c>
      <c r="M374">
        <v>1</v>
      </c>
      <c r="N374" t="s">
        <v>56</v>
      </c>
      <c r="O374" t="s">
        <v>805</v>
      </c>
      <c r="P374">
        <v>70.5</v>
      </c>
      <c r="Q374">
        <v>1.2</v>
      </c>
      <c r="R374">
        <v>22.8</v>
      </c>
      <c r="S374">
        <v>3.1</v>
      </c>
      <c r="T374">
        <v>0</v>
      </c>
      <c r="U374">
        <v>0</v>
      </c>
      <c r="V374">
        <v>0.9</v>
      </c>
      <c r="W374">
        <v>0.1</v>
      </c>
      <c r="X374">
        <v>0.4</v>
      </c>
      <c r="Y374">
        <v>0.6</v>
      </c>
      <c r="Z374">
        <v>0.2</v>
      </c>
      <c r="AA374">
        <v>0</v>
      </c>
      <c r="AB374">
        <v>0.2</v>
      </c>
      <c r="AC374" t="s">
        <v>805</v>
      </c>
      <c r="AD374">
        <v>70</v>
      </c>
      <c r="AE374" t="s">
        <v>805</v>
      </c>
      <c r="AF374" s="4" t="s">
        <v>57</v>
      </c>
      <c r="AG374" s="4">
        <v>182</v>
      </c>
      <c r="AH374" s="4" t="s">
        <v>58</v>
      </c>
      <c r="AI374" s="4">
        <v>214</v>
      </c>
      <c r="AJ374" t="s">
        <v>805</v>
      </c>
      <c r="AK374" t="s">
        <v>56</v>
      </c>
      <c r="AL374" t="s">
        <v>928</v>
      </c>
      <c r="AM374">
        <v>8</v>
      </c>
      <c r="AN374">
        <v>0</v>
      </c>
      <c r="AO374">
        <v>9</v>
      </c>
      <c r="AP374">
        <v>0</v>
      </c>
      <c r="AQ374" s="5">
        <v>41</v>
      </c>
      <c r="AR374">
        <v>15</v>
      </c>
      <c r="AS374">
        <v>0</v>
      </c>
      <c r="AT374">
        <v>16</v>
      </c>
      <c r="AU374">
        <v>0</v>
      </c>
      <c r="AV374" s="5">
        <v>82</v>
      </c>
      <c r="AW374" t="s">
        <v>56</v>
      </c>
      <c r="AX374" s="6">
        <v>429</v>
      </c>
      <c r="AY374" t="s">
        <v>805</v>
      </c>
      <c r="AZ374" t="s">
        <v>56</v>
      </c>
    </row>
    <row r="375" spans="1:52" hidden="1" x14ac:dyDescent="0.45">
      <c r="A375">
        <v>510216.861029819</v>
      </c>
      <c r="B375">
        <v>6943908.9751979699</v>
      </c>
      <c r="C375">
        <v>374</v>
      </c>
      <c r="D375" t="s">
        <v>929</v>
      </c>
      <c r="E375" t="s">
        <v>296</v>
      </c>
      <c r="F375" t="s">
        <v>930</v>
      </c>
      <c r="G375" t="s">
        <v>883</v>
      </c>
      <c r="H375" s="3">
        <v>3644</v>
      </c>
      <c r="I375">
        <v>2</v>
      </c>
      <c r="J375" t="s">
        <v>56</v>
      </c>
      <c r="K375">
        <v>47.1</v>
      </c>
      <c r="L375">
        <v>54</v>
      </c>
      <c r="M375">
        <v>1</v>
      </c>
      <c r="N375" t="s">
        <v>56</v>
      </c>
      <c r="O375" t="s">
        <v>883</v>
      </c>
      <c r="P375">
        <v>85.5</v>
      </c>
      <c r="Q375">
        <v>0.4</v>
      </c>
      <c r="R375">
        <v>13.4</v>
      </c>
      <c r="S375">
        <v>0.2</v>
      </c>
      <c r="T375">
        <v>0.1</v>
      </c>
      <c r="U375">
        <v>0</v>
      </c>
      <c r="V375">
        <v>0.1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0.3</v>
      </c>
      <c r="AC375" t="s">
        <v>883</v>
      </c>
      <c r="AD375">
        <v>60</v>
      </c>
      <c r="AE375" t="s">
        <v>883</v>
      </c>
      <c r="AF375" s="4" t="s">
        <v>80</v>
      </c>
      <c r="AG375" s="4">
        <v>1952</v>
      </c>
      <c r="AH375" s="4" t="s">
        <v>81</v>
      </c>
      <c r="AI375" s="4">
        <v>1692</v>
      </c>
      <c r="AJ375" t="s">
        <v>883</v>
      </c>
      <c r="AK375" t="s">
        <v>56</v>
      </c>
      <c r="AL375" t="s">
        <v>930</v>
      </c>
      <c r="AM375">
        <v>8</v>
      </c>
      <c r="AN375">
        <v>0</v>
      </c>
      <c r="AO375">
        <v>9</v>
      </c>
      <c r="AP375">
        <v>0</v>
      </c>
      <c r="AQ375" s="5">
        <v>332</v>
      </c>
      <c r="AR375">
        <v>14</v>
      </c>
      <c r="AS375">
        <v>0</v>
      </c>
      <c r="AT375">
        <v>15</v>
      </c>
      <c r="AU375">
        <v>0</v>
      </c>
      <c r="AV375" s="5">
        <v>373</v>
      </c>
      <c r="AW375" t="s">
        <v>56</v>
      </c>
      <c r="AX375" s="6">
        <v>3819</v>
      </c>
      <c r="AY375" t="s">
        <v>883</v>
      </c>
      <c r="AZ375" t="s">
        <v>56</v>
      </c>
    </row>
    <row r="376" spans="1:52" hidden="1" x14ac:dyDescent="0.45">
      <c r="A376">
        <v>509408.49375023198</v>
      </c>
      <c r="B376">
        <v>6938079.2606239403</v>
      </c>
      <c r="C376">
        <v>375</v>
      </c>
      <c r="D376" t="s">
        <v>931</v>
      </c>
      <c r="E376" t="s">
        <v>932</v>
      </c>
      <c r="F376" t="s">
        <v>933</v>
      </c>
      <c r="G376" t="s">
        <v>883</v>
      </c>
      <c r="H376" s="3">
        <v>8590</v>
      </c>
      <c r="I376">
        <v>2</v>
      </c>
      <c r="J376" t="s">
        <v>56</v>
      </c>
      <c r="K376">
        <v>61.6</v>
      </c>
      <c r="L376">
        <v>68.8</v>
      </c>
      <c r="M376">
        <v>1</v>
      </c>
      <c r="N376" t="s">
        <v>56</v>
      </c>
      <c r="O376" t="s">
        <v>883</v>
      </c>
      <c r="P376">
        <v>78</v>
      </c>
      <c r="Q376">
        <v>3.7</v>
      </c>
      <c r="R376">
        <v>15.6</v>
      </c>
      <c r="S376">
        <v>0.6</v>
      </c>
      <c r="T376">
        <v>0.3</v>
      </c>
      <c r="U376">
        <v>0</v>
      </c>
      <c r="V376">
        <v>0.6</v>
      </c>
      <c r="W376">
        <v>0.3</v>
      </c>
      <c r="X376">
        <v>0.3</v>
      </c>
      <c r="Y376">
        <v>0</v>
      </c>
      <c r="Z376">
        <v>0.2</v>
      </c>
      <c r="AA376">
        <v>0</v>
      </c>
      <c r="AB376">
        <v>0.4</v>
      </c>
      <c r="AC376" t="s">
        <v>883</v>
      </c>
      <c r="AD376">
        <v>70</v>
      </c>
      <c r="AE376" t="s">
        <v>883</v>
      </c>
      <c r="AF376" s="4" t="s">
        <v>57</v>
      </c>
      <c r="AG376" s="4">
        <v>8590</v>
      </c>
      <c r="AJ376" t="s">
        <v>883</v>
      </c>
      <c r="AK376" t="s">
        <v>56</v>
      </c>
      <c r="AL376" t="s">
        <v>933</v>
      </c>
      <c r="AM376">
        <v>8</v>
      </c>
      <c r="AN376">
        <v>0</v>
      </c>
      <c r="AO376">
        <v>9</v>
      </c>
      <c r="AP376">
        <v>0</v>
      </c>
      <c r="AQ376" s="5">
        <v>1444</v>
      </c>
      <c r="AR376">
        <v>14</v>
      </c>
      <c r="AS376">
        <v>0</v>
      </c>
      <c r="AT376">
        <v>15</v>
      </c>
      <c r="AU376">
        <v>0</v>
      </c>
      <c r="AV376" s="5">
        <v>1595</v>
      </c>
      <c r="AW376" t="s">
        <v>56</v>
      </c>
      <c r="AX376" s="6">
        <v>18245</v>
      </c>
      <c r="AY376" t="s">
        <v>883</v>
      </c>
      <c r="AZ376" t="s">
        <v>56</v>
      </c>
    </row>
    <row r="377" spans="1:52" hidden="1" x14ac:dyDescent="0.45">
      <c r="A377">
        <v>509408.49375023198</v>
      </c>
      <c r="B377">
        <v>6938079.2606239403</v>
      </c>
      <c r="C377">
        <v>376</v>
      </c>
      <c r="D377" t="s">
        <v>931</v>
      </c>
      <c r="E377" t="s">
        <v>932</v>
      </c>
      <c r="F377" t="s">
        <v>933</v>
      </c>
      <c r="G377" t="s">
        <v>883</v>
      </c>
      <c r="H377" s="3">
        <v>8707</v>
      </c>
      <c r="I377">
        <v>2</v>
      </c>
      <c r="J377" t="s">
        <v>56</v>
      </c>
      <c r="K377">
        <v>61.6</v>
      </c>
      <c r="L377">
        <v>68.8</v>
      </c>
      <c r="M377">
        <v>1</v>
      </c>
      <c r="N377" t="s">
        <v>56</v>
      </c>
      <c r="O377" t="s">
        <v>883</v>
      </c>
      <c r="P377">
        <v>78</v>
      </c>
      <c r="Q377">
        <v>3.7</v>
      </c>
      <c r="R377">
        <v>15.6</v>
      </c>
      <c r="S377">
        <v>0.6</v>
      </c>
      <c r="T377">
        <v>0.3</v>
      </c>
      <c r="U377">
        <v>0</v>
      </c>
      <c r="V377">
        <v>0.6</v>
      </c>
      <c r="W377">
        <v>0.3</v>
      </c>
      <c r="X377">
        <v>0.3</v>
      </c>
      <c r="Y377">
        <v>0</v>
      </c>
      <c r="Z377">
        <v>0.2</v>
      </c>
      <c r="AA377">
        <v>0</v>
      </c>
      <c r="AB377">
        <v>0.4</v>
      </c>
      <c r="AC377" t="s">
        <v>883</v>
      </c>
      <c r="AD377">
        <v>70</v>
      </c>
      <c r="AE377" t="s">
        <v>883</v>
      </c>
      <c r="AH377" s="4" t="s">
        <v>58</v>
      </c>
      <c r="AI377" s="4">
        <v>8707</v>
      </c>
      <c r="AJ377" t="s">
        <v>883</v>
      </c>
      <c r="AK377" t="s">
        <v>56</v>
      </c>
      <c r="AL377" t="s">
        <v>933</v>
      </c>
      <c r="AM377">
        <v>8</v>
      </c>
      <c r="AN377">
        <v>0</v>
      </c>
      <c r="AO377">
        <v>9</v>
      </c>
      <c r="AP377">
        <v>0</v>
      </c>
      <c r="AQ377" s="5">
        <v>1444</v>
      </c>
      <c r="AR377">
        <v>14</v>
      </c>
      <c r="AS377">
        <v>0</v>
      </c>
      <c r="AT377">
        <v>15</v>
      </c>
      <c r="AU377">
        <v>0</v>
      </c>
      <c r="AV377" s="5">
        <v>1595</v>
      </c>
      <c r="AW377" t="s">
        <v>56</v>
      </c>
      <c r="AX377" s="6">
        <v>18245</v>
      </c>
      <c r="AY377" t="s">
        <v>883</v>
      </c>
      <c r="AZ377" t="s">
        <v>56</v>
      </c>
    </row>
    <row r="378" spans="1:52" hidden="1" x14ac:dyDescent="0.45">
      <c r="A378">
        <v>500854.86904844001</v>
      </c>
      <c r="B378">
        <v>6921565.0002403501</v>
      </c>
      <c r="C378">
        <v>377</v>
      </c>
      <c r="D378" t="s">
        <v>934</v>
      </c>
      <c r="E378" t="s">
        <v>331</v>
      </c>
      <c r="F378" t="s">
        <v>935</v>
      </c>
      <c r="G378" t="s">
        <v>805</v>
      </c>
      <c r="H378" s="3">
        <v>1978</v>
      </c>
      <c r="I378">
        <v>2</v>
      </c>
      <c r="J378" t="s">
        <v>56</v>
      </c>
      <c r="K378">
        <v>67.2</v>
      </c>
      <c r="L378">
        <v>76</v>
      </c>
      <c r="M378">
        <v>1</v>
      </c>
      <c r="N378" t="s">
        <v>56</v>
      </c>
      <c r="O378" t="s">
        <v>805</v>
      </c>
      <c r="P378">
        <v>79.400000000000006</v>
      </c>
      <c r="Q378">
        <v>1.6</v>
      </c>
      <c r="R378">
        <v>17.2</v>
      </c>
      <c r="S378">
        <v>0.4</v>
      </c>
      <c r="T378">
        <v>0</v>
      </c>
      <c r="U378">
        <v>0</v>
      </c>
      <c r="V378">
        <v>0.7</v>
      </c>
      <c r="W378">
        <v>0.1</v>
      </c>
      <c r="X378">
        <v>0.2</v>
      </c>
      <c r="Y378">
        <v>0.1</v>
      </c>
      <c r="Z378">
        <v>0</v>
      </c>
      <c r="AA378">
        <v>0</v>
      </c>
      <c r="AB378">
        <v>0.3</v>
      </c>
      <c r="AC378" t="s">
        <v>805</v>
      </c>
      <c r="AD378">
        <v>70</v>
      </c>
      <c r="AE378" t="s">
        <v>805</v>
      </c>
      <c r="AF378" s="4" t="s">
        <v>57</v>
      </c>
      <c r="AG378" s="4">
        <v>987</v>
      </c>
      <c r="AH378" s="4" t="s">
        <v>58</v>
      </c>
      <c r="AI378" s="4">
        <v>991</v>
      </c>
      <c r="AJ378" t="s">
        <v>805</v>
      </c>
      <c r="AK378" t="s">
        <v>56</v>
      </c>
      <c r="AL378" t="s">
        <v>935</v>
      </c>
      <c r="AM378">
        <v>8</v>
      </c>
      <c r="AN378">
        <v>0</v>
      </c>
      <c r="AO378">
        <v>9</v>
      </c>
      <c r="AP378">
        <v>0</v>
      </c>
      <c r="AQ378" s="5">
        <v>184</v>
      </c>
      <c r="AR378">
        <v>17</v>
      </c>
      <c r="AS378">
        <v>0</v>
      </c>
      <c r="AT378">
        <v>18</v>
      </c>
      <c r="AU378">
        <v>0</v>
      </c>
      <c r="AV378" s="5">
        <v>209</v>
      </c>
      <c r="AW378" t="s">
        <v>56</v>
      </c>
      <c r="AX378" s="6">
        <v>2010</v>
      </c>
      <c r="AY378" t="s">
        <v>805</v>
      </c>
      <c r="AZ378" t="s">
        <v>56</v>
      </c>
    </row>
    <row r="379" spans="1:52" hidden="1" x14ac:dyDescent="0.45">
      <c r="A379">
        <v>515161.33478033799</v>
      </c>
      <c r="B379">
        <v>6923973.6869028397</v>
      </c>
      <c r="C379">
        <v>378</v>
      </c>
      <c r="D379" t="s">
        <v>936</v>
      </c>
      <c r="E379" t="s">
        <v>937</v>
      </c>
      <c r="F379" t="s">
        <v>938</v>
      </c>
      <c r="G379" t="s">
        <v>886</v>
      </c>
      <c r="H379" s="3">
        <v>1402</v>
      </c>
      <c r="I379">
        <v>2</v>
      </c>
      <c r="J379" t="s">
        <v>56</v>
      </c>
      <c r="K379">
        <v>78.099999999999994</v>
      </c>
      <c r="L379">
        <v>87.5</v>
      </c>
      <c r="M379">
        <v>1</v>
      </c>
      <c r="N379" t="s">
        <v>56</v>
      </c>
      <c r="O379" t="s">
        <v>886</v>
      </c>
      <c r="P379">
        <v>62</v>
      </c>
      <c r="Q379">
        <v>1.4</v>
      </c>
      <c r="R379">
        <v>31.2</v>
      </c>
      <c r="S379">
        <v>1.6</v>
      </c>
      <c r="T379">
        <v>0.4</v>
      </c>
      <c r="U379">
        <v>0.2</v>
      </c>
      <c r="V379">
        <v>1.7</v>
      </c>
      <c r="W379">
        <v>0.1</v>
      </c>
      <c r="X379">
        <v>0.4</v>
      </c>
      <c r="Y379">
        <v>0.4</v>
      </c>
      <c r="Z379">
        <v>0.1</v>
      </c>
      <c r="AA379">
        <v>0</v>
      </c>
      <c r="AB379">
        <v>0.5</v>
      </c>
      <c r="AC379" t="s">
        <v>886</v>
      </c>
      <c r="AD379">
        <v>80</v>
      </c>
      <c r="AE379" t="s">
        <v>886</v>
      </c>
      <c r="AF379" s="4" t="s">
        <v>80</v>
      </c>
      <c r="AG379" s="4">
        <v>719</v>
      </c>
      <c r="AH379" s="4" t="s">
        <v>81</v>
      </c>
      <c r="AI379" s="4">
        <v>683</v>
      </c>
      <c r="AJ379" t="s">
        <v>886</v>
      </c>
      <c r="AK379" t="s">
        <v>56</v>
      </c>
      <c r="AL379" t="s">
        <v>938</v>
      </c>
      <c r="AM379">
        <v>7</v>
      </c>
      <c r="AN379">
        <v>0</v>
      </c>
      <c r="AO379">
        <v>8</v>
      </c>
      <c r="AP379">
        <v>0</v>
      </c>
      <c r="AQ379" s="5">
        <v>105</v>
      </c>
      <c r="AR379">
        <v>17</v>
      </c>
      <c r="AS379">
        <v>0</v>
      </c>
      <c r="AT379">
        <v>18</v>
      </c>
      <c r="AU379">
        <v>0</v>
      </c>
      <c r="AV379" s="5">
        <v>159</v>
      </c>
      <c r="AW379" t="s">
        <v>56</v>
      </c>
      <c r="AX379" s="6">
        <v>1521</v>
      </c>
      <c r="AY379" t="s">
        <v>886</v>
      </c>
      <c r="AZ379" t="s">
        <v>56</v>
      </c>
    </row>
    <row r="380" spans="1:52" hidden="1" x14ac:dyDescent="0.45">
      <c r="A380">
        <v>506204.09061746497</v>
      </c>
      <c r="B380">
        <v>6940274.4509737901</v>
      </c>
      <c r="C380">
        <v>379</v>
      </c>
      <c r="D380" t="s">
        <v>939</v>
      </c>
      <c r="E380" t="s">
        <v>940</v>
      </c>
      <c r="F380" t="s">
        <v>941</v>
      </c>
      <c r="G380" t="s">
        <v>883</v>
      </c>
      <c r="H380" s="3">
        <v>11889</v>
      </c>
      <c r="I380">
        <v>2</v>
      </c>
      <c r="J380" t="s">
        <v>56</v>
      </c>
      <c r="K380">
        <v>64.5</v>
      </c>
      <c r="L380">
        <v>71.599999999999994</v>
      </c>
      <c r="M380">
        <v>1</v>
      </c>
      <c r="N380" t="s">
        <v>56</v>
      </c>
      <c r="O380" t="s">
        <v>883</v>
      </c>
      <c r="P380">
        <v>77</v>
      </c>
      <c r="Q380">
        <v>1.1000000000000001</v>
      </c>
      <c r="R380">
        <v>16.600000000000001</v>
      </c>
      <c r="S380">
        <v>1.6</v>
      </c>
      <c r="T380">
        <v>0.3</v>
      </c>
      <c r="U380">
        <v>0.1</v>
      </c>
      <c r="V380">
        <v>0.6</v>
      </c>
      <c r="W380">
        <v>0.2</v>
      </c>
      <c r="X380">
        <v>1.3</v>
      </c>
      <c r="Y380">
        <v>0.3</v>
      </c>
      <c r="Z380">
        <v>0.5</v>
      </c>
      <c r="AA380">
        <v>0</v>
      </c>
      <c r="AB380">
        <v>0.4</v>
      </c>
      <c r="AC380" t="s">
        <v>883</v>
      </c>
      <c r="AD380">
        <v>70</v>
      </c>
      <c r="AE380" t="s">
        <v>883</v>
      </c>
      <c r="AH380" s="4" t="s">
        <v>81</v>
      </c>
      <c r="AI380" s="4">
        <v>11889</v>
      </c>
      <c r="AJ380" t="s">
        <v>883</v>
      </c>
      <c r="AK380" t="s">
        <v>56</v>
      </c>
      <c r="AL380" t="s">
        <v>941</v>
      </c>
      <c r="AM380">
        <v>7</v>
      </c>
      <c r="AN380">
        <v>0</v>
      </c>
      <c r="AO380">
        <v>8</v>
      </c>
      <c r="AP380">
        <v>0</v>
      </c>
      <c r="AQ380" s="5">
        <v>1881</v>
      </c>
      <c r="AR380">
        <v>16</v>
      </c>
      <c r="AS380">
        <v>0</v>
      </c>
      <c r="AT380">
        <v>17</v>
      </c>
      <c r="AU380">
        <v>0</v>
      </c>
      <c r="AV380" s="5">
        <v>2075</v>
      </c>
      <c r="AW380" t="s">
        <v>56</v>
      </c>
      <c r="AX380" s="6">
        <v>26326</v>
      </c>
      <c r="AY380" t="s">
        <v>883</v>
      </c>
      <c r="AZ380" t="s">
        <v>56</v>
      </c>
    </row>
    <row r="381" spans="1:52" hidden="1" x14ac:dyDescent="0.45">
      <c r="A381">
        <v>506204.09061746497</v>
      </c>
      <c r="B381">
        <v>6940274.4509737901</v>
      </c>
      <c r="C381">
        <v>380</v>
      </c>
      <c r="D381" t="s">
        <v>939</v>
      </c>
      <c r="E381" t="s">
        <v>940</v>
      </c>
      <c r="F381" t="s">
        <v>941</v>
      </c>
      <c r="G381" t="s">
        <v>883</v>
      </c>
      <c r="H381" s="3">
        <v>12508</v>
      </c>
      <c r="I381">
        <v>2</v>
      </c>
      <c r="J381" t="s">
        <v>56</v>
      </c>
      <c r="K381">
        <v>64.5</v>
      </c>
      <c r="L381">
        <v>71.599999999999994</v>
      </c>
      <c r="M381">
        <v>1</v>
      </c>
      <c r="N381" t="s">
        <v>56</v>
      </c>
      <c r="O381" t="s">
        <v>883</v>
      </c>
      <c r="P381">
        <v>77</v>
      </c>
      <c r="Q381">
        <v>1.1000000000000001</v>
      </c>
      <c r="R381">
        <v>16.600000000000001</v>
      </c>
      <c r="S381">
        <v>1.6</v>
      </c>
      <c r="T381">
        <v>0.3</v>
      </c>
      <c r="U381">
        <v>0.1</v>
      </c>
      <c r="V381">
        <v>0.6</v>
      </c>
      <c r="W381">
        <v>0.2</v>
      </c>
      <c r="X381">
        <v>1.3</v>
      </c>
      <c r="Y381">
        <v>0.3</v>
      </c>
      <c r="Z381">
        <v>0.5</v>
      </c>
      <c r="AA381">
        <v>0</v>
      </c>
      <c r="AB381">
        <v>0.4</v>
      </c>
      <c r="AC381" t="s">
        <v>883</v>
      </c>
      <c r="AD381">
        <v>70</v>
      </c>
      <c r="AE381" t="s">
        <v>883</v>
      </c>
      <c r="AF381" s="4" t="s">
        <v>80</v>
      </c>
      <c r="AG381" s="4">
        <v>12508</v>
      </c>
      <c r="AJ381" t="s">
        <v>883</v>
      </c>
      <c r="AK381" t="s">
        <v>56</v>
      </c>
      <c r="AL381" t="s">
        <v>941</v>
      </c>
      <c r="AM381">
        <v>7</v>
      </c>
      <c r="AN381">
        <v>0</v>
      </c>
      <c r="AO381">
        <v>8</v>
      </c>
      <c r="AP381">
        <v>0</v>
      </c>
      <c r="AQ381" s="5">
        <v>1881</v>
      </c>
      <c r="AR381">
        <v>16</v>
      </c>
      <c r="AS381">
        <v>0</v>
      </c>
      <c r="AT381">
        <v>17</v>
      </c>
      <c r="AU381">
        <v>0</v>
      </c>
      <c r="AV381" s="5">
        <v>2075</v>
      </c>
      <c r="AW381" t="s">
        <v>56</v>
      </c>
      <c r="AX381" s="6">
        <v>26326</v>
      </c>
      <c r="AY381" t="s">
        <v>883</v>
      </c>
      <c r="AZ381" t="s">
        <v>56</v>
      </c>
    </row>
    <row r="382" spans="1:52" hidden="1" x14ac:dyDescent="0.45">
      <c r="A382">
        <v>497737.97565676499</v>
      </c>
      <c r="B382">
        <v>6917013.4993667202</v>
      </c>
      <c r="C382">
        <v>381</v>
      </c>
      <c r="D382" t="s">
        <v>942</v>
      </c>
      <c r="E382" t="s">
        <v>751</v>
      </c>
      <c r="F382" t="s">
        <v>943</v>
      </c>
      <c r="G382" t="s">
        <v>805</v>
      </c>
      <c r="H382" s="3">
        <v>63</v>
      </c>
      <c r="I382">
        <v>2</v>
      </c>
      <c r="J382" t="s">
        <v>56</v>
      </c>
      <c r="K382">
        <v>42</v>
      </c>
      <c r="L382">
        <v>52.6</v>
      </c>
      <c r="M382">
        <v>1</v>
      </c>
      <c r="N382" t="s">
        <v>56</v>
      </c>
      <c r="O382" t="s">
        <v>805</v>
      </c>
      <c r="P382">
        <v>67.400000000000006</v>
      </c>
      <c r="Q382">
        <v>2.7</v>
      </c>
      <c r="R382">
        <v>24.4</v>
      </c>
      <c r="S382">
        <v>1.4</v>
      </c>
      <c r="T382">
        <v>0.6</v>
      </c>
      <c r="U382">
        <v>0</v>
      </c>
      <c r="V382">
        <v>2.2999999999999998</v>
      </c>
      <c r="W382">
        <v>0</v>
      </c>
      <c r="X382">
        <v>0.6</v>
      </c>
      <c r="Y382">
        <v>0</v>
      </c>
      <c r="Z382">
        <v>0</v>
      </c>
      <c r="AA382">
        <v>0</v>
      </c>
      <c r="AB382">
        <v>0.6</v>
      </c>
      <c r="AC382" t="s">
        <v>805</v>
      </c>
      <c r="AD382">
        <v>60</v>
      </c>
      <c r="AE382" t="s">
        <v>805</v>
      </c>
      <c r="AF382" s="4" t="s">
        <v>80</v>
      </c>
      <c r="AG382" s="4">
        <v>33</v>
      </c>
      <c r="AH382" s="4" t="s">
        <v>81</v>
      </c>
      <c r="AI382" s="4">
        <v>30</v>
      </c>
      <c r="AJ382" t="s">
        <v>805</v>
      </c>
      <c r="AK382" t="s">
        <v>56</v>
      </c>
      <c r="AL382" t="s">
        <v>943</v>
      </c>
      <c r="AM382">
        <v>10</v>
      </c>
      <c r="AN382">
        <v>0</v>
      </c>
      <c r="AO382">
        <v>11</v>
      </c>
      <c r="AP382">
        <v>0</v>
      </c>
      <c r="AQ382" s="5">
        <v>11</v>
      </c>
      <c r="AR382">
        <v>16</v>
      </c>
      <c r="AS382">
        <v>0</v>
      </c>
      <c r="AT382">
        <v>17</v>
      </c>
      <c r="AU382">
        <v>0</v>
      </c>
      <c r="AV382" s="5">
        <v>12</v>
      </c>
      <c r="AW382" t="s">
        <v>56</v>
      </c>
      <c r="AX382" s="6">
        <v>64</v>
      </c>
      <c r="AY382" t="s">
        <v>805</v>
      </c>
      <c r="AZ382" t="s">
        <v>56</v>
      </c>
    </row>
    <row r="383" spans="1:52" hidden="1" x14ac:dyDescent="0.45">
      <c r="A383">
        <v>510762.90241665498</v>
      </c>
      <c r="B383">
        <v>6943653.7356924303</v>
      </c>
      <c r="C383">
        <v>382</v>
      </c>
      <c r="D383" t="s">
        <v>944</v>
      </c>
      <c r="E383" t="s">
        <v>83</v>
      </c>
      <c r="F383" t="s">
        <v>945</v>
      </c>
      <c r="G383" t="s">
        <v>883</v>
      </c>
      <c r="H383" s="3">
        <v>10983</v>
      </c>
      <c r="I383">
        <v>2</v>
      </c>
      <c r="J383" t="s">
        <v>56</v>
      </c>
      <c r="K383">
        <v>51.9</v>
      </c>
      <c r="L383">
        <v>58.7</v>
      </c>
      <c r="M383">
        <v>1</v>
      </c>
      <c r="N383" t="s">
        <v>56</v>
      </c>
      <c r="O383" t="s">
        <v>883</v>
      </c>
      <c r="P383">
        <v>86.7</v>
      </c>
      <c r="Q383">
        <v>0.6</v>
      </c>
      <c r="R383">
        <v>11.9</v>
      </c>
      <c r="S383">
        <v>0.4</v>
      </c>
      <c r="T383">
        <v>0.1</v>
      </c>
      <c r="U383">
        <v>0</v>
      </c>
      <c r="V383">
        <v>0.2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0.1</v>
      </c>
      <c r="AC383" t="s">
        <v>883</v>
      </c>
      <c r="AD383">
        <v>60</v>
      </c>
      <c r="AE383" t="s">
        <v>883</v>
      </c>
      <c r="AF383" s="4" t="s">
        <v>80</v>
      </c>
      <c r="AG383" s="4">
        <v>5134</v>
      </c>
      <c r="AH383" s="4" t="s">
        <v>81</v>
      </c>
      <c r="AI383" s="4">
        <v>5849</v>
      </c>
      <c r="AJ383" t="s">
        <v>883</v>
      </c>
      <c r="AK383" t="s">
        <v>56</v>
      </c>
      <c r="AL383" t="s">
        <v>945</v>
      </c>
      <c r="AM383">
        <v>8</v>
      </c>
      <c r="AN383">
        <v>0</v>
      </c>
      <c r="AO383">
        <v>9</v>
      </c>
      <c r="AP383">
        <v>0</v>
      </c>
      <c r="AQ383" s="5">
        <v>868</v>
      </c>
      <c r="AR383">
        <v>15</v>
      </c>
      <c r="AS383">
        <v>0</v>
      </c>
      <c r="AT383">
        <v>16</v>
      </c>
      <c r="AU383">
        <v>0</v>
      </c>
      <c r="AV383" s="5">
        <v>987</v>
      </c>
      <c r="AW383" t="s">
        <v>56</v>
      </c>
      <c r="AX383" s="6">
        <v>11536</v>
      </c>
      <c r="AY383" t="s">
        <v>883</v>
      </c>
      <c r="AZ383" t="s">
        <v>56</v>
      </c>
    </row>
    <row r="384" spans="1:52" hidden="1" x14ac:dyDescent="0.45">
      <c r="A384">
        <v>511563.29905174999</v>
      </c>
      <c r="B384">
        <v>6940541.2612987496</v>
      </c>
      <c r="C384">
        <v>383</v>
      </c>
      <c r="D384" t="s">
        <v>946</v>
      </c>
      <c r="E384" t="s">
        <v>140</v>
      </c>
      <c r="F384" t="s">
        <v>947</v>
      </c>
      <c r="G384" t="s">
        <v>812</v>
      </c>
      <c r="H384" s="3">
        <v>3370</v>
      </c>
      <c r="I384">
        <v>2</v>
      </c>
      <c r="J384" t="s">
        <v>56</v>
      </c>
      <c r="K384">
        <v>39.799999999999997</v>
      </c>
      <c r="L384">
        <v>48.2</v>
      </c>
      <c r="M384">
        <v>1</v>
      </c>
      <c r="N384" t="s">
        <v>56</v>
      </c>
      <c r="O384" t="s">
        <v>812</v>
      </c>
      <c r="P384">
        <v>87.2</v>
      </c>
      <c r="Q384">
        <v>0.7</v>
      </c>
      <c r="R384">
        <v>9.6999999999999993</v>
      </c>
      <c r="S384">
        <v>1.4</v>
      </c>
      <c r="T384">
        <v>0.1</v>
      </c>
      <c r="U384">
        <v>0</v>
      </c>
      <c r="V384">
        <v>0.1</v>
      </c>
      <c r="W384">
        <v>0.1</v>
      </c>
      <c r="X384">
        <v>0</v>
      </c>
      <c r="Y384">
        <v>0</v>
      </c>
      <c r="Z384">
        <v>0</v>
      </c>
      <c r="AA384">
        <v>0</v>
      </c>
      <c r="AB384">
        <v>0.7</v>
      </c>
      <c r="AC384" t="s">
        <v>812</v>
      </c>
      <c r="AD384">
        <v>60</v>
      </c>
      <c r="AE384" t="s">
        <v>812</v>
      </c>
      <c r="AF384" s="4" t="s">
        <v>80</v>
      </c>
      <c r="AG384" s="4">
        <v>3370</v>
      </c>
      <c r="AJ384" t="s">
        <v>812</v>
      </c>
      <c r="AK384" t="s">
        <v>56</v>
      </c>
      <c r="AL384" t="s">
        <v>947</v>
      </c>
      <c r="AM384">
        <v>8</v>
      </c>
      <c r="AN384">
        <v>0</v>
      </c>
      <c r="AO384">
        <v>9</v>
      </c>
      <c r="AP384">
        <v>0</v>
      </c>
      <c r="AQ384" s="5">
        <v>399</v>
      </c>
      <c r="AR384">
        <v>15</v>
      </c>
      <c r="AS384">
        <v>0</v>
      </c>
      <c r="AT384">
        <v>16</v>
      </c>
      <c r="AU384">
        <v>0</v>
      </c>
      <c r="AV384" s="5">
        <v>328</v>
      </c>
      <c r="AW384" t="s">
        <v>56</v>
      </c>
      <c r="AX384" s="6">
        <v>3828</v>
      </c>
      <c r="AY384" t="s">
        <v>812</v>
      </c>
      <c r="AZ384" t="s">
        <v>56</v>
      </c>
    </row>
    <row r="385" spans="1:52" hidden="1" x14ac:dyDescent="0.45">
      <c r="A385">
        <v>515958.35163601802</v>
      </c>
      <c r="B385">
        <v>6939926.1712357504</v>
      </c>
      <c r="C385">
        <v>384</v>
      </c>
      <c r="D385" t="s">
        <v>869</v>
      </c>
      <c r="E385" t="s">
        <v>420</v>
      </c>
      <c r="F385" t="s">
        <v>948</v>
      </c>
      <c r="G385" t="s">
        <v>886</v>
      </c>
      <c r="H385" s="3">
        <v>310</v>
      </c>
      <c r="I385">
        <v>2</v>
      </c>
      <c r="J385" t="s">
        <v>56</v>
      </c>
      <c r="K385">
        <v>48.7</v>
      </c>
      <c r="L385">
        <v>56.2</v>
      </c>
      <c r="M385">
        <v>1</v>
      </c>
      <c r="N385" t="s">
        <v>56</v>
      </c>
      <c r="O385" t="s">
        <v>886</v>
      </c>
      <c r="P385">
        <v>75.099999999999994</v>
      </c>
      <c r="Q385">
        <v>0.9</v>
      </c>
      <c r="R385">
        <v>19.5</v>
      </c>
      <c r="S385">
        <v>2.2000000000000002</v>
      </c>
      <c r="T385">
        <v>0.3</v>
      </c>
      <c r="U385">
        <v>0</v>
      </c>
      <c r="V385">
        <v>0.8</v>
      </c>
      <c r="W385">
        <v>0.4</v>
      </c>
      <c r="X385">
        <v>0</v>
      </c>
      <c r="Y385">
        <v>0.1</v>
      </c>
      <c r="Z385">
        <v>0</v>
      </c>
      <c r="AA385">
        <v>0.1</v>
      </c>
      <c r="AB385">
        <v>0.6</v>
      </c>
      <c r="AC385" t="s">
        <v>886</v>
      </c>
      <c r="AD385">
        <v>50</v>
      </c>
      <c r="AE385" t="s">
        <v>886</v>
      </c>
      <c r="AF385" s="4" t="s">
        <v>80</v>
      </c>
      <c r="AG385" s="4">
        <v>147</v>
      </c>
      <c r="AH385" s="4" t="s">
        <v>81</v>
      </c>
      <c r="AI385" s="4">
        <v>163</v>
      </c>
      <c r="AJ385" t="s">
        <v>886</v>
      </c>
      <c r="AK385" t="s">
        <v>56</v>
      </c>
      <c r="AL385" t="s">
        <v>948</v>
      </c>
      <c r="AM385">
        <v>9</v>
      </c>
      <c r="AN385">
        <v>0</v>
      </c>
      <c r="AO385">
        <v>10</v>
      </c>
      <c r="AP385">
        <v>0</v>
      </c>
      <c r="AQ385" s="5">
        <v>33</v>
      </c>
      <c r="AR385">
        <v>12</v>
      </c>
      <c r="AS385">
        <v>0</v>
      </c>
      <c r="AT385">
        <v>13</v>
      </c>
      <c r="AU385">
        <v>0</v>
      </c>
      <c r="AV385" s="5">
        <v>32</v>
      </c>
      <c r="AW385" t="s">
        <v>56</v>
      </c>
      <c r="AX385" s="6">
        <v>310</v>
      </c>
      <c r="AY385" t="s">
        <v>886</v>
      </c>
      <c r="AZ385" t="s">
        <v>56</v>
      </c>
    </row>
    <row r="386" spans="1:52" hidden="1" x14ac:dyDescent="0.45">
      <c r="A386">
        <v>521741.60489346198</v>
      </c>
      <c r="B386">
        <v>6940775.0208537597</v>
      </c>
      <c r="C386">
        <v>385</v>
      </c>
      <c r="D386" t="s">
        <v>949</v>
      </c>
      <c r="E386" t="s">
        <v>950</v>
      </c>
      <c r="F386" t="s">
        <v>951</v>
      </c>
      <c r="G386" t="s">
        <v>886</v>
      </c>
      <c r="H386" s="3">
        <v>1837</v>
      </c>
      <c r="I386">
        <v>2</v>
      </c>
      <c r="J386" t="s">
        <v>56</v>
      </c>
      <c r="K386">
        <v>51.8</v>
      </c>
      <c r="L386">
        <v>58.3</v>
      </c>
      <c r="M386">
        <v>1</v>
      </c>
      <c r="N386" t="s">
        <v>56</v>
      </c>
      <c r="O386" t="s">
        <v>886</v>
      </c>
      <c r="P386">
        <v>71.7</v>
      </c>
      <c r="Q386">
        <v>0.8</v>
      </c>
      <c r="R386">
        <v>24.8</v>
      </c>
      <c r="S386">
        <v>1.4</v>
      </c>
      <c r="T386">
        <v>0.4</v>
      </c>
      <c r="U386">
        <v>0</v>
      </c>
      <c r="V386">
        <v>0.4</v>
      </c>
      <c r="W386">
        <v>0.1</v>
      </c>
      <c r="X386">
        <v>0</v>
      </c>
      <c r="Y386">
        <v>0</v>
      </c>
      <c r="Z386">
        <v>0</v>
      </c>
      <c r="AA386">
        <v>0</v>
      </c>
      <c r="AB386">
        <v>0.4</v>
      </c>
      <c r="AC386" t="s">
        <v>886</v>
      </c>
      <c r="AD386">
        <v>60</v>
      </c>
      <c r="AE386" t="s">
        <v>886</v>
      </c>
      <c r="AF386" s="4" t="s">
        <v>80</v>
      </c>
      <c r="AG386" s="4">
        <v>977</v>
      </c>
      <c r="AH386" s="4" t="s">
        <v>81</v>
      </c>
      <c r="AI386" s="4">
        <v>860</v>
      </c>
      <c r="AJ386" t="s">
        <v>886</v>
      </c>
      <c r="AK386" t="s">
        <v>56</v>
      </c>
      <c r="AL386" t="s">
        <v>951</v>
      </c>
      <c r="AM386">
        <v>7</v>
      </c>
      <c r="AN386">
        <v>0</v>
      </c>
      <c r="AO386">
        <v>8</v>
      </c>
      <c r="AP386">
        <v>0</v>
      </c>
      <c r="AQ386" s="5">
        <v>194</v>
      </c>
      <c r="AR386">
        <v>16</v>
      </c>
      <c r="AS386">
        <v>0</v>
      </c>
      <c r="AT386">
        <v>17</v>
      </c>
      <c r="AU386">
        <v>0</v>
      </c>
      <c r="AV386" s="5">
        <v>217</v>
      </c>
      <c r="AW386" t="s">
        <v>56</v>
      </c>
      <c r="AX386" s="6">
        <v>1977</v>
      </c>
      <c r="AY386" t="s">
        <v>886</v>
      </c>
      <c r="AZ386" t="s">
        <v>56</v>
      </c>
    </row>
    <row r="387" spans="1:52" hidden="1" x14ac:dyDescent="0.45">
      <c r="A387">
        <v>518197.69311447802</v>
      </c>
      <c r="B387">
        <v>6938111.2675133403</v>
      </c>
      <c r="C387">
        <v>386</v>
      </c>
      <c r="D387" t="s">
        <v>952</v>
      </c>
      <c r="E387" t="s">
        <v>705</v>
      </c>
      <c r="F387" t="s">
        <v>953</v>
      </c>
      <c r="G387" t="s">
        <v>875</v>
      </c>
      <c r="H387" s="3">
        <v>1091</v>
      </c>
      <c r="I387">
        <v>2</v>
      </c>
      <c r="J387" t="s">
        <v>56</v>
      </c>
      <c r="K387">
        <v>20.6</v>
      </c>
      <c r="L387">
        <v>57.6</v>
      </c>
      <c r="M387">
        <v>1</v>
      </c>
      <c r="N387" t="s">
        <v>56</v>
      </c>
      <c r="O387" t="s">
        <v>875</v>
      </c>
      <c r="P387">
        <v>82.3</v>
      </c>
      <c r="Q387">
        <v>1.6</v>
      </c>
      <c r="R387">
        <v>15.4</v>
      </c>
      <c r="S387">
        <v>0.2</v>
      </c>
      <c r="T387">
        <v>0</v>
      </c>
      <c r="U387">
        <v>0</v>
      </c>
      <c r="V387">
        <v>0.3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0.2</v>
      </c>
      <c r="AC387" t="s">
        <v>875</v>
      </c>
      <c r="AD387">
        <v>50</v>
      </c>
      <c r="AE387" t="s">
        <v>875</v>
      </c>
      <c r="AF387" s="4" t="s">
        <v>57</v>
      </c>
      <c r="AG387" s="4">
        <v>623</v>
      </c>
      <c r="AH387" s="4" t="s">
        <v>58</v>
      </c>
      <c r="AI387" s="4">
        <v>468</v>
      </c>
      <c r="AJ387" t="s">
        <v>875</v>
      </c>
      <c r="AK387" t="s">
        <v>56</v>
      </c>
      <c r="AL387" t="s">
        <v>953</v>
      </c>
      <c r="AM387">
        <v>11</v>
      </c>
      <c r="AN387">
        <v>0</v>
      </c>
      <c r="AO387">
        <v>12</v>
      </c>
      <c r="AP387">
        <v>0</v>
      </c>
      <c r="AQ387" s="5">
        <v>99</v>
      </c>
      <c r="AR387">
        <v>12</v>
      </c>
      <c r="AS387">
        <v>0</v>
      </c>
      <c r="AT387">
        <v>13</v>
      </c>
      <c r="AU387">
        <v>0</v>
      </c>
      <c r="AV387" s="5">
        <v>106</v>
      </c>
      <c r="AW387" t="s">
        <v>56</v>
      </c>
      <c r="AX387" s="6">
        <v>1120</v>
      </c>
      <c r="AY387" t="s">
        <v>875</v>
      </c>
      <c r="AZ387" t="s">
        <v>56</v>
      </c>
    </row>
    <row r="388" spans="1:52" hidden="1" x14ac:dyDescent="0.45">
      <c r="A388">
        <v>516737.887612605</v>
      </c>
      <c r="B388">
        <v>6942293.6094948798</v>
      </c>
      <c r="C388">
        <v>387</v>
      </c>
      <c r="D388" t="s">
        <v>954</v>
      </c>
      <c r="E388" t="s">
        <v>472</v>
      </c>
      <c r="F388" t="s">
        <v>955</v>
      </c>
      <c r="G388" t="s">
        <v>886</v>
      </c>
      <c r="H388" s="3">
        <v>6483</v>
      </c>
      <c r="I388">
        <v>2</v>
      </c>
      <c r="J388" t="s">
        <v>56</v>
      </c>
      <c r="K388">
        <v>56</v>
      </c>
      <c r="L388">
        <v>61.2</v>
      </c>
      <c r="M388">
        <v>1</v>
      </c>
      <c r="N388" t="s">
        <v>56</v>
      </c>
      <c r="O388" t="s">
        <v>886</v>
      </c>
      <c r="P388">
        <v>86.2</v>
      </c>
      <c r="Q388">
        <v>0.7</v>
      </c>
      <c r="R388">
        <v>12.3</v>
      </c>
      <c r="S388">
        <v>0.3</v>
      </c>
      <c r="T388">
        <v>0</v>
      </c>
      <c r="U388">
        <v>0</v>
      </c>
      <c r="V388">
        <v>0.2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0.3</v>
      </c>
      <c r="AC388" t="s">
        <v>886</v>
      </c>
      <c r="AE388" t="s">
        <v>886</v>
      </c>
      <c r="AF388" s="4" t="s">
        <v>57</v>
      </c>
      <c r="AG388" s="4">
        <v>2945</v>
      </c>
      <c r="AH388" s="4" t="s">
        <v>58</v>
      </c>
      <c r="AI388" s="4">
        <v>3538</v>
      </c>
      <c r="AJ388" t="s">
        <v>886</v>
      </c>
      <c r="AK388" t="s">
        <v>56</v>
      </c>
      <c r="AL388" t="s">
        <v>955</v>
      </c>
      <c r="AM388">
        <v>8</v>
      </c>
      <c r="AN388">
        <v>0</v>
      </c>
      <c r="AO388">
        <v>9</v>
      </c>
      <c r="AP388">
        <v>0</v>
      </c>
      <c r="AQ388" s="5">
        <v>841</v>
      </c>
      <c r="AR388">
        <v>15</v>
      </c>
      <c r="AS388">
        <v>0</v>
      </c>
      <c r="AT388">
        <v>16</v>
      </c>
      <c r="AU388">
        <v>0</v>
      </c>
      <c r="AV388" s="5">
        <v>831</v>
      </c>
      <c r="AW388" t="s">
        <v>56</v>
      </c>
      <c r="AX388" s="6">
        <v>7046</v>
      </c>
      <c r="AY388" t="s">
        <v>886</v>
      </c>
      <c r="AZ388" t="s">
        <v>56</v>
      </c>
    </row>
    <row r="389" spans="1:52" hidden="1" x14ac:dyDescent="0.45">
      <c r="A389">
        <v>511529.21417004499</v>
      </c>
      <c r="B389">
        <v>6941522.2710907403</v>
      </c>
      <c r="C389">
        <v>388</v>
      </c>
      <c r="D389" t="s">
        <v>956</v>
      </c>
      <c r="E389" t="s">
        <v>140</v>
      </c>
      <c r="F389" t="s">
        <v>957</v>
      </c>
      <c r="G389" t="s">
        <v>886</v>
      </c>
      <c r="H389" s="3">
        <v>2136</v>
      </c>
      <c r="I389">
        <v>2</v>
      </c>
      <c r="J389" t="s">
        <v>56</v>
      </c>
      <c r="K389">
        <v>51.5</v>
      </c>
      <c r="L389">
        <v>59</v>
      </c>
      <c r="M389">
        <v>1</v>
      </c>
      <c r="N389" t="s">
        <v>56</v>
      </c>
      <c r="O389" t="s">
        <v>886</v>
      </c>
      <c r="P389">
        <v>89.4</v>
      </c>
      <c r="Q389">
        <v>0.6</v>
      </c>
      <c r="R389">
        <v>9.4</v>
      </c>
      <c r="S389">
        <v>0.3</v>
      </c>
      <c r="T389">
        <v>0.1</v>
      </c>
      <c r="U389">
        <v>0</v>
      </c>
      <c r="V389">
        <v>0.1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0.1</v>
      </c>
      <c r="AC389" t="s">
        <v>886</v>
      </c>
      <c r="AD389">
        <v>50</v>
      </c>
      <c r="AE389" t="s">
        <v>886</v>
      </c>
      <c r="AF389" s="4" t="s">
        <v>57</v>
      </c>
      <c r="AG389" s="4">
        <v>1142</v>
      </c>
      <c r="AH389" s="4" t="s">
        <v>58</v>
      </c>
      <c r="AI389" s="4">
        <v>994</v>
      </c>
      <c r="AJ389" t="s">
        <v>886</v>
      </c>
      <c r="AK389" t="s">
        <v>56</v>
      </c>
      <c r="AL389" t="s">
        <v>957</v>
      </c>
      <c r="AM389">
        <v>8</v>
      </c>
      <c r="AN389">
        <v>0</v>
      </c>
      <c r="AO389">
        <v>9</v>
      </c>
      <c r="AP389">
        <v>0</v>
      </c>
      <c r="AQ389" s="5">
        <v>169</v>
      </c>
      <c r="AR389">
        <v>17</v>
      </c>
      <c r="AS389">
        <v>0</v>
      </c>
      <c r="AT389">
        <v>18</v>
      </c>
      <c r="AU389">
        <v>0</v>
      </c>
      <c r="AV389" s="5">
        <v>216</v>
      </c>
      <c r="AW389" t="s">
        <v>56</v>
      </c>
      <c r="AX389" s="6">
        <v>2236</v>
      </c>
      <c r="AY389" t="s">
        <v>886</v>
      </c>
      <c r="AZ389" t="s">
        <v>56</v>
      </c>
    </row>
    <row r="390" spans="1:52" hidden="1" x14ac:dyDescent="0.45">
      <c r="A390">
        <v>513334.54526073998</v>
      </c>
      <c r="B390">
        <v>6927026.0601205202</v>
      </c>
      <c r="C390">
        <v>389</v>
      </c>
      <c r="D390" t="s">
        <v>495</v>
      </c>
      <c r="E390" t="s">
        <v>958</v>
      </c>
      <c r="F390" t="s">
        <v>959</v>
      </c>
      <c r="G390" t="s">
        <v>805</v>
      </c>
      <c r="H390" s="3">
        <v>2340</v>
      </c>
      <c r="I390">
        <v>2</v>
      </c>
      <c r="J390" t="s">
        <v>56</v>
      </c>
      <c r="K390">
        <v>80.599999999999994</v>
      </c>
      <c r="L390">
        <v>90</v>
      </c>
      <c r="M390">
        <v>1</v>
      </c>
      <c r="N390" t="s">
        <v>56</v>
      </c>
      <c r="O390" t="s">
        <v>805</v>
      </c>
      <c r="P390">
        <v>71.3</v>
      </c>
      <c r="Q390">
        <v>1.6</v>
      </c>
      <c r="R390">
        <v>23.1</v>
      </c>
      <c r="S390">
        <v>1</v>
      </c>
      <c r="T390">
        <v>0.3</v>
      </c>
      <c r="U390">
        <v>0.1</v>
      </c>
      <c r="V390">
        <v>1.4</v>
      </c>
      <c r="W390">
        <v>0.1</v>
      </c>
      <c r="X390">
        <v>0.3</v>
      </c>
      <c r="Y390">
        <v>0.2</v>
      </c>
      <c r="Z390">
        <v>0.1</v>
      </c>
      <c r="AA390">
        <v>0</v>
      </c>
      <c r="AB390">
        <v>0.5</v>
      </c>
      <c r="AC390" t="s">
        <v>805</v>
      </c>
      <c r="AD390">
        <v>80</v>
      </c>
      <c r="AE390" t="s">
        <v>805</v>
      </c>
      <c r="AF390" s="4" t="s">
        <v>80</v>
      </c>
      <c r="AG390" s="4">
        <v>1180</v>
      </c>
      <c r="AH390" s="4" t="s">
        <v>81</v>
      </c>
      <c r="AI390" s="4">
        <v>1160</v>
      </c>
      <c r="AJ390" t="s">
        <v>805</v>
      </c>
      <c r="AK390" t="s">
        <v>56</v>
      </c>
      <c r="AL390" t="s">
        <v>959</v>
      </c>
      <c r="AM390">
        <v>8</v>
      </c>
      <c r="AN390">
        <v>0</v>
      </c>
      <c r="AO390">
        <v>9</v>
      </c>
      <c r="AP390">
        <v>0</v>
      </c>
      <c r="AQ390" s="5">
        <v>181</v>
      </c>
      <c r="AR390">
        <v>17</v>
      </c>
      <c r="AS390">
        <v>0</v>
      </c>
      <c r="AT390">
        <v>18</v>
      </c>
      <c r="AU390">
        <v>0</v>
      </c>
      <c r="AV390" s="5">
        <v>256</v>
      </c>
      <c r="AW390" t="s">
        <v>56</v>
      </c>
      <c r="AX390" s="6">
        <v>2466</v>
      </c>
      <c r="AY390" t="s">
        <v>805</v>
      </c>
      <c r="AZ390" t="s">
        <v>56</v>
      </c>
    </row>
    <row r="391" spans="1:52" hidden="1" x14ac:dyDescent="0.45">
      <c r="A391">
        <v>507003.54783548298</v>
      </c>
      <c r="B391">
        <v>6932025.5014593396</v>
      </c>
      <c r="C391">
        <v>390</v>
      </c>
      <c r="D391" t="s">
        <v>960</v>
      </c>
      <c r="E391" t="s">
        <v>961</v>
      </c>
      <c r="F391" t="s">
        <v>962</v>
      </c>
      <c r="G391" t="s">
        <v>875</v>
      </c>
      <c r="H391" s="3">
        <v>705</v>
      </c>
      <c r="I391">
        <v>2</v>
      </c>
      <c r="J391" t="s">
        <v>56</v>
      </c>
      <c r="K391">
        <v>58</v>
      </c>
      <c r="L391">
        <v>75.599999999999994</v>
      </c>
      <c r="M391">
        <v>1</v>
      </c>
      <c r="N391" t="s">
        <v>56</v>
      </c>
      <c r="O391" t="s">
        <v>875</v>
      </c>
      <c r="P391">
        <v>63.3</v>
      </c>
      <c r="Q391">
        <v>1</v>
      </c>
      <c r="R391">
        <v>32.799999999999997</v>
      </c>
      <c r="S391">
        <v>0.9</v>
      </c>
      <c r="T391">
        <v>0.1</v>
      </c>
      <c r="U391">
        <v>0</v>
      </c>
      <c r="V391">
        <v>1.3</v>
      </c>
      <c r="W391">
        <v>0.1</v>
      </c>
      <c r="X391">
        <v>0.1</v>
      </c>
      <c r="Y391">
        <v>0</v>
      </c>
      <c r="Z391">
        <v>0</v>
      </c>
      <c r="AA391">
        <v>0</v>
      </c>
      <c r="AB391">
        <v>0.4</v>
      </c>
      <c r="AC391" t="s">
        <v>875</v>
      </c>
      <c r="AD391">
        <v>80</v>
      </c>
      <c r="AE391" t="s">
        <v>875</v>
      </c>
      <c r="AF391" s="4" t="s">
        <v>80</v>
      </c>
      <c r="AG391" s="4">
        <v>353</v>
      </c>
      <c r="AH391" s="4" t="s">
        <v>81</v>
      </c>
      <c r="AI391" s="4">
        <v>352</v>
      </c>
      <c r="AJ391" t="s">
        <v>875</v>
      </c>
      <c r="AK391" t="s">
        <v>56</v>
      </c>
      <c r="AL391" t="s">
        <v>962</v>
      </c>
      <c r="AM391">
        <v>8</v>
      </c>
      <c r="AN391">
        <v>0</v>
      </c>
      <c r="AO391">
        <v>9</v>
      </c>
      <c r="AP391">
        <v>0</v>
      </c>
      <c r="AQ391" s="5">
        <v>46</v>
      </c>
      <c r="AR391">
        <v>16</v>
      </c>
      <c r="AS391">
        <v>0</v>
      </c>
      <c r="AT391">
        <v>17</v>
      </c>
      <c r="AU391">
        <v>0</v>
      </c>
      <c r="AV391" s="5">
        <v>76</v>
      </c>
      <c r="AW391" t="s">
        <v>56</v>
      </c>
      <c r="AX391" s="6">
        <v>714</v>
      </c>
      <c r="AY391" t="s">
        <v>875</v>
      </c>
      <c r="AZ391" t="s">
        <v>56</v>
      </c>
    </row>
    <row r="392" spans="1:52" hidden="1" x14ac:dyDescent="0.45">
      <c r="A392">
        <v>512703.621224717</v>
      </c>
      <c r="B392">
        <v>6936629.7145739896</v>
      </c>
      <c r="C392">
        <v>391</v>
      </c>
      <c r="D392" t="s">
        <v>963</v>
      </c>
      <c r="E392" t="s">
        <v>964</v>
      </c>
      <c r="F392" t="s">
        <v>965</v>
      </c>
      <c r="G392" t="s">
        <v>886</v>
      </c>
      <c r="H392" s="3">
        <v>1086</v>
      </c>
      <c r="I392">
        <v>2</v>
      </c>
      <c r="J392" t="s">
        <v>56</v>
      </c>
      <c r="K392">
        <v>56.1</v>
      </c>
      <c r="L392">
        <v>64.099999999999994</v>
      </c>
      <c r="M392">
        <v>1</v>
      </c>
      <c r="N392" t="s">
        <v>56</v>
      </c>
      <c r="O392" t="s">
        <v>886</v>
      </c>
      <c r="P392">
        <v>88.3</v>
      </c>
      <c r="Q392">
        <v>1</v>
      </c>
      <c r="R392">
        <v>8.5</v>
      </c>
      <c r="S392">
        <v>1.7</v>
      </c>
      <c r="T392">
        <v>0</v>
      </c>
      <c r="U392">
        <v>0</v>
      </c>
      <c r="V392">
        <v>0.3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0.2</v>
      </c>
      <c r="AC392" t="s">
        <v>886</v>
      </c>
      <c r="AD392">
        <v>60</v>
      </c>
      <c r="AE392" t="s">
        <v>886</v>
      </c>
      <c r="AF392" s="4" t="s">
        <v>80</v>
      </c>
      <c r="AG392" s="4">
        <v>463</v>
      </c>
      <c r="AH392" s="4" t="s">
        <v>81</v>
      </c>
      <c r="AI392" s="4">
        <v>623</v>
      </c>
      <c r="AJ392" t="s">
        <v>886</v>
      </c>
      <c r="AK392" t="s">
        <v>56</v>
      </c>
      <c r="AL392" t="s">
        <v>965</v>
      </c>
      <c r="AM392">
        <v>8</v>
      </c>
      <c r="AN392">
        <v>0</v>
      </c>
      <c r="AO392">
        <v>9</v>
      </c>
      <c r="AP392">
        <v>0</v>
      </c>
      <c r="AQ392" s="5">
        <v>102</v>
      </c>
      <c r="AR392">
        <v>15</v>
      </c>
      <c r="AS392">
        <v>0</v>
      </c>
      <c r="AT392">
        <v>16</v>
      </c>
      <c r="AU392">
        <v>0</v>
      </c>
      <c r="AV392" s="5">
        <v>122</v>
      </c>
      <c r="AW392" t="s">
        <v>56</v>
      </c>
      <c r="AX392" s="6">
        <v>1110</v>
      </c>
      <c r="AY392" t="s">
        <v>886</v>
      </c>
      <c r="AZ392" t="s">
        <v>56</v>
      </c>
    </row>
    <row r="393" spans="1:52" hidden="1" x14ac:dyDescent="0.45">
      <c r="A393">
        <v>516193.79573186999</v>
      </c>
      <c r="B393">
        <v>6931732.8096001297</v>
      </c>
      <c r="C393">
        <v>392</v>
      </c>
      <c r="D393" t="s">
        <v>966</v>
      </c>
      <c r="E393" t="s">
        <v>967</v>
      </c>
      <c r="F393" t="s">
        <v>968</v>
      </c>
      <c r="G393" t="s">
        <v>886</v>
      </c>
      <c r="H393" s="3">
        <v>128</v>
      </c>
      <c r="I393">
        <v>2</v>
      </c>
      <c r="J393" t="s">
        <v>56</v>
      </c>
      <c r="K393">
        <v>60.2</v>
      </c>
      <c r="L393">
        <v>70.599999999999994</v>
      </c>
      <c r="M393">
        <v>1</v>
      </c>
      <c r="N393" t="s">
        <v>56</v>
      </c>
      <c r="O393" t="s">
        <v>886</v>
      </c>
      <c r="P393">
        <v>64.400000000000006</v>
      </c>
      <c r="Q393">
        <v>1.2</v>
      </c>
      <c r="R393">
        <v>26.4</v>
      </c>
      <c r="S393">
        <v>7.1</v>
      </c>
      <c r="T393">
        <v>0.2</v>
      </c>
      <c r="U393">
        <v>0</v>
      </c>
      <c r="V393">
        <v>0.6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0.1</v>
      </c>
      <c r="AC393" t="s">
        <v>886</v>
      </c>
      <c r="AD393">
        <v>60</v>
      </c>
      <c r="AE393" t="s">
        <v>886</v>
      </c>
      <c r="AF393" s="4" t="s">
        <v>57</v>
      </c>
      <c r="AG393" s="4">
        <v>64</v>
      </c>
      <c r="AH393" s="4" t="s">
        <v>81</v>
      </c>
      <c r="AI393" s="4">
        <v>64</v>
      </c>
      <c r="AJ393" t="s">
        <v>886</v>
      </c>
      <c r="AK393" t="s">
        <v>56</v>
      </c>
      <c r="AL393" t="s">
        <v>968</v>
      </c>
      <c r="AM393">
        <v>9</v>
      </c>
      <c r="AN393">
        <v>0</v>
      </c>
      <c r="AO393">
        <v>10</v>
      </c>
      <c r="AP393">
        <v>0</v>
      </c>
      <c r="AQ393" s="5">
        <v>19</v>
      </c>
      <c r="AR393">
        <v>16</v>
      </c>
      <c r="AS393">
        <v>0</v>
      </c>
      <c r="AT393">
        <v>17</v>
      </c>
      <c r="AU393">
        <v>0</v>
      </c>
      <c r="AV393" s="5">
        <v>19</v>
      </c>
      <c r="AW393" t="s">
        <v>56</v>
      </c>
      <c r="AX393" s="6">
        <v>129</v>
      </c>
      <c r="AY393" t="s">
        <v>886</v>
      </c>
      <c r="AZ393" t="s">
        <v>56</v>
      </c>
    </row>
    <row r="394" spans="1:52" hidden="1" x14ac:dyDescent="0.45">
      <c r="A394">
        <v>512315.59328535898</v>
      </c>
      <c r="B394">
        <v>6938827.3540287698</v>
      </c>
      <c r="C394">
        <v>393</v>
      </c>
      <c r="D394" t="s">
        <v>969</v>
      </c>
      <c r="E394" t="s">
        <v>593</v>
      </c>
      <c r="F394" t="s">
        <v>970</v>
      </c>
      <c r="G394" t="s">
        <v>886</v>
      </c>
      <c r="H394" s="3">
        <v>5705</v>
      </c>
      <c r="I394">
        <v>2</v>
      </c>
      <c r="J394" t="s">
        <v>56</v>
      </c>
      <c r="K394">
        <v>57</v>
      </c>
      <c r="L394">
        <v>63.4</v>
      </c>
      <c r="M394">
        <v>1</v>
      </c>
      <c r="N394" t="s">
        <v>56</v>
      </c>
      <c r="O394" t="s">
        <v>886</v>
      </c>
      <c r="P394">
        <v>84</v>
      </c>
      <c r="Q394">
        <v>0.6</v>
      </c>
      <c r="R394">
        <v>14.8</v>
      </c>
      <c r="S394">
        <v>0.1</v>
      </c>
      <c r="T394">
        <v>0</v>
      </c>
      <c r="U394">
        <v>0</v>
      </c>
      <c r="V394">
        <v>0.2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0.3</v>
      </c>
      <c r="AC394" t="s">
        <v>886</v>
      </c>
      <c r="AD394">
        <v>60</v>
      </c>
      <c r="AE394" t="s">
        <v>886</v>
      </c>
      <c r="AF394" s="4" t="s">
        <v>57</v>
      </c>
      <c r="AG394" s="4">
        <v>2886</v>
      </c>
      <c r="AH394" s="4" t="s">
        <v>58</v>
      </c>
      <c r="AI394" s="4">
        <v>2819</v>
      </c>
      <c r="AJ394" t="s">
        <v>886</v>
      </c>
      <c r="AK394" t="s">
        <v>56</v>
      </c>
      <c r="AL394" t="s">
        <v>970</v>
      </c>
      <c r="AM394">
        <v>8</v>
      </c>
      <c r="AN394">
        <v>0</v>
      </c>
      <c r="AO394">
        <v>9</v>
      </c>
      <c r="AP394">
        <v>0</v>
      </c>
      <c r="AQ394" s="5">
        <v>445</v>
      </c>
      <c r="AR394">
        <v>15</v>
      </c>
      <c r="AS394">
        <v>0</v>
      </c>
      <c r="AT394">
        <v>16</v>
      </c>
      <c r="AU394">
        <v>0</v>
      </c>
      <c r="AV394" s="5">
        <v>521</v>
      </c>
      <c r="AW394" t="s">
        <v>56</v>
      </c>
      <c r="AX394" s="6">
        <v>5969</v>
      </c>
      <c r="AY394" t="s">
        <v>886</v>
      </c>
      <c r="AZ394" t="s">
        <v>56</v>
      </c>
    </row>
    <row r="395" spans="1:52" hidden="1" x14ac:dyDescent="0.45">
      <c r="A395">
        <v>511928.13835340203</v>
      </c>
      <c r="B395">
        <v>6925800.8384859599</v>
      </c>
      <c r="C395">
        <v>394</v>
      </c>
      <c r="D395" t="s">
        <v>971</v>
      </c>
      <c r="E395" t="s">
        <v>972</v>
      </c>
      <c r="F395" t="s">
        <v>973</v>
      </c>
      <c r="G395" t="s">
        <v>805</v>
      </c>
      <c r="H395" s="3">
        <v>658</v>
      </c>
      <c r="I395">
        <v>2</v>
      </c>
      <c r="J395" t="s">
        <v>56</v>
      </c>
      <c r="K395">
        <v>73.7</v>
      </c>
      <c r="L395">
        <v>85.7</v>
      </c>
      <c r="M395">
        <v>1</v>
      </c>
      <c r="N395" t="s">
        <v>56</v>
      </c>
      <c r="O395" t="s">
        <v>805</v>
      </c>
      <c r="P395">
        <v>75.599999999999994</v>
      </c>
      <c r="Q395">
        <v>1</v>
      </c>
      <c r="R395">
        <v>20.9</v>
      </c>
      <c r="S395">
        <v>0.4</v>
      </c>
      <c r="T395">
        <v>0.2</v>
      </c>
      <c r="U395">
        <v>0.2</v>
      </c>
      <c r="V395">
        <v>1.1000000000000001</v>
      </c>
      <c r="W395">
        <v>0</v>
      </c>
      <c r="X395">
        <v>0.3</v>
      </c>
      <c r="Y395">
        <v>0.1</v>
      </c>
      <c r="Z395">
        <v>0</v>
      </c>
      <c r="AA395">
        <v>0</v>
      </c>
      <c r="AB395">
        <v>0.2</v>
      </c>
      <c r="AC395" t="s">
        <v>805</v>
      </c>
      <c r="AD395">
        <v>70</v>
      </c>
      <c r="AE395" t="s">
        <v>805</v>
      </c>
      <c r="AF395" s="4" t="s">
        <v>80</v>
      </c>
      <c r="AG395" s="4">
        <v>321</v>
      </c>
      <c r="AH395" s="4" t="s">
        <v>81</v>
      </c>
      <c r="AI395" s="4">
        <v>337</v>
      </c>
      <c r="AJ395" t="s">
        <v>805</v>
      </c>
      <c r="AK395" t="s">
        <v>56</v>
      </c>
      <c r="AL395" t="s">
        <v>973</v>
      </c>
      <c r="AM395">
        <v>7</v>
      </c>
      <c r="AN395">
        <v>0</v>
      </c>
      <c r="AO395">
        <v>8</v>
      </c>
      <c r="AP395">
        <v>0</v>
      </c>
      <c r="AQ395" s="5">
        <v>52</v>
      </c>
      <c r="AR395">
        <v>17</v>
      </c>
      <c r="AS395">
        <v>0</v>
      </c>
      <c r="AT395">
        <v>18</v>
      </c>
      <c r="AU395">
        <v>0</v>
      </c>
      <c r="AV395" s="5">
        <v>72</v>
      </c>
      <c r="AW395" t="s">
        <v>56</v>
      </c>
      <c r="AX395" s="6">
        <v>677</v>
      </c>
      <c r="AY395" t="s">
        <v>805</v>
      </c>
      <c r="AZ395" t="s">
        <v>56</v>
      </c>
    </row>
    <row r="396" spans="1:52" hidden="1" x14ac:dyDescent="0.45">
      <c r="A396">
        <v>514926.20941708802</v>
      </c>
      <c r="B396">
        <v>6931798.01800704</v>
      </c>
      <c r="C396">
        <v>395</v>
      </c>
      <c r="D396" t="s">
        <v>160</v>
      </c>
      <c r="E396" t="s">
        <v>967</v>
      </c>
      <c r="F396" t="s">
        <v>974</v>
      </c>
      <c r="G396" t="s">
        <v>805</v>
      </c>
      <c r="H396" s="3">
        <v>3681</v>
      </c>
      <c r="I396">
        <v>2</v>
      </c>
      <c r="J396" t="s">
        <v>56</v>
      </c>
      <c r="K396">
        <v>69.7</v>
      </c>
      <c r="L396">
        <v>77</v>
      </c>
      <c r="M396">
        <v>1</v>
      </c>
      <c r="N396" t="s">
        <v>56</v>
      </c>
      <c r="O396" t="s">
        <v>805</v>
      </c>
      <c r="P396">
        <v>72.7</v>
      </c>
      <c r="Q396">
        <v>1.4</v>
      </c>
      <c r="R396">
        <v>23.1</v>
      </c>
      <c r="S396">
        <v>0.6</v>
      </c>
      <c r="T396">
        <v>0.2</v>
      </c>
      <c r="U396">
        <v>0</v>
      </c>
      <c r="V396">
        <v>1.1000000000000001</v>
      </c>
      <c r="W396">
        <v>0.1</v>
      </c>
      <c r="X396">
        <v>0.1</v>
      </c>
      <c r="Y396">
        <v>0.1</v>
      </c>
      <c r="Z396">
        <v>0</v>
      </c>
      <c r="AA396">
        <v>0</v>
      </c>
      <c r="AB396">
        <v>0.6</v>
      </c>
      <c r="AC396" t="s">
        <v>805</v>
      </c>
      <c r="AD396">
        <v>70</v>
      </c>
      <c r="AE396" t="s">
        <v>805</v>
      </c>
      <c r="AF396" s="4" t="s">
        <v>80</v>
      </c>
      <c r="AG396" s="4">
        <v>1863</v>
      </c>
      <c r="AH396" s="4" t="s">
        <v>81</v>
      </c>
      <c r="AI396" s="4">
        <v>1818</v>
      </c>
      <c r="AJ396" t="s">
        <v>805</v>
      </c>
      <c r="AK396" t="s">
        <v>56</v>
      </c>
      <c r="AL396" t="s">
        <v>974</v>
      </c>
      <c r="AM396">
        <v>7</v>
      </c>
      <c r="AN396">
        <v>0</v>
      </c>
      <c r="AO396">
        <v>8</v>
      </c>
      <c r="AP396">
        <v>0</v>
      </c>
      <c r="AQ396" s="5">
        <v>335</v>
      </c>
      <c r="AR396">
        <v>15</v>
      </c>
      <c r="AS396">
        <v>0</v>
      </c>
      <c r="AT396">
        <v>16</v>
      </c>
      <c r="AU396">
        <v>0</v>
      </c>
      <c r="AV396" s="5">
        <v>386</v>
      </c>
      <c r="AW396" t="s">
        <v>56</v>
      </c>
      <c r="AX396" s="6">
        <v>3877</v>
      </c>
      <c r="AY396" t="s">
        <v>805</v>
      </c>
      <c r="AZ396" t="s">
        <v>56</v>
      </c>
    </row>
    <row r="397" spans="1:52" hidden="1" x14ac:dyDescent="0.45">
      <c r="A397">
        <v>513106.69943389198</v>
      </c>
      <c r="B397">
        <v>6926873.9974612603</v>
      </c>
      <c r="C397">
        <v>396</v>
      </c>
      <c r="D397" t="s">
        <v>975</v>
      </c>
      <c r="E397" t="s">
        <v>972</v>
      </c>
      <c r="F397" t="s">
        <v>976</v>
      </c>
      <c r="G397" t="s">
        <v>805</v>
      </c>
      <c r="H397" s="3">
        <v>121</v>
      </c>
      <c r="I397">
        <v>2</v>
      </c>
      <c r="J397" t="s">
        <v>56</v>
      </c>
      <c r="K397">
        <v>56.3</v>
      </c>
      <c r="L397">
        <v>75.599999999999994</v>
      </c>
      <c r="M397">
        <v>1</v>
      </c>
      <c r="N397" t="s">
        <v>56</v>
      </c>
      <c r="O397" t="s">
        <v>805</v>
      </c>
      <c r="P397">
        <v>74</v>
      </c>
      <c r="Q397">
        <v>1.7</v>
      </c>
      <c r="R397">
        <v>21.8</v>
      </c>
      <c r="S397">
        <v>0.6</v>
      </c>
      <c r="T397">
        <v>0.2</v>
      </c>
      <c r="U397">
        <v>0.1</v>
      </c>
      <c r="V397">
        <v>0.1</v>
      </c>
      <c r="W397">
        <v>0.2</v>
      </c>
      <c r="X397">
        <v>0.5</v>
      </c>
      <c r="Y397">
        <v>0.2</v>
      </c>
      <c r="Z397">
        <v>0</v>
      </c>
      <c r="AA397">
        <v>0</v>
      </c>
      <c r="AB397">
        <v>0.6</v>
      </c>
      <c r="AC397" t="s">
        <v>805</v>
      </c>
      <c r="AD397">
        <v>70</v>
      </c>
      <c r="AE397" t="s">
        <v>805</v>
      </c>
      <c r="AF397" s="4" t="s">
        <v>57</v>
      </c>
      <c r="AG397" s="4">
        <v>54</v>
      </c>
      <c r="AH397" s="4" t="s">
        <v>58</v>
      </c>
      <c r="AI397" s="4">
        <v>67</v>
      </c>
      <c r="AJ397" t="s">
        <v>805</v>
      </c>
      <c r="AK397" t="s">
        <v>56</v>
      </c>
      <c r="AL397" t="s">
        <v>976</v>
      </c>
      <c r="AM397">
        <v>10</v>
      </c>
      <c r="AN397">
        <v>0</v>
      </c>
      <c r="AO397">
        <v>11</v>
      </c>
      <c r="AP397">
        <v>0</v>
      </c>
      <c r="AQ397" s="5">
        <v>22</v>
      </c>
      <c r="AR397">
        <v>14</v>
      </c>
      <c r="AS397">
        <v>0</v>
      </c>
      <c r="AT397">
        <v>15</v>
      </c>
      <c r="AU397">
        <v>0</v>
      </c>
      <c r="AV397" s="5">
        <v>14</v>
      </c>
      <c r="AW397" t="s">
        <v>56</v>
      </c>
      <c r="AX397" s="6">
        <v>125</v>
      </c>
      <c r="AY397" t="s">
        <v>805</v>
      </c>
      <c r="AZ397" t="s">
        <v>56</v>
      </c>
    </row>
    <row r="398" spans="1:52" hidden="1" x14ac:dyDescent="0.45">
      <c r="A398">
        <v>507788.538788056</v>
      </c>
      <c r="B398">
        <v>6924134.1001569098</v>
      </c>
      <c r="C398">
        <v>397</v>
      </c>
      <c r="D398" t="s">
        <v>977</v>
      </c>
      <c r="E398" t="s">
        <v>972</v>
      </c>
      <c r="F398" t="s">
        <v>978</v>
      </c>
      <c r="G398" t="s">
        <v>805</v>
      </c>
      <c r="H398" s="3">
        <v>169</v>
      </c>
      <c r="I398">
        <v>2</v>
      </c>
      <c r="J398" t="s">
        <v>56</v>
      </c>
      <c r="K398">
        <v>58.7</v>
      </c>
      <c r="L398">
        <v>67.3</v>
      </c>
      <c r="M398">
        <v>1</v>
      </c>
      <c r="N398" t="s">
        <v>56</v>
      </c>
      <c r="O398" t="s">
        <v>805</v>
      </c>
      <c r="P398">
        <v>75.900000000000006</v>
      </c>
      <c r="Q398">
        <v>0.4</v>
      </c>
      <c r="R398">
        <v>20.8</v>
      </c>
      <c r="S398">
        <v>0.6</v>
      </c>
      <c r="T398">
        <v>0.1</v>
      </c>
      <c r="U398">
        <v>0</v>
      </c>
      <c r="V398">
        <v>1.8</v>
      </c>
      <c r="W398">
        <v>0</v>
      </c>
      <c r="X398">
        <v>0.1</v>
      </c>
      <c r="Y398">
        <v>0</v>
      </c>
      <c r="Z398">
        <v>0</v>
      </c>
      <c r="AA398">
        <v>0</v>
      </c>
      <c r="AB398">
        <v>0.3</v>
      </c>
      <c r="AC398" t="s">
        <v>805</v>
      </c>
      <c r="AD398">
        <v>60</v>
      </c>
      <c r="AE398" t="s">
        <v>805</v>
      </c>
      <c r="AF398" s="4" t="s">
        <v>80</v>
      </c>
      <c r="AG398" s="4">
        <v>85</v>
      </c>
      <c r="AH398" s="4" t="s">
        <v>81</v>
      </c>
      <c r="AI398" s="4">
        <v>84</v>
      </c>
      <c r="AJ398" t="s">
        <v>805</v>
      </c>
      <c r="AK398" t="s">
        <v>56</v>
      </c>
      <c r="AL398" t="s">
        <v>978</v>
      </c>
      <c r="AM398">
        <v>8</v>
      </c>
      <c r="AN398">
        <v>0</v>
      </c>
      <c r="AO398">
        <v>9</v>
      </c>
      <c r="AP398">
        <v>0</v>
      </c>
      <c r="AQ398" s="5">
        <v>25</v>
      </c>
      <c r="AR398">
        <v>15</v>
      </c>
      <c r="AS398">
        <v>0</v>
      </c>
      <c r="AT398">
        <v>16</v>
      </c>
      <c r="AU398">
        <v>0</v>
      </c>
      <c r="AV398" s="5">
        <v>21</v>
      </c>
      <c r="AW398" t="s">
        <v>56</v>
      </c>
      <c r="AX398" s="6">
        <v>184</v>
      </c>
      <c r="AY398" t="s">
        <v>805</v>
      </c>
      <c r="AZ398" t="s">
        <v>56</v>
      </c>
    </row>
    <row r="399" spans="1:52" hidden="1" x14ac:dyDescent="0.45">
      <c r="A399">
        <v>518292.10763594002</v>
      </c>
      <c r="B399">
        <v>6938533.8263144</v>
      </c>
      <c r="C399">
        <v>398</v>
      </c>
      <c r="D399" t="s">
        <v>979</v>
      </c>
      <c r="E399" t="s">
        <v>705</v>
      </c>
      <c r="F399" t="s">
        <v>980</v>
      </c>
      <c r="G399" t="s">
        <v>875</v>
      </c>
      <c r="H399" s="3">
        <v>4215</v>
      </c>
      <c r="I399">
        <v>2</v>
      </c>
      <c r="J399" t="s">
        <v>56</v>
      </c>
      <c r="K399">
        <v>51.3</v>
      </c>
      <c r="L399">
        <v>57.6</v>
      </c>
      <c r="M399">
        <v>1</v>
      </c>
      <c r="N399" t="s">
        <v>56</v>
      </c>
      <c r="O399" t="s">
        <v>875</v>
      </c>
      <c r="P399">
        <v>72.8</v>
      </c>
      <c r="Q399">
        <v>1.1000000000000001</v>
      </c>
      <c r="R399">
        <v>22.8</v>
      </c>
      <c r="S399">
        <v>1.5</v>
      </c>
      <c r="T399">
        <v>0.3</v>
      </c>
      <c r="U399">
        <v>0</v>
      </c>
      <c r="V399">
        <v>0.5</v>
      </c>
      <c r="W399">
        <v>0.1</v>
      </c>
      <c r="X399">
        <v>0.3</v>
      </c>
      <c r="Y399">
        <v>0.1</v>
      </c>
      <c r="Z399">
        <v>0.1</v>
      </c>
      <c r="AA399">
        <v>0</v>
      </c>
      <c r="AB399">
        <v>0.4</v>
      </c>
      <c r="AC399" t="s">
        <v>875</v>
      </c>
      <c r="AD399">
        <v>50</v>
      </c>
      <c r="AE399" t="s">
        <v>875</v>
      </c>
      <c r="AF399" s="4" t="s">
        <v>80</v>
      </c>
      <c r="AG399" s="4">
        <v>2587</v>
      </c>
      <c r="AH399" s="4" t="s">
        <v>81</v>
      </c>
      <c r="AI399" s="4">
        <v>1628</v>
      </c>
      <c r="AJ399" t="s">
        <v>875</v>
      </c>
      <c r="AK399" t="s">
        <v>56</v>
      </c>
      <c r="AL399" t="s">
        <v>980</v>
      </c>
      <c r="AM399">
        <v>8</v>
      </c>
      <c r="AN399">
        <v>0</v>
      </c>
      <c r="AO399">
        <v>9</v>
      </c>
      <c r="AP399">
        <v>0</v>
      </c>
      <c r="AQ399" s="5">
        <v>375</v>
      </c>
      <c r="AR399">
        <v>15</v>
      </c>
      <c r="AS399">
        <v>0</v>
      </c>
      <c r="AT399">
        <v>16</v>
      </c>
      <c r="AU399">
        <v>0</v>
      </c>
      <c r="AV399" s="5">
        <v>557</v>
      </c>
      <c r="AW399" t="s">
        <v>56</v>
      </c>
      <c r="AX399" s="6">
        <v>5055</v>
      </c>
      <c r="AY399" t="s">
        <v>875</v>
      </c>
      <c r="AZ399" t="s">
        <v>56</v>
      </c>
    </row>
    <row r="400" spans="1:52" hidden="1" x14ac:dyDescent="0.45">
      <c r="A400">
        <v>516361.64569334697</v>
      </c>
      <c r="B400">
        <v>6941477.8570823204</v>
      </c>
      <c r="C400">
        <v>399</v>
      </c>
      <c r="D400" t="s">
        <v>981</v>
      </c>
      <c r="E400" t="s">
        <v>67</v>
      </c>
      <c r="F400" t="s">
        <v>982</v>
      </c>
      <c r="G400" t="s">
        <v>886</v>
      </c>
      <c r="H400" s="3">
        <v>5554</v>
      </c>
      <c r="I400">
        <v>2</v>
      </c>
      <c r="J400" t="s">
        <v>56</v>
      </c>
      <c r="K400">
        <v>53.5</v>
      </c>
      <c r="L400">
        <v>59</v>
      </c>
      <c r="M400">
        <v>1</v>
      </c>
      <c r="N400" t="s">
        <v>56</v>
      </c>
      <c r="O400" t="s">
        <v>886</v>
      </c>
      <c r="P400">
        <v>81.400000000000006</v>
      </c>
      <c r="Q400">
        <v>0.8</v>
      </c>
      <c r="R400">
        <v>16.899999999999999</v>
      </c>
      <c r="S400">
        <v>0.4</v>
      </c>
      <c r="T400">
        <v>0</v>
      </c>
      <c r="U400">
        <v>0</v>
      </c>
      <c r="V400">
        <v>0.2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0.3</v>
      </c>
      <c r="AC400" t="s">
        <v>886</v>
      </c>
      <c r="AD400">
        <v>60</v>
      </c>
      <c r="AE400" t="s">
        <v>886</v>
      </c>
      <c r="AF400" s="4" t="s">
        <v>57</v>
      </c>
      <c r="AG400" s="4">
        <v>2827</v>
      </c>
      <c r="AH400" s="4" t="s">
        <v>58</v>
      </c>
      <c r="AI400" s="4">
        <v>2727</v>
      </c>
      <c r="AJ400" t="s">
        <v>886</v>
      </c>
      <c r="AK400" t="s">
        <v>56</v>
      </c>
      <c r="AL400" t="s">
        <v>982</v>
      </c>
      <c r="AM400">
        <v>8</v>
      </c>
      <c r="AN400">
        <v>0</v>
      </c>
      <c r="AO400">
        <v>9</v>
      </c>
      <c r="AP400">
        <v>0</v>
      </c>
      <c r="AQ400" s="5">
        <v>597</v>
      </c>
      <c r="AR400">
        <v>16</v>
      </c>
      <c r="AS400">
        <v>0</v>
      </c>
      <c r="AT400">
        <v>17</v>
      </c>
      <c r="AU400">
        <v>0</v>
      </c>
      <c r="AV400" s="5">
        <v>667</v>
      </c>
      <c r="AW400" t="s">
        <v>56</v>
      </c>
      <c r="AX400" s="6">
        <v>6001</v>
      </c>
      <c r="AY400" t="s">
        <v>886</v>
      </c>
      <c r="AZ400" t="s">
        <v>56</v>
      </c>
    </row>
    <row r="401" spans="1:52" hidden="1" x14ac:dyDescent="0.45">
      <c r="A401">
        <v>518649.89623817801</v>
      </c>
      <c r="B401">
        <v>6941053.8626702204</v>
      </c>
      <c r="C401">
        <v>400</v>
      </c>
      <c r="D401" t="s">
        <v>600</v>
      </c>
      <c r="E401" t="s">
        <v>67</v>
      </c>
      <c r="F401" t="s">
        <v>983</v>
      </c>
      <c r="G401" t="s">
        <v>875</v>
      </c>
      <c r="H401" s="3">
        <v>6302</v>
      </c>
      <c r="I401">
        <v>2</v>
      </c>
      <c r="J401" t="s">
        <v>56</v>
      </c>
      <c r="K401">
        <v>46.5</v>
      </c>
      <c r="L401">
        <v>51.8</v>
      </c>
      <c r="M401">
        <v>1</v>
      </c>
      <c r="N401" t="s">
        <v>56</v>
      </c>
      <c r="O401" t="s">
        <v>875</v>
      </c>
      <c r="P401">
        <v>84.2</v>
      </c>
      <c r="Q401">
        <v>1</v>
      </c>
      <c r="R401">
        <v>14.1</v>
      </c>
      <c r="S401">
        <v>0.2</v>
      </c>
      <c r="T401">
        <v>0</v>
      </c>
      <c r="U401">
        <v>0</v>
      </c>
      <c r="V401">
        <v>0.3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0.2</v>
      </c>
      <c r="AC401" t="s">
        <v>875</v>
      </c>
      <c r="AD401">
        <v>60</v>
      </c>
      <c r="AE401" t="s">
        <v>875</v>
      </c>
      <c r="AF401" s="4" t="s">
        <v>80</v>
      </c>
      <c r="AG401" s="4">
        <v>3346</v>
      </c>
      <c r="AH401" s="4" t="s">
        <v>81</v>
      </c>
      <c r="AI401" s="4">
        <v>2956</v>
      </c>
      <c r="AJ401" t="s">
        <v>875</v>
      </c>
      <c r="AK401" t="s">
        <v>56</v>
      </c>
      <c r="AL401" t="s">
        <v>983</v>
      </c>
      <c r="AM401">
        <v>8</v>
      </c>
      <c r="AN401">
        <v>0</v>
      </c>
      <c r="AO401">
        <v>9</v>
      </c>
      <c r="AP401">
        <v>0</v>
      </c>
      <c r="AQ401" s="5">
        <v>934</v>
      </c>
      <c r="AR401">
        <v>15</v>
      </c>
      <c r="AS401">
        <v>0</v>
      </c>
      <c r="AT401">
        <v>16</v>
      </c>
      <c r="AU401">
        <v>0</v>
      </c>
      <c r="AV401" s="5">
        <v>830</v>
      </c>
      <c r="AW401" t="s">
        <v>56</v>
      </c>
      <c r="AX401" s="6">
        <v>6820</v>
      </c>
      <c r="AY401" t="s">
        <v>875</v>
      </c>
      <c r="AZ401" t="s">
        <v>56</v>
      </c>
    </row>
    <row r="402" spans="1:52" hidden="1" x14ac:dyDescent="0.45">
      <c r="A402">
        <v>508840.105163367</v>
      </c>
      <c r="B402">
        <v>6940523.9371506097</v>
      </c>
      <c r="C402">
        <v>401</v>
      </c>
      <c r="D402" t="s">
        <v>984</v>
      </c>
      <c r="E402" t="s">
        <v>452</v>
      </c>
      <c r="F402" t="s">
        <v>985</v>
      </c>
      <c r="G402" t="s">
        <v>875</v>
      </c>
      <c r="H402" s="3">
        <v>1666</v>
      </c>
      <c r="I402">
        <v>2</v>
      </c>
      <c r="J402" t="s">
        <v>56</v>
      </c>
      <c r="K402">
        <v>57.3</v>
      </c>
      <c r="L402">
        <v>65.900000000000006</v>
      </c>
      <c r="M402">
        <v>1</v>
      </c>
      <c r="N402" t="s">
        <v>56</v>
      </c>
      <c r="O402" t="s">
        <v>875</v>
      </c>
      <c r="P402">
        <v>88.5</v>
      </c>
      <c r="Q402">
        <v>0.4</v>
      </c>
      <c r="R402">
        <v>10.6</v>
      </c>
      <c r="S402">
        <v>0.1</v>
      </c>
      <c r="T402">
        <v>0</v>
      </c>
      <c r="U402">
        <v>0</v>
      </c>
      <c r="V402">
        <v>0.2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0.2</v>
      </c>
      <c r="AC402" t="s">
        <v>875</v>
      </c>
      <c r="AD402">
        <v>60</v>
      </c>
      <c r="AE402" t="s">
        <v>875</v>
      </c>
      <c r="AF402" s="4" t="s">
        <v>57</v>
      </c>
      <c r="AG402" s="4">
        <v>674</v>
      </c>
      <c r="AH402" s="4" t="s">
        <v>58</v>
      </c>
      <c r="AI402" s="4">
        <v>992</v>
      </c>
      <c r="AJ402" t="s">
        <v>875</v>
      </c>
      <c r="AK402" t="s">
        <v>56</v>
      </c>
      <c r="AL402" t="s">
        <v>985</v>
      </c>
      <c r="AM402">
        <v>8</v>
      </c>
      <c r="AN402">
        <v>0</v>
      </c>
      <c r="AO402">
        <v>9</v>
      </c>
      <c r="AP402">
        <v>0</v>
      </c>
      <c r="AQ402" s="5">
        <v>166</v>
      </c>
      <c r="AR402">
        <v>16</v>
      </c>
      <c r="AS402">
        <v>0</v>
      </c>
      <c r="AT402">
        <v>17</v>
      </c>
      <c r="AU402">
        <v>0</v>
      </c>
      <c r="AV402" s="5">
        <v>254</v>
      </c>
      <c r="AW402" t="s">
        <v>56</v>
      </c>
      <c r="AX402" s="6">
        <v>1824</v>
      </c>
      <c r="AY402" t="s">
        <v>875</v>
      </c>
      <c r="AZ402" t="s">
        <v>56</v>
      </c>
    </row>
    <row r="403" spans="1:52" hidden="1" x14ac:dyDescent="0.45">
      <c r="A403">
        <v>519408.12642630597</v>
      </c>
      <c r="B403">
        <v>6936124.0510922102</v>
      </c>
      <c r="C403">
        <v>402</v>
      </c>
      <c r="D403" t="s">
        <v>979</v>
      </c>
      <c r="E403" t="s">
        <v>586</v>
      </c>
      <c r="F403" t="s">
        <v>986</v>
      </c>
      <c r="G403" t="s">
        <v>875</v>
      </c>
      <c r="H403" s="3">
        <v>3980</v>
      </c>
      <c r="I403">
        <v>2</v>
      </c>
      <c r="J403" t="s">
        <v>56</v>
      </c>
      <c r="K403">
        <v>60.6</v>
      </c>
      <c r="L403">
        <v>67.3</v>
      </c>
      <c r="M403">
        <v>1</v>
      </c>
      <c r="N403" t="s">
        <v>56</v>
      </c>
      <c r="O403" t="s">
        <v>875</v>
      </c>
      <c r="P403">
        <v>77.5</v>
      </c>
      <c r="Q403">
        <v>0.9</v>
      </c>
      <c r="R403">
        <v>19.5</v>
      </c>
      <c r="S403">
        <v>0.8</v>
      </c>
      <c r="T403">
        <v>0.2</v>
      </c>
      <c r="U403">
        <v>0</v>
      </c>
      <c r="V403">
        <v>0.5</v>
      </c>
      <c r="W403">
        <v>0</v>
      </c>
      <c r="X403">
        <v>0.2</v>
      </c>
      <c r="Y403">
        <v>0.1</v>
      </c>
      <c r="Z403">
        <v>0</v>
      </c>
      <c r="AA403">
        <v>0</v>
      </c>
      <c r="AB403">
        <v>0.3</v>
      </c>
      <c r="AC403" t="s">
        <v>875</v>
      </c>
      <c r="AD403">
        <v>60</v>
      </c>
      <c r="AE403" t="s">
        <v>875</v>
      </c>
      <c r="AF403" s="4" t="s">
        <v>80</v>
      </c>
      <c r="AG403" s="4">
        <v>1449</v>
      </c>
      <c r="AH403" s="4" t="s">
        <v>81</v>
      </c>
      <c r="AI403" s="4">
        <v>2531</v>
      </c>
      <c r="AJ403" t="s">
        <v>875</v>
      </c>
      <c r="AK403" t="s">
        <v>56</v>
      </c>
      <c r="AL403" t="s">
        <v>986</v>
      </c>
      <c r="AM403">
        <v>8</v>
      </c>
      <c r="AN403">
        <v>0</v>
      </c>
      <c r="AO403">
        <v>9</v>
      </c>
      <c r="AP403">
        <v>0</v>
      </c>
      <c r="AQ403" s="5">
        <v>355</v>
      </c>
      <c r="AR403">
        <v>15</v>
      </c>
      <c r="AS403">
        <v>0</v>
      </c>
      <c r="AT403">
        <v>16</v>
      </c>
      <c r="AU403">
        <v>0</v>
      </c>
      <c r="AV403" s="5">
        <v>378</v>
      </c>
      <c r="AW403" t="s">
        <v>56</v>
      </c>
      <c r="AX403" s="6">
        <v>4280</v>
      </c>
      <c r="AY403" t="s">
        <v>875</v>
      </c>
      <c r="AZ403" t="s">
        <v>56</v>
      </c>
    </row>
    <row r="404" spans="1:52" hidden="1" x14ac:dyDescent="0.45">
      <c r="A404">
        <v>514367.19641911099</v>
      </c>
      <c r="B404">
        <v>6940736.4425649503</v>
      </c>
      <c r="C404">
        <v>403</v>
      </c>
      <c r="D404" t="s">
        <v>987</v>
      </c>
      <c r="E404" t="s">
        <v>988</v>
      </c>
      <c r="F404" t="s">
        <v>989</v>
      </c>
      <c r="G404" t="s">
        <v>886</v>
      </c>
      <c r="H404" s="3">
        <v>2101</v>
      </c>
      <c r="I404">
        <v>2</v>
      </c>
      <c r="J404" t="s">
        <v>56</v>
      </c>
      <c r="K404">
        <v>52.4</v>
      </c>
      <c r="L404">
        <v>59.8</v>
      </c>
      <c r="M404">
        <v>1</v>
      </c>
      <c r="N404" t="s">
        <v>56</v>
      </c>
      <c r="O404" t="s">
        <v>886</v>
      </c>
      <c r="P404">
        <v>87.7</v>
      </c>
      <c r="Q404">
        <v>1.6</v>
      </c>
      <c r="R404">
        <v>10.3</v>
      </c>
      <c r="S404">
        <v>0.1</v>
      </c>
      <c r="T404">
        <v>0</v>
      </c>
      <c r="U404">
        <v>0</v>
      </c>
      <c r="V404">
        <v>0.1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0.2</v>
      </c>
      <c r="AC404" t="s">
        <v>886</v>
      </c>
      <c r="AD404">
        <v>50</v>
      </c>
      <c r="AE404" t="s">
        <v>886</v>
      </c>
      <c r="AF404" s="4" t="s">
        <v>80</v>
      </c>
      <c r="AG404" s="4">
        <v>1067</v>
      </c>
      <c r="AH404" s="4" t="s">
        <v>81</v>
      </c>
      <c r="AI404" s="4">
        <v>1034</v>
      </c>
      <c r="AJ404" t="s">
        <v>886</v>
      </c>
      <c r="AK404" t="s">
        <v>56</v>
      </c>
      <c r="AL404" t="s">
        <v>989</v>
      </c>
      <c r="AM404">
        <v>8</v>
      </c>
      <c r="AN404">
        <v>0</v>
      </c>
      <c r="AO404">
        <v>9</v>
      </c>
      <c r="AP404">
        <v>0</v>
      </c>
      <c r="AQ404" s="5">
        <v>194</v>
      </c>
      <c r="AR404">
        <v>16</v>
      </c>
      <c r="AS404">
        <v>0</v>
      </c>
      <c r="AT404">
        <v>17</v>
      </c>
      <c r="AU404">
        <v>0</v>
      </c>
      <c r="AV404" s="5">
        <v>240</v>
      </c>
      <c r="AW404" t="s">
        <v>56</v>
      </c>
      <c r="AX404" s="6">
        <v>2173</v>
      </c>
      <c r="AY404" t="s">
        <v>886</v>
      </c>
      <c r="AZ404" t="s">
        <v>56</v>
      </c>
    </row>
    <row r="405" spans="1:52" hidden="1" x14ac:dyDescent="0.45">
      <c r="A405">
        <v>509317.86905903497</v>
      </c>
      <c r="B405">
        <v>6928957.79658389</v>
      </c>
      <c r="C405">
        <v>404</v>
      </c>
      <c r="D405" t="s">
        <v>990</v>
      </c>
      <c r="E405" t="s">
        <v>961</v>
      </c>
      <c r="F405" t="s">
        <v>991</v>
      </c>
      <c r="G405" t="s">
        <v>875</v>
      </c>
      <c r="H405" s="3">
        <v>6750</v>
      </c>
      <c r="I405">
        <v>2</v>
      </c>
      <c r="J405" t="s">
        <v>56</v>
      </c>
      <c r="K405">
        <v>67.5</v>
      </c>
      <c r="L405">
        <v>74.5</v>
      </c>
      <c r="M405">
        <v>1</v>
      </c>
      <c r="N405" t="s">
        <v>56</v>
      </c>
      <c r="O405" t="s">
        <v>875</v>
      </c>
      <c r="P405">
        <v>75.8</v>
      </c>
      <c r="Q405">
        <v>1.5</v>
      </c>
      <c r="R405">
        <v>19.399999999999999</v>
      </c>
      <c r="S405">
        <v>1.1000000000000001</v>
      </c>
      <c r="T405">
        <v>0.2</v>
      </c>
      <c r="U405">
        <v>0</v>
      </c>
      <c r="V405">
        <v>1.1000000000000001</v>
      </c>
      <c r="W405">
        <v>0.1</v>
      </c>
      <c r="X405">
        <v>0.2</v>
      </c>
      <c r="Y405">
        <v>0.1</v>
      </c>
      <c r="Z405">
        <v>0</v>
      </c>
      <c r="AA405">
        <v>0</v>
      </c>
      <c r="AB405">
        <v>0.5</v>
      </c>
      <c r="AC405" t="s">
        <v>875</v>
      </c>
      <c r="AD405">
        <v>60</v>
      </c>
      <c r="AE405" t="s">
        <v>875</v>
      </c>
      <c r="AF405" s="4" t="s">
        <v>57</v>
      </c>
      <c r="AG405" s="4">
        <v>3290</v>
      </c>
      <c r="AH405" s="4" t="s">
        <v>58</v>
      </c>
      <c r="AI405" s="4">
        <v>3460</v>
      </c>
      <c r="AJ405" t="s">
        <v>875</v>
      </c>
      <c r="AK405" t="s">
        <v>56</v>
      </c>
      <c r="AL405" t="s">
        <v>991</v>
      </c>
      <c r="AM405">
        <v>8</v>
      </c>
      <c r="AN405">
        <v>0</v>
      </c>
      <c r="AO405">
        <v>9</v>
      </c>
      <c r="AP405">
        <v>0</v>
      </c>
      <c r="AQ405" s="5">
        <v>610</v>
      </c>
      <c r="AR405">
        <v>15</v>
      </c>
      <c r="AS405">
        <v>0</v>
      </c>
      <c r="AT405">
        <v>16</v>
      </c>
      <c r="AU405">
        <v>0</v>
      </c>
      <c r="AV405" s="5">
        <v>757</v>
      </c>
      <c r="AW405" t="s">
        <v>56</v>
      </c>
      <c r="AX405" s="6">
        <v>7265</v>
      </c>
      <c r="AY405" t="s">
        <v>875</v>
      </c>
      <c r="AZ405" t="s">
        <v>56</v>
      </c>
    </row>
    <row r="406" spans="1:52" hidden="1" x14ac:dyDescent="0.45">
      <c r="A406">
        <v>518306.20901887602</v>
      </c>
      <c r="B406">
        <v>6931598.7634813897</v>
      </c>
      <c r="C406">
        <v>405</v>
      </c>
      <c r="D406" t="s">
        <v>992</v>
      </c>
      <c r="E406" t="s">
        <v>967</v>
      </c>
      <c r="F406" t="s">
        <v>993</v>
      </c>
      <c r="G406" t="s">
        <v>886</v>
      </c>
      <c r="H406" s="3">
        <v>942</v>
      </c>
      <c r="I406">
        <v>2</v>
      </c>
      <c r="J406" t="s">
        <v>56</v>
      </c>
      <c r="K406">
        <v>43.9</v>
      </c>
      <c r="L406">
        <v>50.8</v>
      </c>
      <c r="M406">
        <v>1</v>
      </c>
      <c r="N406" t="s">
        <v>56</v>
      </c>
      <c r="O406" t="s">
        <v>886</v>
      </c>
      <c r="P406">
        <v>82.5</v>
      </c>
      <c r="Q406">
        <v>1.1000000000000001</v>
      </c>
      <c r="R406">
        <v>15.6</v>
      </c>
      <c r="S406">
        <v>0.2</v>
      </c>
      <c r="T406">
        <v>0</v>
      </c>
      <c r="U406">
        <v>0</v>
      </c>
      <c r="V406">
        <v>0.2</v>
      </c>
      <c r="W406">
        <v>0</v>
      </c>
      <c r="X406">
        <v>0.1</v>
      </c>
      <c r="Y406">
        <v>0</v>
      </c>
      <c r="Z406">
        <v>0</v>
      </c>
      <c r="AA406">
        <v>0</v>
      </c>
      <c r="AB406">
        <v>0.3</v>
      </c>
      <c r="AC406" t="s">
        <v>886</v>
      </c>
      <c r="AD406">
        <v>50</v>
      </c>
      <c r="AE406" t="s">
        <v>886</v>
      </c>
      <c r="AF406" s="4" t="s">
        <v>80</v>
      </c>
      <c r="AG406" s="4">
        <v>472</v>
      </c>
      <c r="AH406" s="4" t="s">
        <v>81</v>
      </c>
      <c r="AI406" s="4">
        <v>470</v>
      </c>
      <c r="AJ406" t="s">
        <v>886</v>
      </c>
      <c r="AK406" t="s">
        <v>56</v>
      </c>
      <c r="AL406" t="s">
        <v>993</v>
      </c>
      <c r="AM406">
        <v>8</v>
      </c>
      <c r="AN406">
        <v>0</v>
      </c>
      <c r="AO406">
        <v>9</v>
      </c>
      <c r="AP406">
        <v>0</v>
      </c>
      <c r="AQ406" s="5">
        <v>80</v>
      </c>
      <c r="AR406">
        <v>16</v>
      </c>
      <c r="AS406">
        <v>0</v>
      </c>
      <c r="AT406">
        <v>17</v>
      </c>
      <c r="AU406">
        <v>0</v>
      </c>
      <c r="AV406" s="5">
        <v>95</v>
      </c>
      <c r="AW406" t="s">
        <v>56</v>
      </c>
      <c r="AX406" s="6">
        <v>960</v>
      </c>
      <c r="AY406" t="s">
        <v>886</v>
      </c>
      <c r="AZ406" t="s">
        <v>56</v>
      </c>
    </row>
    <row r="407" spans="1:52" hidden="1" x14ac:dyDescent="0.45">
      <c r="A407">
        <v>515579.73899868102</v>
      </c>
      <c r="B407">
        <v>6942170.0866220798</v>
      </c>
      <c r="C407">
        <v>406</v>
      </c>
      <c r="D407" t="s">
        <v>994</v>
      </c>
      <c r="E407" t="s">
        <v>86</v>
      </c>
      <c r="F407" t="s">
        <v>995</v>
      </c>
      <c r="G407" t="s">
        <v>996</v>
      </c>
      <c r="H407" s="3">
        <v>1765.9</v>
      </c>
      <c r="I407">
        <v>2</v>
      </c>
      <c r="J407" t="s">
        <v>56</v>
      </c>
      <c r="K407">
        <v>53.2</v>
      </c>
      <c r="L407">
        <v>61.6</v>
      </c>
      <c r="M407">
        <v>1</v>
      </c>
      <c r="N407" t="s">
        <v>56</v>
      </c>
      <c r="O407" t="s">
        <v>996</v>
      </c>
      <c r="P407">
        <v>75.400000000000006</v>
      </c>
      <c r="Q407">
        <v>0.7</v>
      </c>
      <c r="R407">
        <v>22.8</v>
      </c>
      <c r="S407">
        <v>0.4</v>
      </c>
      <c r="T407">
        <v>0</v>
      </c>
      <c r="U407">
        <v>0</v>
      </c>
      <c r="V407">
        <v>0.3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0.4</v>
      </c>
      <c r="AC407" t="s">
        <v>996</v>
      </c>
      <c r="AD407">
        <v>60</v>
      </c>
      <c r="AE407" t="s">
        <v>996</v>
      </c>
      <c r="AF407" s="4" t="s">
        <v>57</v>
      </c>
      <c r="AG407" s="4">
        <v>904</v>
      </c>
      <c r="AH407" s="4" t="s">
        <v>58</v>
      </c>
      <c r="AI407" s="4">
        <v>862</v>
      </c>
      <c r="AJ407" t="s">
        <v>996</v>
      </c>
      <c r="AK407" t="s">
        <v>56</v>
      </c>
      <c r="AL407" t="s">
        <v>995</v>
      </c>
      <c r="AM407">
        <v>8</v>
      </c>
      <c r="AN407">
        <v>0</v>
      </c>
      <c r="AO407">
        <v>9</v>
      </c>
      <c r="AP407">
        <v>0</v>
      </c>
      <c r="AQ407" s="5">
        <v>119</v>
      </c>
      <c r="AR407">
        <v>17</v>
      </c>
      <c r="AS407">
        <v>0</v>
      </c>
      <c r="AT407">
        <v>18</v>
      </c>
      <c r="AU407">
        <v>0</v>
      </c>
      <c r="AV407" s="5">
        <v>172</v>
      </c>
      <c r="AW407" t="s">
        <v>56</v>
      </c>
      <c r="AX407" s="6">
        <v>1830</v>
      </c>
      <c r="AY407" t="s">
        <v>996</v>
      </c>
      <c r="AZ407" t="s">
        <v>56</v>
      </c>
    </row>
    <row r="408" spans="1:52" hidden="1" x14ac:dyDescent="0.45">
      <c r="A408">
        <v>512487.420055011</v>
      </c>
      <c r="B408">
        <v>6936942.6436307495</v>
      </c>
      <c r="C408">
        <v>407</v>
      </c>
      <c r="D408" t="s">
        <v>997</v>
      </c>
      <c r="E408" t="s">
        <v>552</v>
      </c>
      <c r="F408" t="s">
        <v>998</v>
      </c>
      <c r="G408" t="s">
        <v>999</v>
      </c>
      <c r="H408" s="3">
        <v>6629</v>
      </c>
      <c r="I408">
        <v>2</v>
      </c>
      <c r="J408" t="s">
        <v>56</v>
      </c>
      <c r="K408">
        <v>56.9</v>
      </c>
      <c r="L408">
        <v>63</v>
      </c>
      <c r="M408">
        <v>1</v>
      </c>
      <c r="N408" t="s">
        <v>56</v>
      </c>
      <c r="O408" t="s">
        <v>999</v>
      </c>
      <c r="P408">
        <v>80</v>
      </c>
      <c r="Q408">
        <v>0.9</v>
      </c>
      <c r="R408">
        <v>17.600000000000001</v>
      </c>
      <c r="S408">
        <v>0.4</v>
      </c>
      <c r="T408">
        <v>0.1</v>
      </c>
      <c r="U408">
        <v>0</v>
      </c>
      <c r="V408">
        <v>0.5</v>
      </c>
      <c r="W408">
        <v>0</v>
      </c>
      <c r="X408">
        <v>0.1</v>
      </c>
      <c r="Y408">
        <v>0.1</v>
      </c>
      <c r="Z408">
        <v>0</v>
      </c>
      <c r="AA408">
        <v>0</v>
      </c>
      <c r="AB408">
        <v>0.3</v>
      </c>
      <c r="AC408" t="s">
        <v>999</v>
      </c>
      <c r="AD408">
        <v>60</v>
      </c>
      <c r="AE408" t="s">
        <v>999</v>
      </c>
      <c r="AF408" s="4" t="s">
        <v>57</v>
      </c>
      <c r="AG408" s="4">
        <v>3287</v>
      </c>
      <c r="AH408" s="4" t="s">
        <v>58</v>
      </c>
      <c r="AI408" s="4">
        <v>3342</v>
      </c>
      <c r="AJ408" t="s">
        <v>999</v>
      </c>
      <c r="AK408" t="s">
        <v>56</v>
      </c>
      <c r="AL408" t="s">
        <v>998</v>
      </c>
      <c r="AM408">
        <v>8</v>
      </c>
      <c r="AN408">
        <v>0</v>
      </c>
      <c r="AO408">
        <v>9</v>
      </c>
      <c r="AP408">
        <v>0</v>
      </c>
      <c r="AQ408" s="5">
        <v>625</v>
      </c>
      <c r="AR408">
        <v>15</v>
      </c>
      <c r="AS408">
        <v>0</v>
      </c>
      <c r="AT408">
        <v>16</v>
      </c>
      <c r="AU408">
        <v>0</v>
      </c>
      <c r="AV408" s="5">
        <v>676</v>
      </c>
      <c r="AW408" t="s">
        <v>56</v>
      </c>
      <c r="AX408" s="6">
        <v>6873</v>
      </c>
      <c r="AY408" t="s">
        <v>999</v>
      </c>
      <c r="AZ408" t="s">
        <v>56</v>
      </c>
    </row>
    <row r="409" spans="1:52" hidden="1" x14ac:dyDescent="0.45">
      <c r="A409">
        <v>519682.40685220098</v>
      </c>
      <c r="B409">
        <v>6940566.0666026399</v>
      </c>
      <c r="C409">
        <v>408</v>
      </c>
      <c r="D409" t="s">
        <v>1000</v>
      </c>
      <c r="E409" t="s">
        <v>529</v>
      </c>
      <c r="F409" t="s">
        <v>1001</v>
      </c>
      <c r="G409" t="s">
        <v>1002</v>
      </c>
      <c r="H409" s="3">
        <v>2375.5</v>
      </c>
      <c r="I409">
        <v>2</v>
      </c>
      <c r="J409" t="s">
        <v>56</v>
      </c>
      <c r="K409">
        <v>47.1</v>
      </c>
      <c r="L409">
        <v>53.6</v>
      </c>
      <c r="M409">
        <v>1</v>
      </c>
      <c r="N409" t="s">
        <v>56</v>
      </c>
      <c r="O409" t="s">
        <v>1002</v>
      </c>
      <c r="P409">
        <v>83.9</v>
      </c>
      <c r="Q409">
        <v>1.6</v>
      </c>
      <c r="R409">
        <v>13.9</v>
      </c>
      <c r="S409">
        <v>0</v>
      </c>
      <c r="T409">
        <v>0</v>
      </c>
      <c r="U409">
        <v>0</v>
      </c>
      <c r="V409">
        <v>0.3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0.3</v>
      </c>
      <c r="AC409" t="s">
        <v>1002</v>
      </c>
      <c r="AD409">
        <v>50</v>
      </c>
      <c r="AE409" t="s">
        <v>1002</v>
      </c>
      <c r="AF409" s="4" t="s">
        <v>57</v>
      </c>
      <c r="AG409" s="4">
        <v>1124</v>
      </c>
      <c r="AH409" s="4" t="s">
        <v>58</v>
      </c>
      <c r="AI409" s="4">
        <v>1252</v>
      </c>
      <c r="AJ409" t="s">
        <v>1002</v>
      </c>
      <c r="AK409" t="s">
        <v>56</v>
      </c>
      <c r="AL409" t="s">
        <v>1001</v>
      </c>
      <c r="AM409">
        <v>8</v>
      </c>
      <c r="AN409">
        <v>0</v>
      </c>
      <c r="AO409">
        <v>9</v>
      </c>
      <c r="AP409">
        <v>0</v>
      </c>
      <c r="AQ409" s="5">
        <v>277</v>
      </c>
      <c r="AR409">
        <v>15</v>
      </c>
      <c r="AS409">
        <v>0</v>
      </c>
      <c r="AT409">
        <v>16</v>
      </c>
      <c r="AU409">
        <v>0</v>
      </c>
      <c r="AV409" s="5">
        <v>232</v>
      </c>
      <c r="AW409" t="s">
        <v>56</v>
      </c>
      <c r="AX409" s="6">
        <v>2790</v>
      </c>
      <c r="AY409" t="s">
        <v>1002</v>
      </c>
      <c r="AZ409" t="s">
        <v>56</v>
      </c>
    </row>
    <row r="410" spans="1:52" hidden="1" x14ac:dyDescent="0.45">
      <c r="A410">
        <v>507799.486863247</v>
      </c>
      <c r="B410">
        <v>6938566.2364761904</v>
      </c>
      <c r="C410">
        <v>409</v>
      </c>
      <c r="D410" t="s">
        <v>769</v>
      </c>
      <c r="E410" t="s">
        <v>1003</v>
      </c>
      <c r="F410" t="s">
        <v>1004</v>
      </c>
      <c r="G410" t="s">
        <v>820</v>
      </c>
      <c r="H410" s="3">
        <v>11159</v>
      </c>
      <c r="I410">
        <v>2</v>
      </c>
      <c r="J410" t="s">
        <v>56</v>
      </c>
      <c r="K410">
        <v>61.4</v>
      </c>
      <c r="L410">
        <v>68</v>
      </c>
      <c r="M410">
        <v>1</v>
      </c>
      <c r="N410" t="s">
        <v>56</v>
      </c>
      <c r="O410" t="s">
        <v>820</v>
      </c>
      <c r="P410">
        <v>82.8</v>
      </c>
      <c r="Q410">
        <v>1.3</v>
      </c>
      <c r="R410">
        <v>14.6</v>
      </c>
      <c r="S410">
        <v>0.5</v>
      </c>
      <c r="T410">
        <v>0.2</v>
      </c>
      <c r="U410">
        <v>0</v>
      </c>
      <c r="V410">
        <v>0.3</v>
      </c>
      <c r="W410">
        <v>0</v>
      </c>
      <c r="X410">
        <v>0.1</v>
      </c>
      <c r="Y410">
        <v>0</v>
      </c>
      <c r="Z410">
        <v>0</v>
      </c>
      <c r="AA410">
        <v>0</v>
      </c>
      <c r="AB410">
        <v>0.2</v>
      </c>
      <c r="AC410" t="s">
        <v>820</v>
      </c>
      <c r="AD410">
        <v>70</v>
      </c>
      <c r="AE410" t="s">
        <v>820</v>
      </c>
      <c r="AF410" s="4" t="s">
        <v>57</v>
      </c>
      <c r="AG410" s="4">
        <v>11159</v>
      </c>
      <c r="AJ410" t="s">
        <v>820</v>
      </c>
      <c r="AK410" t="s">
        <v>56</v>
      </c>
      <c r="AL410" t="s">
        <v>1004</v>
      </c>
      <c r="AM410">
        <v>8</v>
      </c>
      <c r="AN410">
        <v>0</v>
      </c>
      <c r="AO410">
        <v>9</v>
      </c>
      <c r="AP410">
        <v>0</v>
      </c>
      <c r="AQ410" s="5">
        <v>1815</v>
      </c>
      <c r="AR410">
        <v>15</v>
      </c>
      <c r="AS410">
        <v>0</v>
      </c>
      <c r="AT410">
        <v>16</v>
      </c>
      <c r="AU410">
        <v>0</v>
      </c>
      <c r="AV410" s="5">
        <v>2326</v>
      </c>
      <c r="AW410" t="s">
        <v>56</v>
      </c>
      <c r="AX410" s="6">
        <v>24283</v>
      </c>
      <c r="AY410" t="s">
        <v>820</v>
      </c>
      <c r="AZ410" t="s">
        <v>56</v>
      </c>
    </row>
    <row r="411" spans="1:52" hidden="1" x14ac:dyDescent="0.45">
      <c r="A411">
        <v>507799.486863247</v>
      </c>
      <c r="B411">
        <v>6938566.2364761904</v>
      </c>
      <c r="C411">
        <v>410</v>
      </c>
      <c r="D411" t="s">
        <v>769</v>
      </c>
      <c r="E411" t="s">
        <v>1003</v>
      </c>
      <c r="F411" t="s">
        <v>1004</v>
      </c>
      <c r="G411" t="s">
        <v>820</v>
      </c>
      <c r="H411" s="3">
        <v>11183.1</v>
      </c>
      <c r="I411">
        <v>2</v>
      </c>
      <c r="J411" t="s">
        <v>56</v>
      </c>
      <c r="K411">
        <v>61.4</v>
      </c>
      <c r="L411">
        <v>68</v>
      </c>
      <c r="M411">
        <v>1</v>
      </c>
      <c r="N411" t="s">
        <v>56</v>
      </c>
      <c r="O411" t="s">
        <v>820</v>
      </c>
      <c r="P411">
        <v>82.8</v>
      </c>
      <c r="Q411">
        <v>1.3</v>
      </c>
      <c r="R411">
        <v>14.6</v>
      </c>
      <c r="S411">
        <v>0.5</v>
      </c>
      <c r="T411">
        <v>0.2</v>
      </c>
      <c r="U411">
        <v>0</v>
      </c>
      <c r="V411">
        <v>0.3</v>
      </c>
      <c r="W411">
        <v>0</v>
      </c>
      <c r="X411">
        <v>0.1</v>
      </c>
      <c r="Y411">
        <v>0</v>
      </c>
      <c r="Z411">
        <v>0</v>
      </c>
      <c r="AA411">
        <v>0</v>
      </c>
      <c r="AB411">
        <v>0.2</v>
      </c>
      <c r="AC411" t="s">
        <v>820</v>
      </c>
      <c r="AD411">
        <v>70</v>
      </c>
      <c r="AE411" t="s">
        <v>820</v>
      </c>
      <c r="AH411" s="4" t="s">
        <v>58</v>
      </c>
      <c r="AI411" s="4">
        <v>11183.1</v>
      </c>
      <c r="AJ411" t="s">
        <v>820</v>
      </c>
      <c r="AK411" t="s">
        <v>56</v>
      </c>
      <c r="AL411" t="s">
        <v>1004</v>
      </c>
      <c r="AM411">
        <v>8</v>
      </c>
      <c r="AN411">
        <v>0</v>
      </c>
      <c r="AO411">
        <v>9</v>
      </c>
      <c r="AP411">
        <v>0</v>
      </c>
      <c r="AQ411" s="5">
        <v>1815</v>
      </c>
      <c r="AR411">
        <v>15</v>
      </c>
      <c r="AS411">
        <v>0</v>
      </c>
      <c r="AT411">
        <v>16</v>
      </c>
      <c r="AU411">
        <v>0</v>
      </c>
      <c r="AV411" s="5">
        <v>2326</v>
      </c>
      <c r="AW411" t="s">
        <v>56</v>
      </c>
      <c r="AX411" s="6">
        <v>24283</v>
      </c>
      <c r="AY411" t="s">
        <v>820</v>
      </c>
      <c r="AZ411" t="s">
        <v>56</v>
      </c>
    </row>
    <row r="412" spans="1:52" hidden="1" x14ac:dyDescent="0.45">
      <c r="A412">
        <v>510318.02524800599</v>
      </c>
      <c r="B412">
        <v>6938020.5901917303</v>
      </c>
      <c r="C412">
        <v>411</v>
      </c>
      <c r="D412" t="s">
        <v>769</v>
      </c>
      <c r="E412" t="s">
        <v>468</v>
      </c>
      <c r="F412" t="s">
        <v>1005</v>
      </c>
      <c r="G412" t="s">
        <v>820</v>
      </c>
      <c r="H412" s="3">
        <v>14478.9</v>
      </c>
      <c r="I412">
        <v>2</v>
      </c>
      <c r="J412" t="s">
        <v>56</v>
      </c>
      <c r="K412">
        <v>57.2</v>
      </c>
      <c r="L412">
        <v>62.3</v>
      </c>
      <c r="M412">
        <v>1</v>
      </c>
      <c r="N412" t="s">
        <v>56</v>
      </c>
      <c r="O412" t="s">
        <v>820</v>
      </c>
      <c r="P412">
        <v>87.3</v>
      </c>
      <c r="Q412">
        <v>1</v>
      </c>
      <c r="R412">
        <v>9.8000000000000007</v>
      </c>
      <c r="S412">
        <v>1.1000000000000001</v>
      </c>
      <c r="T412">
        <v>0.1</v>
      </c>
      <c r="U412">
        <v>0</v>
      </c>
      <c r="V412">
        <v>0.3</v>
      </c>
      <c r="W412">
        <v>0</v>
      </c>
      <c r="X412">
        <v>0.1</v>
      </c>
      <c r="Y412">
        <v>0</v>
      </c>
      <c r="Z412">
        <v>0</v>
      </c>
      <c r="AA412">
        <v>0</v>
      </c>
      <c r="AB412">
        <v>0.3</v>
      </c>
      <c r="AC412" t="s">
        <v>820</v>
      </c>
      <c r="AD412">
        <v>70</v>
      </c>
      <c r="AE412" t="s">
        <v>820</v>
      </c>
      <c r="AF412" s="4" t="s">
        <v>57</v>
      </c>
      <c r="AG412" s="4">
        <v>8152</v>
      </c>
      <c r="AH412" s="4" t="s">
        <v>58</v>
      </c>
      <c r="AI412" s="4">
        <v>6327</v>
      </c>
      <c r="AJ412" t="s">
        <v>820</v>
      </c>
      <c r="AK412" t="s">
        <v>56</v>
      </c>
      <c r="AL412" t="s">
        <v>1005</v>
      </c>
      <c r="AM412">
        <v>8</v>
      </c>
      <c r="AN412">
        <v>0</v>
      </c>
      <c r="AO412">
        <v>9</v>
      </c>
      <c r="AP412">
        <v>0</v>
      </c>
      <c r="AQ412" s="5">
        <v>1460</v>
      </c>
      <c r="AR412">
        <v>14</v>
      </c>
      <c r="AS412">
        <v>0</v>
      </c>
      <c r="AT412">
        <v>15</v>
      </c>
      <c r="AU412">
        <v>0</v>
      </c>
      <c r="AV412" s="5">
        <v>1492</v>
      </c>
      <c r="AW412" t="s">
        <v>56</v>
      </c>
      <c r="AX412" s="6">
        <v>16540</v>
      </c>
      <c r="AY412" t="s">
        <v>820</v>
      </c>
      <c r="AZ412" t="s">
        <v>56</v>
      </c>
    </row>
    <row r="413" spans="1:52" hidden="1" x14ac:dyDescent="0.45">
      <c r="A413">
        <v>500389.64598010702</v>
      </c>
      <c r="B413">
        <v>13082200.914294001</v>
      </c>
      <c r="C413">
        <v>412</v>
      </c>
      <c r="D413" t="s">
        <v>1006</v>
      </c>
      <c r="E413" t="s">
        <v>1007</v>
      </c>
      <c r="F413" t="s">
        <v>1008</v>
      </c>
      <c r="G413" t="s">
        <v>829</v>
      </c>
      <c r="H413" s="3">
        <v>1902.6</v>
      </c>
      <c r="I413">
        <v>2</v>
      </c>
      <c r="J413" t="s">
        <v>56</v>
      </c>
      <c r="K413">
        <v>71</v>
      </c>
      <c r="L413">
        <v>79.900000000000006</v>
      </c>
      <c r="M413">
        <v>1</v>
      </c>
      <c r="N413" t="s">
        <v>56</v>
      </c>
      <c r="O413" t="s">
        <v>829</v>
      </c>
      <c r="P413">
        <v>81.400000000000006</v>
      </c>
      <c r="Q413">
        <v>1.8</v>
      </c>
      <c r="R413">
        <v>14.5</v>
      </c>
      <c r="S413">
        <v>0.8</v>
      </c>
      <c r="T413">
        <v>0.1</v>
      </c>
      <c r="U413">
        <v>0</v>
      </c>
      <c r="V413">
        <v>0.8</v>
      </c>
      <c r="W413">
        <v>0.1</v>
      </c>
      <c r="X413">
        <v>0.2</v>
      </c>
      <c r="Y413">
        <v>0.1</v>
      </c>
      <c r="Z413">
        <v>0</v>
      </c>
      <c r="AA413">
        <v>0</v>
      </c>
      <c r="AB413">
        <v>0.2</v>
      </c>
      <c r="AC413" t="s">
        <v>829</v>
      </c>
      <c r="AD413">
        <v>60</v>
      </c>
      <c r="AE413" t="s">
        <v>829</v>
      </c>
      <c r="AF413" s="4" t="s">
        <v>57</v>
      </c>
      <c r="AG413" s="4">
        <v>977</v>
      </c>
      <c r="AH413" s="4" t="s">
        <v>58</v>
      </c>
      <c r="AI413" s="4">
        <v>935</v>
      </c>
      <c r="AJ413" t="s">
        <v>829</v>
      </c>
      <c r="AK413" t="s">
        <v>56</v>
      </c>
      <c r="AL413" t="s">
        <v>1008</v>
      </c>
      <c r="AM413">
        <v>8</v>
      </c>
      <c r="AN413">
        <v>0</v>
      </c>
      <c r="AO413">
        <v>9</v>
      </c>
      <c r="AP413">
        <v>0</v>
      </c>
      <c r="AQ413" s="5">
        <v>153</v>
      </c>
      <c r="AR413">
        <v>17</v>
      </c>
      <c r="AS413">
        <v>0</v>
      </c>
      <c r="AT413">
        <v>18</v>
      </c>
      <c r="AU413">
        <v>0</v>
      </c>
      <c r="AV413" s="5">
        <v>176</v>
      </c>
      <c r="AW413" t="s">
        <v>56</v>
      </c>
      <c r="AX413" s="6">
        <v>1970</v>
      </c>
      <c r="AY413" t="s">
        <v>829</v>
      </c>
      <c r="AZ413" t="s">
        <v>56</v>
      </c>
    </row>
    <row r="414" spans="1:52" hidden="1" x14ac:dyDescent="0.45">
      <c r="A414">
        <v>494443.70934573701</v>
      </c>
      <c r="B414">
        <v>6922175.9923275504</v>
      </c>
      <c r="C414">
        <v>413</v>
      </c>
      <c r="D414" t="s">
        <v>1009</v>
      </c>
      <c r="E414" t="s">
        <v>191</v>
      </c>
      <c r="F414" t="s">
        <v>1010</v>
      </c>
      <c r="G414" t="s">
        <v>829</v>
      </c>
      <c r="H414" s="3">
        <v>243</v>
      </c>
      <c r="I414">
        <v>2</v>
      </c>
      <c r="J414" t="s">
        <v>56</v>
      </c>
      <c r="K414">
        <v>50.6</v>
      </c>
      <c r="L414">
        <v>60.8</v>
      </c>
      <c r="M414">
        <v>1</v>
      </c>
      <c r="N414" t="s">
        <v>56</v>
      </c>
      <c r="O414" t="s">
        <v>829</v>
      </c>
      <c r="P414">
        <v>76.2</v>
      </c>
      <c r="Q414">
        <v>1.1000000000000001</v>
      </c>
      <c r="R414">
        <v>19.3</v>
      </c>
      <c r="S414">
        <v>2.2000000000000002</v>
      </c>
      <c r="T414">
        <v>0.1</v>
      </c>
      <c r="U414">
        <v>0</v>
      </c>
      <c r="V414">
        <v>0.4</v>
      </c>
      <c r="W414">
        <v>0.3</v>
      </c>
      <c r="X414">
        <v>0.1</v>
      </c>
      <c r="Y414">
        <v>0</v>
      </c>
      <c r="Z414">
        <v>0</v>
      </c>
      <c r="AA414">
        <v>0</v>
      </c>
      <c r="AB414">
        <v>0.3</v>
      </c>
      <c r="AC414" t="s">
        <v>829</v>
      </c>
      <c r="AD414">
        <v>50</v>
      </c>
      <c r="AE414" t="s">
        <v>829</v>
      </c>
      <c r="AF414" s="4" t="s">
        <v>57</v>
      </c>
      <c r="AG414" s="4">
        <v>121</v>
      </c>
      <c r="AH414" s="4" t="s">
        <v>58</v>
      </c>
      <c r="AI414" s="4">
        <v>122</v>
      </c>
      <c r="AJ414" t="s">
        <v>829</v>
      </c>
      <c r="AK414" t="s">
        <v>56</v>
      </c>
      <c r="AL414" t="s">
        <v>1010</v>
      </c>
      <c r="AM414">
        <v>10</v>
      </c>
      <c r="AN414">
        <v>0</v>
      </c>
      <c r="AO414">
        <v>11</v>
      </c>
      <c r="AP414">
        <v>0</v>
      </c>
      <c r="AQ414" s="5">
        <v>27</v>
      </c>
      <c r="AR414">
        <v>16</v>
      </c>
      <c r="AS414">
        <v>0</v>
      </c>
      <c r="AT414">
        <v>17</v>
      </c>
      <c r="AU414">
        <v>0</v>
      </c>
      <c r="AV414" s="5">
        <v>29</v>
      </c>
      <c r="AW414" t="s">
        <v>56</v>
      </c>
      <c r="AX414" s="6">
        <v>247</v>
      </c>
      <c r="AY414" t="s">
        <v>829</v>
      </c>
      <c r="AZ414" t="s">
        <v>56</v>
      </c>
    </row>
    <row r="415" spans="1:52" hidden="1" x14ac:dyDescent="0.45">
      <c r="A415">
        <v>517298.59603273502</v>
      </c>
      <c r="B415">
        <v>6939732.9290550202</v>
      </c>
      <c r="C415">
        <v>414</v>
      </c>
      <c r="D415" t="s">
        <v>1011</v>
      </c>
      <c r="E415" t="s">
        <v>1012</v>
      </c>
      <c r="F415" t="s">
        <v>1013</v>
      </c>
      <c r="G415" t="s">
        <v>1002</v>
      </c>
      <c r="H415" s="3">
        <v>3481.6</v>
      </c>
      <c r="I415">
        <v>2</v>
      </c>
      <c r="J415" t="s">
        <v>56</v>
      </c>
      <c r="K415">
        <v>58.9</v>
      </c>
      <c r="L415">
        <v>67</v>
      </c>
      <c r="M415">
        <v>1</v>
      </c>
      <c r="N415" t="s">
        <v>56</v>
      </c>
      <c r="O415" t="s">
        <v>1002</v>
      </c>
      <c r="P415">
        <v>76.3</v>
      </c>
      <c r="Q415">
        <v>0.6</v>
      </c>
      <c r="R415">
        <v>20.100000000000001</v>
      </c>
      <c r="S415">
        <v>1.9</v>
      </c>
      <c r="T415">
        <v>0.1</v>
      </c>
      <c r="U415">
        <v>0.1</v>
      </c>
      <c r="V415">
        <v>0.2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0.7</v>
      </c>
      <c r="AC415" t="s">
        <v>1002</v>
      </c>
      <c r="AD415">
        <v>60</v>
      </c>
      <c r="AE415" t="s">
        <v>1002</v>
      </c>
      <c r="AF415" s="4" t="s">
        <v>80</v>
      </c>
      <c r="AG415" s="4">
        <v>1970</v>
      </c>
      <c r="AH415" s="4" t="s">
        <v>81</v>
      </c>
      <c r="AI415" s="4">
        <v>1512</v>
      </c>
      <c r="AJ415" t="s">
        <v>1002</v>
      </c>
      <c r="AK415" t="s">
        <v>56</v>
      </c>
      <c r="AL415" t="s">
        <v>1013</v>
      </c>
      <c r="AM415">
        <v>8</v>
      </c>
      <c r="AN415">
        <v>0</v>
      </c>
      <c r="AO415">
        <v>9</v>
      </c>
      <c r="AP415">
        <v>0</v>
      </c>
      <c r="AQ415" s="5">
        <v>383</v>
      </c>
      <c r="AR415">
        <v>12</v>
      </c>
      <c r="AS415">
        <v>0</v>
      </c>
      <c r="AT415">
        <v>13</v>
      </c>
      <c r="AU415">
        <v>0</v>
      </c>
      <c r="AV415" s="5">
        <v>464</v>
      </c>
      <c r="AW415" t="s">
        <v>56</v>
      </c>
      <c r="AX415" s="6">
        <v>4259</v>
      </c>
      <c r="AY415" t="s">
        <v>1002</v>
      </c>
      <c r="AZ415" t="s">
        <v>56</v>
      </c>
    </row>
    <row r="416" spans="1:52" hidden="1" x14ac:dyDescent="0.45">
      <c r="A416">
        <v>503117.579001704</v>
      </c>
      <c r="B416">
        <v>6933163.6307291798</v>
      </c>
      <c r="C416">
        <v>415</v>
      </c>
      <c r="D416" t="s">
        <v>1014</v>
      </c>
      <c r="E416" t="s">
        <v>1015</v>
      </c>
      <c r="F416" t="s">
        <v>1016</v>
      </c>
      <c r="G416" t="s">
        <v>829</v>
      </c>
      <c r="H416" s="3">
        <v>2815.6</v>
      </c>
      <c r="I416">
        <v>2</v>
      </c>
      <c r="J416" t="s">
        <v>56</v>
      </c>
      <c r="K416">
        <v>56.9</v>
      </c>
      <c r="L416">
        <v>63</v>
      </c>
      <c r="M416">
        <v>1</v>
      </c>
      <c r="N416" t="s">
        <v>56</v>
      </c>
      <c r="O416" t="s">
        <v>829</v>
      </c>
      <c r="P416">
        <v>73.3</v>
      </c>
      <c r="Q416">
        <v>1.3</v>
      </c>
      <c r="R416">
        <v>20.8</v>
      </c>
      <c r="S416">
        <v>1.3</v>
      </c>
      <c r="T416">
        <v>1.3</v>
      </c>
      <c r="U416">
        <v>0</v>
      </c>
      <c r="V416">
        <v>0.9</v>
      </c>
      <c r="W416">
        <v>0</v>
      </c>
      <c r="X416">
        <v>0.4</v>
      </c>
      <c r="Y416">
        <v>0.2</v>
      </c>
      <c r="Z416">
        <v>0.1</v>
      </c>
      <c r="AA416">
        <v>0</v>
      </c>
      <c r="AB416">
        <v>0.4</v>
      </c>
      <c r="AC416" t="s">
        <v>829</v>
      </c>
      <c r="AD416">
        <v>60</v>
      </c>
      <c r="AE416" t="s">
        <v>829</v>
      </c>
      <c r="AF416" s="4" t="s">
        <v>57</v>
      </c>
      <c r="AG416" s="4">
        <v>1398</v>
      </c>
      <c r="AH416" s="4" t="s">
        <v>58</v>
      </c>
      <c r="AI416" s="4">
        <v>1417</v>
      </c>
      <c r="AJ416" t="s">
        <v>829</v>
      </c>
      <c r="AK416" t="s">
        <v>56</v>
      </c>
      <c r="AL416" t="s">
        <v>1016</v>
      </c>
      <c r="AM416">
        <v>8</v>
      </c>
      <c r="AN416">
        <v>0</v>
      </c>
      <c r="AO416">
        <v>9</v>
      </c>
      <c r="AP416">
        <v>0</v>
      </c>
      <c r="AQ416" s="5">
        <v>241</v>
      </c>
      <c r="AR416">
        <v>15</v>
      </c>
      <c r="AS416">
        <v>0</v>
      </c>
      <c r="AT416">
        <v>16</v>
      </c>
      <c r="AU416">
        <v>0</v>
      </c>
      <c r="AV416" s="5">
        <v>281</v>
      </c>
      <c r="AW416" t="s">
        <v>56</v>
      </c>
      <c r="AX416" s="6">
        <v>3073</v>
      </c>
      <c r="AY416" t="s">
        <v>829</v>
      </c>
      <c r="AZ416" t="s">
        <v>56</v>
      </c>
    </row>
    <row r="417" spans="1:52" hidden="1" x14ac:dyDescent="0.45">
      <c r="A417">
        <v>507281.24479465699</v>
      </c>
      <c r="B417">
        <v>6932273.7972559202</v>
      </c>
      <c r="C417">
        <v>416</v>
      </c>
      <c r="D417" t="s">
        <v>1017</v>
      </c>
      <c r="E417" t="s">
        <v>1018</v>
      </c>
      <c r="F417" t="s">
        <v>1019</v>
      </c>
      <c r="G417" t="s">
        <v>820</v>
      </c>
      <c r="H417" s="3">
        <v>440</v>
      </c>
      <c r="I417">
        <v>2</v>
      </c>
      <c r="J417" t="s">
        <v>56</v>
      </c>
      <c r="K417">
        <v>71</v>
      </c>
      <c r="L417">
        <v>79.900000000000006</v>
      </c>
      <c r="M417">
        <v>1</v>
      </c>
      <c r="N417" t="s">
        <v>56</v>
      </c>
      <c r="O417" t="s">
        <v>820</v>
      </c>
      <c r="P417">
        <v>72.2</v>
      </c>
      <c r="Q417">
        <v>1.3</v>
      </c>
      <c r="R417">
        <v>24</v>
      </c>
      <c r="S417">
        <v>0.7</v>
      </c>
      <c r="T417">
        <v>0.1</v>
      </c>
      <c r="U417">
        <v>0</v>
      </c>
      <c r="V417">
        <v>1.1000000000000001</v>
      </c>
      <c r="W417">
        <v>0</v>
      </c>
      <c r="X417">
        <v>0.1</v>
      </c>
      <c r="Y417">
        <v>0</v>
      </c>
      <c r="Z417">
        <v>0</v>
      </c>
      <c r="AA417">
        <v>0</v>
      </c>
      <c r="AB417">
        <v>0.5</v>
      </c>
      <c r="AC417" t="s">
        <v>820</v>
      </c>
      <c r="AD417">
        <v>50</v>
      </c>
      <c r="AE417" t="s">
        <v>820</v>
      </c>
      <c r="AF417" s="4" t="s">
        <v>57</v>
      </c>
      <c r="AG417" s="4">
        <v>225</v>
      </c>
      <c r="AH417" s="4" t="s">
        <v>58</v>
      </c>
      <c r="AI417" s="4">
        <v>215</v>
      </c>
      <c r="AJ417" t="s">
        <v>820</v>
      </c>
      <c r="AK417" t="s">
        <v>56</v>
      </c>
      <c r="AL417" t="s">
        <v>1019</v>
      </c>
      <c r="AM417">
        <v>7</v>
      </c>
      <c r="AN417">
        <v>0</v>
      </c>
      <c r="AO417">
        <v>8</v>
      </c>
      <c r="AP417">
        <v>0</v>
      </c>
      <c r="AQ417" s="5">
        <v>44</v>
      </c>
      <c r="AR417">
        <v>17</v>
      </c>
      <c r="AS417">
        <v>0</v>
      </c>
      <c r="AT417">
        <v>18</v>
      </c>
      <c r="AU417">
        <v>0</v>
      </c>
      <c r="AV417" s="5">
        <v>46</v>
      </c>
      <c r="AW417" t="s">
        <v>56</v>
      </c>
      <c r="AX417" s="6">
        <v>479</v>
      </c>
      <c r="AY417" t="s">
        <v>820</v>
      </c>
      <c r="AZ417" t="s">
        <v>56</v>
      </c>
    </row>
    <row r="418" spans="1:52" hidden="1" x14ac:dyDescent="0.45">
      <c r="A418">
        <v>515327.48348257598</v>
      </c>
      <c r="B418">
        <v>6936201.6621429902</v>
      </c>
      <c r="C418">
        <v>417</v>
      </c>
      <c r="D418" t="s">
        <v>1020</v>
      </c>
      <c r="E418" t="s">
        <v>511</v>
      </c>
      <c r="F418" t="s">
        <v>1021</v>
      </c>
      <c r="G418" t="s">
        <v>1002</v>
      </c>
      <c r="H418" s="3">
        <v>2466</v>
      </c>
      <c r="I418">
        <v>2</v>
      </c>
      <c r="J418" t="s">
        <v>56</v>
      </c>
      <c r="K418">
        <v>58.6</v>
      </c>
      <c r="L418">
        <v>66.599999999999994</v>
      </c>
      <c r="M418">
        <v>1</v>
      </c>
      <c r="N418" t="s">
        <v>56</v>
      </c>
      <c r="O418" t="s">
        <v>1002</v>
      </c>
      <c r="P418">
        <v>82.8</v>
      </c>
      <c r="Q418">
        <v>1.1000000000000001</v>
      </c>
      <c r="R418">
        <v>14.7</v>
      </c>
      <c r="S418">
        <v>0.4</v>
      </c>
      <c r="T418">
        <v>0.1</v>
      </c>
      <c r="U418">
        <v>0</v>
      </c>
      <c r="V418">
        <v>0.3</v>
      </c>
      <c r="W418">
        <v>0</v>
      </c>
      <c r="X418">
        <v>0.3</v>
      </c>
      <c r="Y418">
        <v>0</v>
      </c>
      <c r="Z418">
        <v>0.1</v>
      </c>
      <c r="AA418">
        <v>0</v>
      </c>
      <c r="AB418">
        <v>0.2</v>
      </c>
      <c r="AC418" t="s">
        <v>1002</v>
      </c>
      <c r="AD418">
        <v>60</v>
      </c>
      <c r="AE418" t="s">
        <v>1002</v>
      </c>
      <c r="AF418" s="4" t="s">
        <v>80</v>
      </c>
      <c r="AG418" s="4">
        <v>1228</v>
      </c>
      <c r="AH418" s="4" t="s">
        <v>81</v>
      </c>
      <c r="AI418" s="4">
        <v>1238</v>
      </c>
      <c r="AJ418" t="s">
        <v>1002</v>
      </c>
      <c r="AK418" t="s">
        <v>56</v>
      </c>
      <c r="AL418" t="s">
        <v>1021</v>
      </c>
      <c r="AM418">
        <v>8</v>
      </c>
      <c r="AN418">
        <v>0</v>
      </c>
      <c r="AO418">
        <v>9</v>
      </c>
      <c r="AP418">
        <v>0</v>
      </c>
      <c r="AQ418" s="5">
        <v>289</v>
      </c>
      <c r="AR418">
        <v>15</v>
      </c>
      <c r="AS418">
        <v>0</v>
      </c>
      <c r="AT418">
        <v>16</v>
      </c>
      <c r="AU418">
        <v>0</v>
      </c>
      <c r="AV418" s="5">
        <v>388</v>
      </c>
      <c r="AW418" t="s">
        <v>56</v>
      </c>
      <c r="AX418" s="6">
        <v>2854</v>
      </c>
      <c r="AY418" t="s">
        <v>1002</v>
      </c>
      <c r="AZ418" t="s">
        <v>56</v>
      </c>
    </row>
    <row r="419" spans="1:52" hidden="1" x14ac:dyDescent="0.45">
      <c r="A419">
        <v>502683.76142127602</v>
      </c>
      <c r="B419">
        <v>6922444.7080116495</v>
      </c>
      <c r="C419">
        <v>418</v>
      </c>
      <c r="D419" t="s">
        <v>1022</v>
      </c>
      <c r="E419" t="s">
        <v>1023</v>
      </c>
      <c r="F419" t="s">
        <v>1024</v>
      </c>
      <c r="G419" t="s">
        <v>829</v>
      </c>
      <c r="H419" s="3">
        <v>5585.5</v>
      </c>
      <c r="I419">
        <v>2</v>
      </c>
      <c r="J419" t="s">
        <v>56</v>
      </c>
      <c r="K419">
        <v>61.4</v>
      </c>
      <c r="L419">
        <v>68.400000000000006</v>
      </c>
      <c r="M419">
        <v>1</v>
      </c>
      <c r="N419" t="s">
        <v>56</v>
      </c>
      <c r="O419" t="s">
        <v>829</v>
      </c>
      <c r="P419">
        <v>72.8</v>
      </c>
      <c r="Q419">
        <v>1.3</v>
      </c>
      <c r="R419">
        <v>22.6</v>
      </c>
      <c r="S419">
        <v>0.9</v>
      </c>
      <c r="T419">
        <v>0.2</v>
      </c>
      <c r="U419">
        <v>0</v>
      </c>
      <c r="V419">
        <v>1</v>
      </c>
      <c r="W419">
        <v>0.1</v>
      </c>
      <c r="X419">
        <v>0.4</v>
      </c>
      <c r="Y419">
        <v>0.1</v>
      </c>
      <c r="Z419">
        <v>0</v>
      </c>
      <c r="AA419">
        <v>0</v>
      </c>
      <c r="AB419">
        <v>0.6</v>
      </c>
      <c r="AC419" t="s">
        <v>829</v>
      </c>
      <c r="AD419">
        <v>60</v>
      </c>
      <c r="AE419" t="s">
        <v>829</v>
      </c>
      <c r="AF419" s="4" t="s">
        <v>80</v>
      </c>
      <c r="AG419" s="4">
        <v>3099</v>
      </c>
      <c r="AH419" s="4" t="s">
        <v>81</v>
      </c>
      <c r="AI419" s="4">
        <v>2487</v>
      </c>
      <c r="AJ419" t="s">
        <v>829</v>
      </c>
      <c r="AK419" t="s">
        <v>56</v>
      </c>
      <c r="AL419" t="s">
        <v>1024</v>
      </c>
      <c r="AM419">
        <v>8</v>
      </c>
      <c r="AN419">
        <v>0</v>
      </c>
      <c r="AO419">
        <v>9</v>
      </c>
      <c r="AP419">
        <v>0</v>
      </c>
      <c r="AQ419" s="5">
        <v>708</v>
      </c>
      <c r="AR419">
        <v>15</v>
      </c>
      <c r="AS419">
        <v>0</v>
      </c>
      <c r="AT419">
        <v>16</v>
      </c>
      <c r="AU419">
        <v>0</v>
      </c>
      <c r="AV419" s="5">
        <v>734</v>
      </c>
      <c r="AW419" t="s">
        <v>56</v>
      </c>
      <c r="AX419" s="6">
        <v>6173</v>
      </c>
      <c r="AY419" t="s">
        <v>829</v>
      </c>
      <c r="AZ419" t="s">
        <v>56</v>
      </c>
    </row>
    <row r="420" spans="1:52" hidden="1" x14ac:dyDescent="0.45">
      <c r="A420">
        <v>502883.16342562699</v>
      </c>
      <c r="B420">
        <v>6940581.1933888504</v>
      </c>
      <c r="C420">
        <v>419</v>
      </c>
      <c r="D420" t="s">
        <v>1025</v>
      </c>
      <c r="E420" t="s">
        <v>71</v>
      </c>
      <c r="F420" t="s">
        <v>1026</v>
      </c>
      <c r="G420" t="s">
        <v>829</v>
      </c>
      <c r="H420" s="3">
        <v>23986.7</v>
      </c>
      <c r="I420">
        <v>2</v>
      </c>
      <c r="J420" t="s">
        <v>56</v>
      </c>
      <c r="K420">
        <v>55.5</v>
      </c>
      <c r="L420">
        <v>63.7</v>
      </c>
      <c r="M420">
        <v>1</v>
      </c>
      <c r="N420" t="s">
        <v>56</v>
      </c>
      <c r="O420" t="s">
        <v>829</v>
      </c>
      <c r="P420">
        <v>83.8</v>
      </c>
      <c r="Q420">
        <v>0.9</v>
      </c>
      <c r="R420">
        <v>11.6</v>
      </c>
      <c r="S420">
        <v>1.1000000000000001</v>
      </c>
      <c r="T420">
        <v>0.2</v>
      </c>
      <c r="U420">
        <v>0</v>
      </c>
      <c r="V420">
        <v>0.4</v>
      </c>
      <c r="W420">
        <v>0.3</v>
      </c>
      <c r="X420">
        <v>1.3</v>
      </c>
      <c r="Y420">
        <v>0.2</v>
      </c>
      <c r="Z420">
        <v>0</v>
      </c>
      <c r="AA420">
        <v>0</v>
      </c>
      <c r="AB420">
        <v>0.2</v>
      </c>
      <c r="AC420" t="s">
        <v>829</v>
      </c>
      <c r="AD420">
        <v>60</v>
      </c>
      <c r="AE420" t="s">
        <v>829</v>
      </c>
      <c r="AF420" s="4" t="s">
        <v>57</v>
      </c>
      <c r="AG420" s="4">
        <v>12092</v>
      </c>
      <c r="AH420" s="4" t="s">
        <v>58</v>
      </c>
      <c r="AI420" s="4">
        <v>11895</v>
      </c>
      <c r="AJ420" t="s">
        <v>829</v>
      </c>
      <c r="AK420" t="s">
        <v>56</v>
      </c>
      <c r="AL420" t="s">
        <v>1026</v>
      </c>
      <c r="AM420">
        <v>6</v>
      </c>
      <c r="AN420">
        <v>0</v>
      </c>
      <c r="AO420">
        <v>7</v>
      </c>
      <c r="AP420">
        <v>0</v>
      </c>
      <c r="AQ420" s="5">
        <v>1689</v>
      </c>
      <c r="AR420">
        <v>16</v>
      </c>
      <c r="AS420">
        <v>0</v>
      </c>
      <c r="AT420">
        <v>17</v>
      </c>
      <c r="AU420">
        <v>0</v>
      </c>
      <c r="AV420" s="5">
        <v>2029</v>
      </c>
      <c r="AW420" t="s">
        <v>56</v>
      </c>
      <c r="AX420" s="6">
        <v>27361</v>
      </c>
      <c r="AY420" t="s">
        <v>829</v>
      </c>
      <c r="AZ420" t="s">
        <v>56</v>
      </c>
    </row>
    <row r="421" spans="1:52" hidden="1" x14ac:dyDescent="0.45">
      <c r="A421">
        <v>511771.78222502698</v>
      </c>
      <c r="B421">
        <v>6936850.5320582399</v>
      </c>
      <c r="C421">
        <v>420</v>
      </c>
      <c r="D421" t="s">
        <v>1027</v>
      </c>
      <c r="E421" t="s">
        <v>795</v>
      </c>
      <c r="F421" t="s">
        <v>1028</v>
      </c>
      <c r="G421" t="s">
        <v>1002</v>
      </c>
      <c r="H421" s="3">
        <v>8069</v>
      </c>
      <c r="I421">
        <v>2</v>
      </c>
      <c r="J421" t="s">
        <v>56</v>
      </c>
      <c r="K421">
        <v>64.2</v>
      </c>
      <c r="L421">
        <v>70.599999999999994</v>
      </c>
      <c r="M421">
        <v>1</v>
      </c>
      <c r="N421" t="s">
        <v>56</v>
      </c>
      <c r="O421" t="s">
        <v>1002</v>
      </c>
      <c r="P421">
        <v>79.900000000000006</v>
      </c>
      <c r="Q421">
        <v>1.4</v>
      </c>
      <c r="R421">
        <v>14.4</v>
      </c>
      <c r="S421">
        <v>2.2999999999999998</v>
      </c>
      <c r="T421">
        <v>0.6</v>
      </c>
      <c r="U421">
        <v>0</v>
      </c>
      <c r="V421">
        <v>0.5</v>
      </c>
      <c r="W421">
        <v>0.1</v>
      </c>
      <c r="X421">
        <v>0.1</v>
      </c>
      <c r="Y421">
        <v>0.1</v>
      </c>
      <c r="Z421">
        <v>0</v>
      </c>
      <c r="AA421">
        <v>0</v>
      </c>
      <c r="AB421">
        <v>0.6</v>
      </c>
      <c r="AC421" t="s">
        <v>1002</v>
      </c>
      <c r="AD421">
        <v>60</v>
      </c>
      <c r="AE421" t="s">
        <v>1002</v>
      </c>
      <c r="AF421" s="4" t="s">
        <v>80</v>
      </c>
      <c r="AG421" s="4">
        <v>3952</v>
      </c>
      <c r="AH421" s="4" t="s">
        <v>81</v>
      </c>
      <c r="AI421" s="4">
        <v>4118</v>
      </c>
      <c r="AJ421" t="s">
        <v>1002</v>
      </c>
      <c r="AK421" t="s">
        <v>56</v>
      </c>
      <c r="AL421" t="s">
        <v>1028</v>
      </c>
      <c r="AM421">
        <v>8</v>
      </c>
      <c r="AN421">
        <v>0</v>
      </c>
      <c r="AO421">
        <v>9</v>
      </c>
      <c r="AP421">
        <v>0</v>
      </c>
      <c r="AQ421" s="5">
        <v>798</v>
      </c>
      <c r="AR421">
        <v>15</v>
      </c>
      <c r="AS421">
        <v>0</v>
      </c>
      <c r="AT421">
        <v>16</v>
      </c>
      <c r="AU421">
        <v>0</v>
      </c>
      <c r="AV421" s="5">
        <v>880</v>
      </c>
      <c r="AW421" t="s">
        <v>56</v>
      </c>
      <c r="AX421" s="6">
        <v>8925</v>
      </c>
      <c r="AY421" t="s">
        <v>1002</v>
      </c>
      <c r="AZ421" t="s">
        <v>56</v>
      </c>
    </row>
    <row r="422" spans="1:52" hidden="1" x14ac:dyDescent="0.45">
      <c r="A422">
        <v>497753.82069997501</v>
      </c>
      <c r="B422">
        <v>6928696.5375515996</v>
      </c>
      <c r="C422">
        <v>421</v>
      </c>
      <c r="D422" t="s">
        <v>1029</v>
      </c>
      <c r="E422" t="s">
        <v>1030</v>
      </c>
      <c r="F422" t="s">
        <v>1031</v>
      </c>
      <c r="G422" t="s">
        <v>829</v>
      </c>
      <c r="H422" s="3">
        <v>184</v>
      </c>
      <c r="I422">
        <v>2</v>
      </c>
      <c r="J422" t="s">
        <v>56</v>
      </c>
      <c r="K422">
        <v>64.599999999999994</v>
      </c>
      <c r="L422">
        <v>79.900000000000006</v>
      </c>
      <c r="M422">
        <v>1</v>
      </c>
      <c r="N422" t="s">
        <v>56</v>
      </c>
      <c r="O422" t="s">
        <v>829</v>
      </c>
      <c r="P422">
        <v>69.900000000000006</v>
      </c>
      <c r="Q422">
        <v>3</v>
      </c>
      <c r="R422">
        <v>23.1</v>
      </c>
      <c r="S422">
        <v>0.5</v>
      </c>
      <c r="T422">
        <v>0.1</v>
      </c>
      <c r="U422">
        <v>0</v>
      </c>
      <c r="V422">
        <v>2</v>
      </c>
      <c r="W422">
        <v>0.4</v>
      </c>
      <c r="X422">
        <v>0</v>
      </c>
      <c r="Y422">
        <v>0</v>
      </c>
      <c r="Z422">
        <v>0</v>
      </c>
      <c r="AA422">
        <v>0</v>
      </c>
      <c r="AB422">
        <v>1</v>
      </c>
      <c r="AC422" t="s">
        <v>829</v>
      </c>
      <c r="AD422">
        <v>60</v>
      </c>
      <c r="AE422" t="s">
        <v>829</v>
      </c>
      <c r="AF422" s="4" t="s">
        <v>57</v>
      </c>
      <c r="AG422" s="4">
        <v>94</v>
      </c>
      <c r="AH422" s="4" t="s">
        <v>58</v>
      </c>
      <c r="AI422" s="4">
        <v>90</v>
      </c>
      <c r="AJ422" t="s">
        <v>829</v>
      </c>
      <c r="AK422" t="s">
        <v>56</v>
      </c>
      <c r="AL422" t="s">
        <v>1031</v>
      </c>
      <c r="AM422">
        <v>8</v>
      </c>
      <c r="AN422">
        <v>0</v>
      </c>
      <c r="AO422">
        <v>9</v>
      </c>
      <c r="AP422">
        <v>0</v>
      </c>
      <c r="AQ422" s="5">
        <v>13</v>
      </c>
      <c r="AR422">
        <v>16</v>
      </c>
      <c r="AS422">
        <v>0</v>
      </c>
      <c r="AT422">
        <v>17</v>
      </c>
      <c r="AU422">
        <v>0</v>
      </c>
      <c r="AV422" s="5">
        <v>20</v>
      </c>
      <c r="AW422" t="s">
        <v>56</v>
      </c>
      <c r="AX422" s="6">
        <v>189</v>
      </c>
      <c r="AY422" t="s">
        <v>829</v>
      </c>
      <c r="AZ422" t="s">
        <v>56</v>
      </c>
    </row>
    <row r="423" spans="1:52" hidden="1" x14ac:dyDescent="0.45">
      <c r="A423">
        <v>516720.55936438998</v>
      </c>
      <c r="B423">
        <v>6940162.8608201304</v>
      </c>
      <c r="C423">
        <v>422</v>
      </c>
      <c r="D423" t="s">
        <v>1032</v>
      </c>
      <c r="E423" t="s">
        <v>866</v>
      </c>
      <c r="F423" t="s">
        <v>1033</v>
      </c>
      <c r="G423" t="s">
        <v>820</v>
      </c>
      <c r="H423" s="3">
        <v>4600.7</v>
      </c>
      <c r="I423">
        <v>2</v>
      </c>
      <c r="J423" t="s">
        <v>56</v>
      </c>
      <c r="K423">
        <v>44.6</v>
      </c>
      <c r="L423">
        <v>49</v>
      </c>
      <c r="M423">
        <v>1</v>
      </c>
      <c r="N423" t="s">
        <v>56</v>
      </c>
      <c r="O423" t="s">
        <v>820</v>
      </c>
      <c r="P423">
        <v>86.5</v>
      </c>
      <c r="Q423">
        <v>0.7</v>
      </c>
      <c r="R423">
        <v>10.5</v>
      </c>
      <c r="S423">
        <v>1.2</v>
      </c>
      <c r="T423">
        <v>0.1</v>
      </c>
      <c r="U423">
        <v>0</v>
      </c>
      <c r="V423">
        <v>0.3</v>
      </c>
      <c r="W423">
        <v>0.1</v>
      </c>
      <c r="X423">
        <v>0</v>
      </c>
      <c r="Y423">
        <v>0</v>
      </c>
      <c r="Z423">
        <v>0</v>
      </c>
      <c r="AA423">
        <v>0</v>
      </c>
      <c r="AB423">
        <v>0.6</v>
      </c>
      <c r="AC423" t="s">
        <v>820</v>
      </c>
      <c r="AD423">
        <v>60</v>
      </c>
      <c r="AE423" t="s">
        <v>820</v>
      </c>
      <c r="AF423" s="4" t="s">
        <v>80</v>
      </c>
      <c r="AG423" s="4">
        <v>2979</v>
      </c>
      <c r="AH423" s="4" t="s">
        <v>81</v>
      </c>
      <c r="AI423" s="4">
        <v>1622</v>
      </c>
      <c r="AJ423" t="s">
        <v>820</v>
      </c>
      <c r="AK423" t="s">
        <v>56</v>
      </c>
      <c r="AL423" t="s">
        <v>1033</v>
      </c>
      <c r="AM423">
        <v>7</v>
      </c>
      <c r="AN423">
        <v>0</v>
      </c>
      <c r="AO423">
        <v>8</v>
      </c>
      <c r="AP423">
        <v>0</v>
      </c>
      <c r="AQ423" s="5">
        <v>1198</v>
      </c>
      <c r="AR423">
        <v>16</v>
      </c>
      <c r="AS423">
        <v>0</v>
      </c>
      <c r="AT423">
        <v>17</v>
      </c>
      <c r="AU423">
        <v>0</v>
      </c>
      <c r="AV423" s="5">
        <v>367</v>
      </c>
      <c r="AW423" t="s">
        <v>56</v>
      </c>
      <c r="AX423" s="6">
        <v>5393</v>
      </c>
      <c r="AY423" t="s">
        <v>820</v>
      </c>
      <c r="AZ423" t="s">
        <v>56</v>
      </c>
    </row>
    <row r="424" spans="1:52" hidden="1" x14ac:dyDescent="0.45">
      <c r="A424">
        <v>516993.93944798899</v>
      </c>
      <c r="B424">
        <v>6939869.2734036501</v>
      </c>
      <c r="C424">
        <v>423</v>
      </c>
      <c r="D424" t="s">
        <v>1034</v>
      </c>
      <c r="E424" t="s">
        <v>866</v>
      </c>
      <c r="F424" t="s">
        <v>1035</v>
      </c>
      <c r="G424" t="s">
        <v>820</v>
      </c>
      <c r="H424" s="3">
        <v>8860</v>
      </c>
      <c r="I424">
        <v>2</v>
      </c>
      <c r="J424" t="s">
        <v>56</v>
      </c>
      <c r="K424">
        <v>37.200000000000003</v>
      </c>
      <c r="L424">
        <v>45</v>
      </c>
      <c r="M424">
        <v>1</v>
      </c>
      <c r="N424" t="s">
        <v>56</v>
      </c>
      <c r="O424" t="s">
        <v>820</v>
      </c>
      <c r="P424">
        <v>80.8</v>
      </c>
      <c r="Q424">
        <v>0.5</v>
      </c>
      <c r="R424">
        <v>16.399999999999999</v>
      </c>
      <c r="S424">
        <v>1</v>
      </c>
      <c r="T424">
        <v>0.2</v>
      </c>
      <c r="U424">
        <v>0.1</v>
      </c>
      <c r="V424">
        <v>0.2</v>
      </c>
      <c r="W424">
        <v>0.1</v>
      </c>
      <c r="X424">
        <v>0.1</v>
      </c>
      <c r="Y424">
        <v>0</v>
      </c>
      <c r="Z424">
        <v>0</v>
      </c>
      <c r="AA424">
        <v>0</v>
      </c>
      <c r="AB424">
        <v>0.6</v>
      </c>
      <c r="AC424" t="s">
        <v>820</v>
      </c>
      <c r="AD424">
        <v>60</v>
      </c>
      <c r="AE424" t="s">
        <v>820</v>
      </c>
      <c r="AF424" s="4" t="s">
        <v>80</v>
      </c>
      <c r="AG424" s="4">
        <v>8861</v>
      </c>
      <c r="AJ424" t="s">
        <v>820</v>
      </c>
      <c r="AK424" t="s">
        <v>56</v>
      </c>
      <c r="AL424" t="s">
        <v>1035</v>
      </c>
      <c r="AM424">
        <v>8</v>
      </c>
      <c r="AN424">
        <v>0</v>
      </c>
      <c r="AO424">
        <v>9</v>
      </c>
      <c r="AP424">
        <v>0</v>
      </c>
      <c r="AQ424" s="5">
        <v>804</v>
      </c>
      <c r="AR424">
        <v>17</v>
      </c>
      <c r="AS424">
        <v>0</v>
      </c>
      <c r="AT424">
        <v>18</v>
      </c>
      <c r="AU424">
        <v>0</v>
      </c>
      <c r="AV424" s="5">
        <v>898</v>
      </c>
      <c r="AW424" t="s">
        <v>56</v>
      </c>
      <c r="AX424" s="6">
        <v>9150</v>
      </c>
      <c r="AY424" t="s">
        <v>820</v>
      </c>
      <c r="AZ424" t="s">
        <v>56</v>
      </c>
    </row>
    <row r="425" spans="1:52" hidden="1" x14ac:dyDescent="0.45">
      <c r="A425">
        <v>517003.220098958</v>
      </c>
      <c r="B425">
        <v>6939876.3497372996</v>
      </c>
      <c r="C425">
        <v>424</v>
      </c>
      <c r="D425" t="s">
        <v>1036</v>
      </c>
      <c r="E425" t="s">
        <v>866</v>
      </c>
      <c r="F425" t="s">
        <v>1037</v>
      </c>
      <c r="G425" t="s">
        <v>820</v>
      </c>
      <c r="H425" s="3">
        <v>8001</v>
      </c>
      <c r="I425">
        <v>2</v>
      </c>
      <c r="J425" t="s">
        <v>56</v>
      </c>
      <c r="K425">
        <v>41.2</v>
      </c>
      <c r="L425">
        <v>45.4</v>
      </c>
      <c r="M425">
        <v>1</v>
      </c>
      <c r="N425" t="s">
        <v>56</v>
      </c>
      <c r="O425" t="s">
        <v>820</v>
      </c>
      <c r="P425">
        <v>82.5</v>
      </c>
      <c r="Q425">
        <v>1.6</v>
      </c>
      <c r="R425">
        <v>7.2</v>
      </c>
      <c r="S425">
        <v>4.7</v>
      </c>
      <c r="T425">
        <v>0.6</v>
      </c>
      <c r="U425">
        <v>0.2</v>
      </c>
      <c r="V425">
        <v>0.2</v>
      </c>
      <c r="W425">
        <v>0.6</v>
      </c>
      <c r="X425">
        <v>0.5</v>
      </c>
      <c r="Y425">
        <v>0.2</v>
      </c>
      <c r="Z425">
        <v>0.2</v>
      </c>
      <c r="AA425">
        <v>0</v>
      </c>
      <c r="AB425">
        <v>1.5</v>
      </c>
      <c r="AC425" t="s">
        <v>820</v>
      </c>
      <c r="AD425">
        <v>60</v>
      </c>
      <c r="AE425" t="s">
        <v>820</v>
      </c>
      <c r="AF425" s="4" t="s">
        <v>81</v>
      </c>
      <c r="AG425" s="4">
        <v>8001</v>
      </c>
      <c r="AJ425" t="s">
        <v>820</v>
      </c>
      <c r="AK425" t="s">
        <v>56</v>
      </c>
      <c r="AL425" t="s">
        <v>1037</v>
      </c>
      <c r="AM425">
        <v>8</v>
      </c>
      <c r="AN425">
        <v>0</v>
      </c>
      <c r="AO425">
        <v>9</v>
      </c>
      <c r="AP425">
        <v>0</v>
      </c>
      <c r="AQ425" s="5">
        <v>548</v>
      </c>
      <c r="AR425">
        <v>16</v>
      </c>
      <c r="AS425">
        <v>0</v>
      </c>
      <c r="AT425">
        <v>17</v>
      </c>
      <c r="AU425">
        <v>0</v>
      </c>
      <c r="AV425" s="5">
        <v>909</v>
      </c>
      <c r="AW425" t="s">
        <v>56</v>
      </c>
      <c r="AX425" s="6">
        <v>8207</v>
      </c>
      <c r="AY425" t="s">
        <v>820</v>
      </c>
      <c r="AZ425" t="s">
        <v>56</v>
      </c>
    </row>
    <row r="426" spans="1:52" hidden="1" x14ac:dyDescent="0.45">
      <c r="A426">
        <v>496500.98947901803</v>
      </c>
      <c r="B426">
        <v>6924849.9160716096</v>
      </c>
      <c r="C426">
        <v>425</v>
      </c>
      <c r="D426" t="s">
        <v>1038</v>
      </c>
      <c r="E426" t="s">
        <v>1023</v>
      </c>
      <c r="F426" t="s">
        <v>1039</v>
      </c>
      <c r="G426" t="s">
        <v>829</v>
      </c>
      <c r="H426" s="3">
        <v>897</v>
      </c>
      <c r="I426">
        <v>2</v>
      </c>
      <c r="J426" t="s">
        <v>56</v>
      </c>
      <c r="K426">
        <v>55.7</v>
      </c>
      <c r="L426">
        <v>63.7</v>
      </c>
      <c r="M426">
        <v>1</v>
      </c>
      <c r="N426" t="s">
        <v>56</v>
      </c>
      <c r="O426" t="s">
        <v>829</v>
      </c>
      <c r="P426">
        <v>78.8</v>
      </c>
      <c r="Q426">
        <v>1.6</v>
      </c>
      <c r="R426">
        <v>18</v>
      </c>
      <c r="S426">
        <v>0.8</v>
      </c>
      <c r="T426">
        <v>0.2</v>
      </c>
      <c r="U426">
        <v>0</v>
      </c>
      <c r="V426">
        <v>0.3</v>
      </c>
      <c r="W426">
        <v>0</v>
      </c>
      <c r="X426">
        <v>0.1</v>
      </c>
      <c r="Y426">
        <v>0</v>
      </c>
      <c r="Z426">
        <v>0</v>
      </c>
      <c r="AA426">
        <v>0</v>
      </c>
      <c r="AB426">
        <v>0.2</v>
      </c>
      <c r="AC426" t="s">
        <v>829</v>
      </c>
      <c r="AD426">
        <v>50</v>
      </c>
      <c r="AE426" t="s">
        <v>829</v>
      </c>
      <c r="AF426" s="4" t="s">
        <v>57</v>
      </c>
      <c r="AG426" s="4">
        <v>452</v>
      </c>
      <c r="AH426" s="4" t="s">
        <v>58</v>
      </c>
      <c r="AI426" s="4">
        <v>444</v>
      </c>
      <c r="AJ426" t="s">
        <v>829</v>
      </c>
      <c r="AK426" t="s">
        <v>56</v>
      </c>
      <c r="AL426" t="s">
        <v>1039</v>
      </c>
      <c r="AM426">
        <v>7</v>
      </c>
      <c r="AN426">
        <v>0</v>
      </c>
      <c r="AO426">
        <v>8</v>
      </c>
      <c r="AP426">
        <v>0</v>
      </c>
      <c r="AQ426" s="5">
        <v>70</v>
      </c>
      <c r="AR426">
        <v>16</v>
      </c>
      <c r="AS426">
        <v>0</v>
      </c>
      <c r="AT426">
        <v>17</v>
      </c>
      <c r="AU426">
        <v>0</v>
      </c>
      <c r="AV426" s="5">
        <v>89</v>
      </c>
      <c r="AW426" t="s">
        <v>56</v>
      </c>
      <c r="AX426" s="6">
        <v>948</v>
      </c>
      <c r="AY426" t="s">
        <v>829</v>
      </c>
      <c r="AZ426" t="s">
        <v>56</v>
      </c>
    </row>
    <row r="427" spans="1:52" hidden="1" x14ac:dyDescent="0.45">
      <c r="A427">
        <v>507045.181491411</v>
      </c>
      <c r="B427">
        <v>6932605.25239255</v>
      </c>
      <c r="C427">
        <v>426</v>
      </c>
      <c r="D427" t="s">
        <v>1040</v>
      </c>
      <c r="E427" t="s">
        <v>166</v>
      </c>
      <c r="F427" t="s">
        <v>1041</v>
      </c>
      <c r="G427" t="s">
        <v>829</v>
      </c>
      <c r="H427" s="3">
        <v>164</v>
      </c>
      <c r="I427">
        <v>2</v>
      </c>
      <c r="J427" t="s">
        <v>56</v>
      </c>
      <c r="K427">
        <v>54.8</v>
      </c>
      <c r="L427">
        <v>66.2</v>
      </c>
      <c r="M427">
        <v>1</v>
      </c>
      <c r="N427" t="s">
        <v>56</v>
      </c>
      <c r="O427" t="s">
        <v>829</v>
      </c>
      <c r="P427">
        <v>77.8</v>
      </c>
      <c r="Q427">
        <v>2.6</v>
      </c>
      <c r="R427">
        <v>17</v>
      </c>
      <c r="S427">
        <v>1.2</v>
      </c>
      <c r="T427">
        <v>0</v>
      </c>
      <c r="U427">
        <v>0</v>
      </c>
      <c r="V427">
        <v>1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0.4</v>
      </c>
      <c r="AC427" t="s">
        <v>829</v>
      </c>
      <c r="AD427">
        <v>60</v>
      </c>
      <c r="AE427" t="s">
        <v>829</v>
      </c>
      <c r="AF427" s="4" t="s">
        <v>57</v>
      </c>
      <c r="AG427" s="4">
        <v>82</v>
      </c>
      <c r="AH427" s="4" t="s">
        <v>58</v>
      </c>
      <c r="AI427" s="4">
        <v>82</v>
      </c>
      <c r="AJ427" t="s">
        <v>829</v>
      </c>
      <c r="AK427" t="s">
        <v>56</v>
      </c>
      <c r="AL427" t="s">
        <v>1041</v>
      </c>
      <c r="AM427">
        <v>8</v>
      </c>
      <c r="AN427">
        <v>0</v>
      </c>
      <c r="AO427">
        <v>9</v>
      </c>
      <c r="AP427">
        <v>0</v>
      </c>
      <c r="AQ427" s="5">
        <v>14</v>
      </c>
      <c r="AR427">
        <v>15</v>
      </c>
      <c r="AS427">
        <v>0</v>
      </c>
      <c r="AT427">
        <v>16</v>
      </c>
      <c r="AU427">
        <v>0</v>
      </c>
      <c r="AV427" s="5">
        <v>19</v>
      </c>
      <c r="AW427" t="s">
        <v>56</v>
      </c>
      <c r="AX427" s="6">
        <v>173</v>
      </c>
      <c r="AY427" t="s">
        <v>829</v>
      </c>
      <c r="AZ427" t="s">
        <v>56</v>
      </c>
    </row>
    <row r="428" spans="1:52" hidden="1" x14ac:dyDescent="0.45">
      <c r="A428">
        <v>522436.80370398099</v>
      </c>
      <c r="B428">
        <v>6938440.0432077805</v>
      </c>
      <c r="C428">
        <v>427</v>
      </c>
      <c r="D428" t="s">
        <v>1042</v>
      </c>
      <c r="E428" t="s">
        <v>780</v>
      </c>
      <c r="F428" t="s">
        <v>1043</v>
      </c>
      <c r="G428" t="s">
        <v>1002</v>
      </c>
      <c r="H428" s="3">
        <v>223</v>
      </c>
      <c r="I428">
        <v>2</v>
      </c>
      <c r="J428" t="s">
        <v>56</v>
      </c>
      <c r="K428">
        <v>36.200000000000003</v>
      </c>
      <c r="L428">
        <v>45</v>
      </c>
      <c r="M428">
        <v>1</v>
      </c>
      <c r="N428" t="s">
        <v>56</v>
      </c>
      <c r="O428" t="s">
        <v>1002</v>
      </c>
      <c r="P428">
        <v>72.2</v>
      </c>
      <c r="Q428">
        <v>2.2999999999999998</v>
      </c>
      <c r="R428">
        <v>21.5</v>
      </c>
      <c r="S428">
        <v>1</v>
      </c>
      <c r="T428">
        <v>0.3</v>
      </c>
      <c r="U428">
        <v>0</v>
      </c>
      <c r="V428">
        <v>1.3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1.4</v>
      </c>
      <c r="AC428" t="s">
        <v>1002</v>
      </c>
      <c r="AD428">
        <v>50</v>
      </c>
      <c r="AE428" t="s">
        <v>1002</v>
      </c>
      <c r="AF428" s="4" t="s">
        <v>80</v>
      </c>
      <c r="AG428" s="4">
        <v>117</v>
      </c>
      <c r="AH428" s="4" t="s">
        <v>81</v>
      </c>
      <c r="AI428" s="4">
        <v>117</v>
      </c>
      <c r="AJ428" t="s">
        <v>1002</v>
      </c>
      <c r="AK428" t="s">
        <v>56</v>
      </c>
      <c r="AL428" t="s">
        <v>1043</v>
      </c>
      <c r="AM428">
        <v>11</v>
      </c>
      <c r="AN428">
        <v>0</v>
      </c>
      <c r="AO428">
        <v>12</v>
      </c>
      <c r="AP428">
        <v>0</v>
      </c>
      <c r="AQ428" s="5">
        <v>34.5</v>
      </c>
      <c r="AR428">
        <v>14</v>
      </c>
      <c r="AS428">
        <v>0</v>
      </c>
      <c r="AT428">
        <v>15</v>
      </c>
      <c r="AU428">
        <v>0</v>
      </c>
      <c r="AV428" s="5">
        <v>38</v>
      </c>
      <c r="AW428" t="s">
        <v>56</v>
      </c>
      <c r="AX428" s="6">
        <v>216</v>
      </c>
      <c r="AY428" t="s">
        <v>1002</v>
      </c>
      <c r="AZ428" t="s">
        <v>56</v>
      </c>
    </row>
    <row r="429" spans="1:52" hidden="1" x14ac:dyDescent="0.45">
      <c r="A429">
        <v>511902.42858268402</v>
      </c>
      <c r="B429">
        <v>6945933.8588005695</v>
      </c>
      <c r="C429">
        <v>428</v>
      </c>
      <c r="D429" t="s">
        <v>1044</v>
      </c>
      <c r="E429" t="s">
        <v>526</v>
      </c>
      <c r="F429" t="s">
        <v>1045</v>
      </c>
      <c r="G429" t="s">
        <v>820</v>
      </c>
      <c r="H429" s="3">
        <v>10821.8</v>
      </c>
      <c r="I429">
        <v>2</v>
      </c>
      <c r="J429" t="s">
        <v>56</v>
      </c>
      <c r="K429">
        <v>52.9</v>
      </c>
      <c r="L429">
        <v>60.5</v>
      </c>
      <c r="M429">
        <v>1</v>
      </c>
      <c r="N429" t="s">
        <v>56</v>
      </c>
      <c r="O429" t="s">
        <v>820</v>
      </c>
      <c r="P429">
        <v>85.6</v>
      </c>
      <c r="Q429">
        <v>1</v>
      </c>
      <c r="R429">
        <v>11.7</v>
      </c>
      <c r="S429">
        <v>0.5</v>
      </c>
      <c r="T429">
        <v>0.3</v>
      </c>
      <c r="U429">
        <v>0</v>
      </c>
      <c r="V429">
        <v>0.2</v>
      </c>
      <c r="W429">
        <v>0</v>
      </c>
      <c r="X429">
        <v>0.1</v>
      </c>
      <c r="Y429">
        <v>0</v>
      </c>
      <c r="Z429">
        <v>0</v>
      </c>
      <c r="AA429">
        <v>0</v>
      </c>
      <c r="AB429">
        <v>0.6</v>
      </c>
      <c r="AC429" t="s">
        <v>820</v>
      </c>
      <c r="AD429">
        <v>60</v>
      </c>
      <c r="AE429" t="s">
        <v>820</v>
      </c>
      <c r="AH429" s="4" t="s">
        <v>58</v>
      </c>
      <c r="AI429" s="4">
        <v>3449</v>
      </c>
      <c r="AJ429" t="s">
        <v>820</v>
      </c>
      <c r="AK429" t="s">
        <v>56</v>
      </c>
      <c r="AL429" t="s">
        <v>1045</v>
      </c>
      <c r="AM429">
        <v>8</v>
      </c>
      <c r="AN429">
        <v>0</v>
      </c>
      <c r="AO429">
        <v>9</v>
      </c>
      <c r="AP429">
        <v>0</v>
      </c>
      <c r="AQ429" s="5">
        <v>1105</v>
      </c>
      <c r="AR429">
        <v>15</v>
      </c>
      <c r="AS429">
        <v>0</v>
      </c>
      <c r="AT429">
        <v>16</v>
      </c>
      <c r="AU429">
        <v>0</v>
      </c>
      <c r="AV429" s="5">
        <v>899</v>
      </c>
      <c r="AW429" t="s">
        <v>56</v>
      </c>
      <c r="AX429" s="6">
        <v>11608</v>
      </c>
      <c r="AY429" t="s">
        <v>820</v>
      </c>
      <c r="AZ429" t="s">
        <v>56</v>
      </c>
    </row>
    <row r="430" spans="1:52" hidden="1" x14ac:dyDescent="0.45">
      <c r="A430">
        <v>511645.16717350902</v>
      </c>
      <c r="B430">
        <v>6945811.2641484998</v>
      </c>
      <c r="C430">
        <v>429</v>
      </c>
      <c r="D430" t="s">
        <v>1044</v>
      </c>
      <c r="E430" t="s">
        <v>526</v>
      </c>
      <c r="F430" t="s">
        <v>1046</v>
      </c>
      <c r="G430" t="s">
        <v>820</v>
      </c>
      <c r="H430" s="3">
        <v>10067.5</v>
      </c>
      <c r="I430">
        <v>2</v>
      </c>
      <c r="J430" t="s">
        <v>56</v>
      </c>
      <c r="K430">
        <v>43.1</v>
      </c>
      <c r="L430">
        <v>50</v>
      </c>
      <c r="M430">
        <v>1</v>
      </c>
      <c r="N430" t="s">
        <v>56</v>
      </c>
      <c r="O430" t="s">
        <v>820</v>
      </c>
      <c r="P430">
        <v>87.2</v>
      </c>
      <c r="Q430">
        <v>0.7</v>
      </c>
      <c r="R430">
        <v>10.8</v>
      </c>
      <c r="S430">
        <v>0.7</v>
      </c>
      <c r="T430">
        <v>0.1</v>
      </c>
      <c r="U430">
        <v>0</v>
      </c>
      <c r="V430">
        <v>0.3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0.2</v>
      </c>
      <c r="AC430" t="s">
        <v>820</v>
      </c>
      <c r="AD430">
        <v>60</v>
      </c>
      <c r="AE430" t="s">
        <v>820</v>
      </c>
      <c r="AF430" s="4" t="s">
        <v>57</v>
      </c>
      <c r="AG430" s="4">
        <v>10068</v>
      </c>
      <c r="AJ430" t="s">
        <v>820</v>
      </c>
      <c r="AK430" t="s">
        <v>56</v>
      </c>
      <c r="AL430" t="s">
        <v>1046</v>
      </c>
      <c r="AM430">
        <v>11</v>
      </c>
      <c r="AN430">
        <v>0</v>
      </c>
      <c r="AO430">
        <v>12</v>
      </c>
      <c r="AP430">
        <v>0</v>
      </c>
      <c r="AQ430" s="5">
        <v>921.5</v>
      </c>
      <c r="AR430">
        <v>16</v>
      </c>
      <c r="AS430">
        <v>0</v>
      </c>
      <c r="AT430">
        <v>17</v>
      </c>
      <c r="AU430">
        <v>0</v>
      </c>
      <c r="AV430" s="5">
        <v>1355</v>
      </c>
      <c r="AW430" t="s">
        <v>56</v>
      </c>
      <c r="AX430" s="6">
        <v>11856</v>
      </c>
      <c r="AY430" t="s">
        <v>820</v>
      </c>
      <c r="AZ430" t="s">
        <v>56</v>
      </c>
    </row>
    <row r="431" spans="1:52" hidden="1" x14ac:dyDescent="0.45">
      <c r="A431">
        <v>498126.39017725398</v>
      </c>
      <c r="B431">
        <v>6927340.2042424995</v>
      </c>
      <c r="C431">
        <v>430</v>
      </c>
      <c r="D431" t="s">
        <v>779</v>
      </c>
      <c r="E431" t="s">
        <v>1047</v>
      </c>
      <c r="F431" t="s">
        <v>1048</v>
      </c>
      <c r="G431" t="s">
        <v>829</v>
      </c>
      <c r="H431" s="3">
        <v>6750</v>
      </c>
      <c r="I431">
        <v>2</v>
      </c>
      <c r="J431" t="s">
        <v>56</v>
      </c>
      <c r="K431">
        <v>75.3</v>
      </c>
      <c r="L431">
        <v>82.8</v>
      </c>
      <c r="M431">
        <v>1</v>
      </c>
      <c r="N431" t="s">
        <v>56</v>
      </c>
      <c r="O431" t="s">
        <v>829</v>
      </c>
      <c r="P431">
        <v>79.900000000000006</v>
      </c>
      <c r="Q431">
        <v>1.8</v>
      </c>
      <c r="R431">
        <v>15.9</v>
      </c>
      <c r="S431">
        <v>0.7</v>
      </c>
      <c r="T431">
        <v>0.1</v>
      </c>
      <c r="U431">
        <v>0</v>
      </c>
      <c r="V431">
        <v>0.8</v>
      </c>
      <c r="W431">
        <v>0.1</v>
      </c>
      <c r="X431">
        <v>0.2</v>
      </c>
      <c r="Y431">
        <v>0.2</v>
      </c>
      <c r="Z431">
        <v>0</v>
      </c>
      <c r="AA431">
        <v>0</v>
      </c>
      <c r="AB431">
        <v>0.3</v>
      </c>
      <c r="AC431" t="s">
        <v>829</v>
      </c>
      <c r="AD431">
        <v>80</v>
      </c>
      <c r="AE431" t="s">
        <v>829</v>
      </c>
      <c r="AF431" s="4" t="s">
        <v>80</v>
      </c>
      <c r="AG431" s="4">
        <v>3262</v>
      </c>
      <c r="AH431" s="4" t="s">
        <v>81</v>
      </c>
      <c r="AI431" s="4">
        <v>3488</v>
      </c>
      <c r="AJ431" t="s">
        <v>829</v>
      </c>
      <c r="AK431" t="s">
        <v>56</v>
      </c>
      <c r="AL431" t="s">
        <v>1048</v>
      </c>
      <c r="AM431">
        <v>7</v>
      </c>
      <c r="AN431">
        <v>0</v>
      </c>
      <c r="AO431">
        <v>8</v>
      </c>
      <c r="AP431">
        <v>0</v>
      </c>
      <c r="AQ431" s="5">
        <v>581</v>
      </c>
      <c r="AR431">
        <v>15</v>
      </c>
      <c r="AS431">
        <v>0</v>
      </c>
      <c r="AT431">
        <v>16</v>
      </c>
      <c r="AU431">
        <v>0</v>
      </c>
      <c r="AV431" s="5">
        <v>722</v>
      </c>
      <c r="AW431" t="s">
        <v>56</v>
      </c>
      <c r="AX431" s="6">
        <v>7500</v>
      </c>
      <c r="AY431" t="s">
        <v>829</v>
      </c>
      <c r="AZ431" t="s">
        <v>56</v>
      </c>
    </row>
    <row r="432" spans="1:52" ht="28.5" hidden="1" x14ac:dyDescent="0.45">
      <c r="A432">
        <v>517243.80697609502</v>
      </c>
      <c r="B432">
        <v>6925336.05748377</v>
      </c>
      <c r="C432">
        <v>431</v>
      </c>
      <c r="D432" t="s">
        <v>1049</v>
      </c>
      <c r="E432" t="s">
        <v>1050</v>
      </c>
      <c r="F432" s="2" t="s">
        <v>1051</v>
      </c>
      <c r="G432" t="s">
        <v>820</v>
      </c>
      <c r="H432" s="3">
        <v>1514.3</v>
      </c>
      <c r="I432">
        <v>2</v>
      </c>
      <c r="J432" t="s">
        <v>56</v>
      </c>
      <c r="K432">
        <v>60.2</v>
      </c>
      <c r="L432">
        <v>69.5</v>
      </c>
      <c r="M432">
        <v>1</v>
      </c>
      <c r="N432" t="s">
        <v>56</v>
      </c>
      <c r="O432" t="s">
        <v>820</v>
      </c>
      <c r="P432">
        <v>65.099999999999994</v>
      </c>
      <c r="Q432">
        <v>1.5</v>
      </c>
      <c r="R432">
        <v>28.5</v>
      </c>
      <c r="S432">
        <v>1.6</v>
      </c>
      <c r="T432">
        <v>0.2</v>
      </c>
      <c r="U432">
        <v>0.1</v>
      </c>
      <c r="V432">
        <v>1.4</v>
      </c>
      <c r="W432">
        <v>0.1</v>
      </c>
      <c r="X432">
        <v>0.4</v>
      </c>
      <c r="Y432">
        <v>0.4</v>
      </c>
      <c r="Z432">
        <v>0.1</v>
      </c>
      <c r="AA432">
        <v>0</v>
      </c>
      <c r="AB432">
        <v>0.6</v>
      </c>
      <c r="AC432" t="s">
        <v>820</v>
      </c>
      <c r="AD432">
        <v>60</v>
      </c>
      <c r="AE432" t="s">
        <v>820</v>
      </c>
      <c r="AF432" s="4" t="s">
        <v>57</v>
      </c>
      <c r="AG432" s="4">
        <v>747</v>
      </c>
      <c r="AH432" s="4" t="s">
        <v>58</v>
      </c>
      <c r="AI432" s="4">
        <v>767</v>
      </c>
      <c r="AJ432" t="s">
        <v>820</v>
      </c>
      <c r="AK432" t="s">
        <v>56</v>
      </c>
      <c r="AL432" t="s">
        <v>1052</v>
      </c>
      <c r="AM432">
        <v>7</v>
      </c>
      <c r="AN432">
        <v>0</v>
      </c>
      <c r="AO432">
        <v>8</v>
      </c>
      <c r="AP432">
        <v>0</v>
      </c>
      <c r="AQ432" s="5">
        <v>133</v>
      </c>
      <c r="AR432">
        <v>16</v>
      </c>
      <c r="AS432">
        <v>0</v>
      </c>
      <c r="AT432">
        <v>17</v>
      </c>
      <c r="AU432">
        <v>0</v>
      </c>
      <c r="AV432" s="5">
        <v>174</v>
      </c>
      <c r="AW432" t="s">
        <v>56</v>
      </c>
      <c r="AX432" s="6">
        <v>1720</v>
      </c>
      <c r="AY432" t="s">
        <v>820</v>
      </c>
      <c r="AZ432" t="s">
        <v>56</v>
      </c>
    </row>
    <row r="433" spans="1:52" hidden="1" x14ac:dyDescent="0.45">
      <c r="A433">
        <v>511085.66020627198</v>
      </c>
      <c r="B433">
        <v>6926752.3947944297</v>
      </c>
      <c r="C433">
        <v>432</v>
      </c>
      <c r="D433" t="s">
        <v>1053</v>
      </c>
      <c r="E433" t="s">
        <v>1054</v>
      </c>
      <c r="F433" t="s">
        <v>1055</v>
      </c>
      <c r="G433" t="s">
        <v>820</v>
      </c>
      <c r="H433" s="3">
        <v>270</v>
      </c>
      <c r="I433">
        <v>2</v>
      </c>
      <c r="J433" t="s">
        <v>56</v>
      </c>
      <c r="K433">
        <v>65.8</v>
      </c>
      <c r="L433">
        <v>79.900000000000006</v>
      </c>
      <c r="M433">
        <v>1</v>
      </c>
      <c r="N433" t="s">
        <v>56</v>
      </c>
      <c r="O433" t="s">
        <v>820</v>
      </c>
      <c r="P433">
        <v>61.6</v>
      </c>
      <c r="Q433">
        <v>1.8</v>
      </c>
      <c r="R433">
        <v>33</v>
      </c>
      <c r="S433">
        <v>1.3</v>
      </c>
      <c r="T433">
        <v>0.1</v>
      </c>
      <c r="U433">
        <v>0</v>
      </c>
      <c r="V433">
        <v>1.2</v>
      </c>
      <c r="W433">
        <v>0</v>
      </c>
      <c r="X433">
        <v>0.1</v>
      </c>
      <c r="Y433">
        <v>0</v>
      </c>
      <c r="Z433">
        <v>0</v>
      </c>
      <c r="AA433">
        <v>0</v>
      </c>
      <c r="AB433">
        <v>0.9</v>
      </c>
      <c r="AC433" t="s">
        <v>820</v>
      </c>
      <c r="AD433">
        <v>60</v>
      </c>
      <c r="AE433" t="s">
        <v>820</v>
      </c>
      <c r="AF433" s="4" t="s">
        <v>57</v>
      </c>
      <c r="AG433" s="4">
        <v>123</v>
      </c>
      <c r="AH433" s="4" t="s">
        <v>58</v>
      </c>
      <c r="AI433" s="4">
        <v>148</v>
      </c>
      <c r="AJ433" t="s">
        <v>820</v>
      </c>
      <c r="AK433" t="s">
        <v>56</v>
      </c>
      <c r="AL433" t="s">
        <v>1055</v>
      </c>
      <c r="AM433">
        <v>11</v>
      </c>
      <c r="AN433">
        <v>0</v>
      </c>
      <c r="AO433">
        <v>12</v>
      </c>
      <c r="AP433">
        <v>0</v>
      </c>
      <c r="AQ433" s="5">
        <v>37</v>
      </c>
      <c r="AR433">
        <v>16</v>
      </c>
      <c r="AS433">
        <v>0</v>
      </c>
      <c r="AT433">
        <v>17</v>
      </c>
      <c r="AU433">
        <v>0</v>
      </c>
      <c r="AV433" s="5">
        <v>28</v>
      </c>
      <c r="AW433" t="s">
        <v>56</v>
      </c>
      <c r="AX433" s="6">
        <v>280</v>
      </c>
      <c r="AY433" t="s">
        <v>820</v>
      </c>
      <c r="AZ433" t="s">
        <v>56</v>
      </c>
    </row>
    <row r="434" spans="1:52" hidden="1" x14ac:dyDescent="0.45">
      <c r="A434">
        <v>512081.68722903403</v>
      </c>
      <c r="B434">
        <v>6945005.1044139201</v>
      </c>
      <c r="C434">
        <v>433</v>
      </c>
      <c r="D434" t="s">
        <v>1056</v>
      </c>
      <c r="E434" t="s">
        <v>1057</v>
      </c>
      <c r="F434" t="s">
        <v>1058</v>
      </c>
      <c r="G434" t="s">
        <v>1059</v>
      </c>
      <c r="H434" s="3">
        <v>3491</v>
      </c>
      <c r="I434">
        <v>2</v>
      </c>
      <c r="J434" t="s">
        <v>56</v>
      </c>
      <c r="K434">
        <v>48.9</v>
      </c>
      <c r="L434">
        <v>56.9</v>
      </c>
      <c r="M434">
        <v>1</v>
      </c>
      <c r="N434" t="s">
        <v>56</v>
      </c>
      <c r="O434" t="s">
        <v>1059</v>
      </c>
      <c r="P434">
        <v>67.099999999999994</v>
      </c>
      <c r="Q434">
        <v>0.9</v>
      </c>
      <c r="R434">
        <v>27.6</v>
      </c>
      <c r="S434">
        <v>1.3</v>
      </c>
      <c r="T434">
        <v>0.6</v>
      </c>
      <c r="U434">
        <v>0</v>
      </c>
      <c r="V434">
        <v>0.7</v>
      </c>
      <c r="W434">
        <v>0.8</v>
      </c>
      <c r="X434">
        <v>0.5</v>
      </c>
      <c r="Y434">
        <v>0.1</v>
      </c>
      <c r="Z434">
        <v>0</v>
      </c>
      <c r="AA434">
        <v>0</v>
      </c>
      <c r="AB434">
        <v>0.4</v>
      </c>
      <c r="AC434" t="s">
        <v>1059</v>
      </c>
      <c r="AD434">
        <v>50</v>
      </c>
      <c r="AE434" t="s">
        <v>1059</v>
      </c>
      <c r="AF434" s="4" t="s">
        <v>80</v>
      </c>
      <c r="AG434" s="4">
        <v>1872</v>
      </c>
      <c r="AH434" s="4" t="s">
        <v>81</v>
      </c>
      <c r="AI434" s="4">
        <v>1619</v>
      </c>
      <c r="AJ434" t="s">
        <v>1059</v>
      </c>
      <c r="AK434" t="s">
        <v>56</v>
      </c>
      <c r="AL434" t="s">
        <v>1058</v>
      </c>
      <c r="AM434">
        <v>11</v>
      </c>
      <c r="AN434">
        <v>0</v>
      </c>
      <c r="AO434">
        <v>12</v>
      </c>
      <c r="AP434">
        <v>0</v>
      </c>
      <c r="AQ434" s="5">
        <v>372</v>
      </c>
      <c r="AR434">
        <v>14</v>
      </c>
      <c r="AS434">
        <v>0</v>
      </c>
      <c r="AT434">
        <v>15</v>
      </c>
      <c r="AU434">
        <v>0</v>
      </c>
      <c r="AV434" s="5">
        <v>406</v>
      </c>
      <c r="AW434" t="s">
        <v>56</v>
      </c>
      <c r="AX434" s="6">
        <v>4088</v>
      </c>
      <c r="AY434" t="s">
        <v>1059</v>
      </c>
      <c r="AZ434" t="s">
        <v>56</v>
      </c>
    </row>
    <row r="435" spans="1:52" hidden="1" x14ac:dyDescent="0.45">
      <c r="A435">
        <v>521212.54624304298</v>
      </c>
      <c r="B435">
        <v>6936990.0340753002</v>
      </c>
      <c r="C435">
        <v>434</v>
      </c>
      <c r="D435" t="s">
        <v>1060</v>
      </c>
      <c r="E435" t="s">
        <v>310</v>
      </c>
      <c r="F435" t="s">
        <v>1061</v>
      </c>
      <c r="G435" t="s">
        <v>868</v>
      </c>
      <c r="H435" s="3">
        <v>1733</v>
      </c>
      <c r="I435">
        <v>2</v>
      </c>
      <c r="J435" t="s">
        <v>56</v>
      </c>
      <c r="K435">
        <v>50.1</v>
      </c>
      <c r="L435">
        <v>60.5</v>
      </c>
      <c r="M435">
        <v>1</v>
      </c>
      <c r="N435" t="s">
        <v>56</v>
      </c>
      <c r="O435" t="s">
        <v>868</v>
      </c>
      <c r="P435">
        <v>87.1</v>
      </c>
      <c r="Q435">
        <v>0.8</v>
      </c>
      <c r="R435">
        <v>10.7</v>
      </c>
      <c r="S435">
        <v>0.7</v>
      </c>
      <c r="T435">
        <v>0</v>
      </c>
      <c r="U435">
        <v>0</v>
      </c>
      <c r="V435">
        <v>0.3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0.4</v>
      </c>
      <c r="AC435" t="s">
        <v>868</v>
      </c>
      <c r="AD435">
        <v>60</v>
      </c>
      <c r="AE435" t="s">
        <v>868</v>
      </c>
      <c r="AF435" s="4" t="s">
        <v>80</v>
      </c>
      <c r="AG435" s="4">
        <v>873</v>
      </c>
      <c r="AH435" s="4" t="s">
        <v>81</v>
      </c>
      <c r="AI435" s="4">
        <v>860</v>
      </c>
      <c r="AJ435" t="s">
        <v>868</v>
      </c>
      <c r="AK435" t="s">
        <v>56</v>
      </c>
      <c r="AL435" t="s">
        <v>1061</v>
      </c>
      <c r="AM435">
        <v>11</v>
      </c>
      <c r="AN435">
        <v>0</v>
      </c>
      <c r="AO435">
        <v>12</v>
      </c>
      <c r="AP435">
        <v>0</v>
      </c>
      <c r="AQ435" s="5">
        <v>188</v>
      </c>
      <c r="AR435">
        <v>12</v>
      </c>
      <c r="AS435">
        <v>0</v>
      </c>
      <c r="AT435">
        <v>13</v>
      </c>
      <c r="AU435">
        <v>0</v>
      </c>
      <c r="AV435" s="5">
        <v>199</v>
      </c>
      <c r="AW435" t="s">
        <v>56</v>
      </c>
      <c r="AX435" s="6">
        <v>1852</v>
      </c>
      <c r="AY435" t="s">
        <v>868</v>
      </c>
      <c r="AZ435" t="s">
        <v>56</v>
      </c>
    </row>
    <row r="436" spans="1:52" hidden="1" x14ac:dyDescent="0.45">
      <c r="A436">
        <v>503590.47708152002</v>
      </c>
      <c r="B436">
        <v>6939362.7595292795</v>
      </c>
      <c r="C436">
        <v>435</v>
      </c>
      <c r="D436" t="s">
        <v>1062</v>
      </c>
      <c r="E436" t="s">
        <v>1063</v>
      </c>
      <c r="F436" t="s">
        <v>1064</v>
      </c>
      <c r="G436" t="s">
        <v>863</v>
      </c>
      <c r="H436" s="3">
        <v>1629</v>
      </c>
      <c r="I436">
        <v>2</v>
      </c>
      <c r="J436" t="s">
        <v>56</v>
      </c>
      <c r="K436">
        <v>43.3</v>
      </c>
      <c r="L436">
        <v>50.4</v>
      </c>
      <c r="M436">
        <v>1</v>
      </c>
      <c r="N436" t="s">
        <v>56</v>
      </c>
      <c r="O436" t="s">
        <v>863</v>
      </c>
      <c r="P436">
        <v>83</v>
      </c>
      <c r="Q436">
        <v>0.6</v>
      </c>
      <c r="R436">
        <v>15.6</v>
      </c>
      <c r="S436">
        <v>0.3</v>
      </c>
      <c r="T436">
        <v>0.1</v>
      </c>
      <c r="U436">
        <v>0</v>
      </c>
      <c r="V436">
        <v>0.3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0.1</v>
      </c>
      <c r="AC436" t="s">
        <v>863</v>
      </c>
      <c r="AD436">
        <v>50</v>
      </c>
      <c r="AE436" t="s">
        <v>863</v>
      </c>
      <c r="AF436" s="4" t="s">
        <v>57</v>
      </c>
      <c r="AG436" s="4">
        <v>751</v>
      </c>
      <c r="AH436" s="4" t="s">
        <v>58</v>
      </c>
      <c r="AI436" s="4">
        <v>878</v>
      </c>
      <c r="AJ436" t="s">
        <v>863</v>
      </c>
      <c r="AK436" t="s">
        <v>56</v>
      </c>
      <c r="AL436" t="s">
        <v>1064</v>
      </c>
      <c r="AM436">
        <v>8</v>
      </c>
      <c r="AN436">
        <v>0</v>
      </c>
      <c r="AO436">
        <v>9</v>
      </c>
      <c r="AP436">
        <v>0</v>
      </c>
      <c r="AQ436" s="5">
        <v>311</v>
      </c>
      <c r="AR436">
        <v>18</v>
      </c>
      <c r="AS436">
        <v>0</v>
      </c>
      <c r="AT436">
        <v>19</v>
      </c>
      <c r="AU436">
        <v>0</v>
      </c>
      <c r="AV436" s="5">
        <v>241</v>
      </c>
      <c r="AW436" t="s">
        <v>56</v>
      </c>
      <c r="AX436" s="6">
        <v>1794</v>
      </c>
      <c r="AY436" t="s">
        <v>863</v>
      </c>
      <c r="AZ436" t="s">
        <v>56</v>
      </c>
    </row>
    <row r="437" spans="1:52" hidden="1" x14ac:dyDescent="0.45">
      <c r="A437">
        <v>511877.98453975702</v>
      </c>
      <c r="B437">
        <v>6945049.83377223</v>
      </c>
      <c r="C437">
        <v>436</v>
      </c>
      <c r="D437" t="s">
        <v>1065</v>
      </c>
      <c r="E437" t="s">
        <v>1057</v>
      </c>
      <c r="F437" t="s">
        <v>1066</v>
      </c>
      <c r="G437" t="s">
        <v>1059</v>
      </c>
      <c r="H437" s="3">
        <v>850</v>
      </c>
      <c r="I437">
        <v>2</v>
      </c>
      <c r="J437" t="s">
        <v>56</v>
      </c>
      <c r="K437">
        <v>37.700000000000003</v>
      </c>
      <c r="L437">
        <v>48.2</v>
      </c>
      <c r="M437">
        <v>1</v>
      </c>
      <c r="N437" t="s">
        <v>56</v>
      </c>
      <c r="O437" t="s">
        <v>1059</v>
      </c>
      <c r="P437">
        <v>55.3</v>
      </c>
      <c r="Q437">
        <v>0.3</v>
      </c>
      <c r="R437">
        <v>33.4</v>
      </c>
      <c r="S437">
        <v>4.4000000000000004</v>
      </c>
      <c r="T437">
        <v>0.7</v>
      </c>
      <c r="U437">
        <v>0.1</v>
      </c>
      <c r="V437">
        <v>0.5</v>
      </c>
      <c r="W437">
        <v>3</v>
      </c>
      <c r="X437">
        <v>1.3</v>
      </c>
      <c r="Y437">
        <v>0.1</v>
      </c>
      <c r="Z437">
        <v>0</v>
      </c>
      <c r="AA437">
        <v>0</v>
      </c>
      <c r="AB437">
        <v>0.9</v>
      </c>
      <c r="AC437" t="s">
        <v>1059</v>
      </c>
      <c r="AD437">
        <v>50</v>
      </c>
      <c r="AE437" t="s">
        <v>1059</v>
      </c>
      <c r="AF437" s="4" t="s">
        <v>80</v>
      </c>
      <c r="AG437" s="4">
        <v>422</v>
      </c>
      <c r="AH437" s="4" t="s">
        <v>81</v>
      </c>
      <c r="AI437" s="4">
        <v>428</v>
      </c>
      <c r="AJ437" t="s">
        <v>1059</v>
      </c>
      <c r="AK437" t="s">
        <v>56</v>
      </c>
      <c r="AL437" t="s">
        <v>1066</v>
      </c>
      <c r="AM437">
        <v>10</v>
      </c>
      <c r="AN437">
        <v>0</v>
      </c>
      <c r="AO437">
        <v>11</v>
      </c>
      <c r="AP437">
        <v>0</v>
      </c>
      <c r="AQ437" s="5">
        <v>115</v>
      </c>
      <c r="AR437">
        <v>12</v>
      </c>
      <c r="AS437">
        <v>0</v>
      </c>
      <c r="AT437">
        <v>13</v>
      </c>
      <c r="AU437">
        <v>0</v>
      </c>
      <c r="AV437" s="5">
        <v>97</v>
      </c>
      <c r="AW437" t="s">
        <v>56</v>
      </c>
      <c r="AX437" s="6">
        <v>1008</v>
      </c>
      <c r="AY437" t="s">
        <v>1059</v>
      </c>
      <c r="AZ437" t="s">
        <v>56</v>
      </c>
    </row>
    <row r="438" spans="1:52" hidden="1" x14ac:dyDescent="0.45">
      <c r="A438">
        <v>513046.18059435801</v>
      </c>
      <c r="B438">
        <v>6945400.5539255999</v>
      </c>
      <c r="C438">
        <v>437</v>
      </c>
      <c r="D438" t="s">
        <v>1067</v>
      </c>
      <c r="E438" t="s">
        <v>302</v>
      </c>
      <c r="F438" t="s">
        <v>1068</v>
      </c>
      <c r="G438" t="s">
        <v>868</v>
      </c>
      <c r="H438" s="3">
        <v>5783</v>
      </c>
      <c r="I438">
        <v>2</v>
      </c>
      <c r="J438" t="s">
        <v>56</v>
      </c>
      <c r="K438">
        <v>52.5</v>
      </c>
      <c r="L438">
        <v>59</v>
      </c>
      <c r="M438">
        <v>1</v>
      </c>
      <c r="N438" t="s">
        <v>56</v>
      </c>
      <c r="O438" t="s">
        <v>868</v>
      </c>
      <c r="P438">
        <v>87.5</v>
      </c>
      <c r="Q438">
        <v>0.4</v>
      </c>
      <c r="R438">
        <v>11.7</v>
      </c>
      <c r="S438">
        <v>0.1</v>
      </c>
      <c r="T438">
        <v>0</v>
      </c>
      <c r="U438">
        <v>0</v>
      </c>
      <c r="V438">
        <v>0.1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0.2</v>
      </c>
      <c r="AC438" t="s">
        <v>868</v>
      </c>
      <c r="AD438">
        <v>60</v>
      </c>
      <c r="AE438" t="s">
        <v>868</v>
      </c>
      <c r="AF438" s="4" t="s">
        <v>80</v>
      </c>
      <c r="AG438" s="4">
        <v>3075</v>
      </c>
      <c r="AH438" s="4" t="s">
        <v>81</v>
      </c>
      <c r="AI438" s="4">
        <v>2708</v>
      </c>
      <c r="AJ438" t="s">
        <v>868</v>
      </c>
      <c r="AK438" t="s">
        <v>56</v>
      </c>
      <c r="AL438" t="s">
        <v>1068</v>
      </c>
      <c r="AM438">
        <v>8</v>
      </c>
      <c r="AN438">
        <v>0</v>
      </c>
      <c r="AO438">
        <v>9</v>
      </c>
      <c r="AP438">
        <v>0</v>
      </c>
      <c r="AQ438" s="5">
        <v>671</v>
      </c>
      <c r="AR438">
        <v>16</v>
      </c>
      <c r="AS438">
        <v>0</v>
      </c>
      <c r="AT438">
        <v>17</v>
      </c>
      <c r="AU438">
        <v>0</v>
      </c>
      <c r="AV438" s="5">
        <v>643</v>
      </c>
      <c r="AW438" t="s">
        <v>56</v>
      </c>
      <c r="AX438" s="6">
        <v>6445</v>
      </c>
      <c r="AY438" t="s">
        <v>868</v>
      </c>
      <c r="AZ438" t="s">
        <v>56</v>
      </c>
    </row>
    <row r="439" spans="1:52" hidden="1" x14ac:dyDescent="0.45">
      <c r="A439">
        <v>511016.62213754602</v>
      </c>
      <c r="B439">
        <v>6944939.3192862403</v>
      </c>
      <c r="C439">
        <v>438</v>
      </c>
      <c r="D439" t="s">
        <v>1069</v>
      </c>
      <c r="E439" t="s">
        <v>296</v>
      </c>
      <c r="F439" t="s">
        <v>1070</v>
      </c>
      <c r="G439" t="s">
        <v>1059</v>
      </c>
      <c r="H439" s="3">
        <v>19939</v>
      </c>
      <c r="I439">
        <v>2</v>
      </c>
      <c r="J439" t="s">
        <v>56</v>
      </c>
      <c r="K439">
        <v>55.7</v>
      </c>
      <c r="L439">
        <v>65.900000000000006</v>
      </c>
      <c r="M439">
        <v>1</v>
      </c>
      <c r="N439" t="s">
        <v>56</v>
      </c>
      <c r="O439" t="s">
        <v>1059</v>
      </c>
      <c r="P439">
        <v>81.3</v>
      </c>
      <c r="Q439">
        <v>0.5</v>
      </c>
      <c r="R439">
        <v>16.7</v>
      </c>
      <c r="S439">
        <v>0.4</v>
      </c>
      <c r="T439">
        <v>0.2</v>
      </c>
      <c r="U439">
        <v>0</v>
      </c>
      <c r="V439">
        <v>0.3</v>
      </c>
      <c r="W439">
        <v>0.1</v>
      </c>
      <c r="X439">
        <v>0.2</v>
      </c>
      <c r="Y439">
        <v>0</v>
      </c>
      <c r="Z439">
        <v>0</v>
      </c>
      <c r="AA439">
        <v>0</v>
      </c>
      <c r="AB439">
        <v>0.3</v>
      </c>
      <c r="AC439" t="s">
        <v>1059</v>
      </c>
      <c r="AD439">
        <v>70</v>
      </c>
      <c r="AE439" t="s">
        <v>1059</v>
      </c>
      <c r="AF439" s="4" t="s">
        <v>57</v>
      </c>
      <c r="AG439" s="4">
        <v>19939</v>
      </c>
      <c r="AJ439" t="s">
        <v>1059</v>
      </c>
      <c r="AK439" t="s">
        <v>56</v>
      </c>
      <c r="AL439" t="s">
        <v>1070</v>
      </c>
      <c r="AM439">
        <v>8</v>
      </c>
      <c r="AN439">
        <v>0</v>
      </c>
      <c r="AO439">
        <v>9</v>
      </c>
      <c r="AP439">
        <v>0</v>
      </c>
      <c r="AQ439" s="5">
        <v>2093</v>
      </c>
      <c r="AR439">
        <v>15</v>
      </c>
      <c r="AS439">
        <v>0</v>
      </c>
      <c r="AT439">
        <v>16</v>
      </c>
      <c r="AU439">
        <v>0</v>
      </c>
      <c r="AV439" s="5">
        <v>2021</v>
      </c>
      <c r="AW439" t="s">
        <v>56</v>
      </c>
      <c r="AX439" s="6">
        <v>22014</v>
      </c>
      <c r="AY439" t="s">
        <v>1059</v>
      </c>
      <c r="AZ439" t="s">
        <v>56</v>
      </c>
    </row>
    <row r="440" spans="1:52" hidden="1" x14ac:dyDescent="0.45">
      <c r="A440">
        <v>510825.51875127997</v>
      </c>
      <c r="B440">
        <v>6944953.3365926603</v>
      </c>
      <c r="C440">
        <v>439</v>
      </c>
      <c r="D440" t="s">
        <v>1069</v>
      </c>
      <c r="E440" t="s">
        <v>296</v>
      </c>
      <c r="F440" t="s">
        <v>1071</v>
      </c>
      <c r="G440" t="s">
        <v>1059</v>
      </c>
      <c r="H440" s="3">
        <v>17672</v>
      </c>
      <c r="I440">
        <v>2</v>
      </c>
      <c r="J440" t="s">
        <v>56</v>
      </c>
      <c r="K440">
        <v>62.5</v>
      </c>
      <c r="L440">
        <v>69.099999999999994</v>
      </c>
      <c r="M440">
        <v>1</v>
      </c>
      <c r="N440" t="s">
        <v>56</v>
      </c>
      <c r="O440" t="s">
        <v>1059</v>
      </c>
      <c r="P440">
        <v>85.8</v>
      </c>
      <c r="Q440">
        <v>0.6</v>
      </c>
      <c r="R440">
        <v>12.5</v>
      </c>
      <c r="S440">
        <v>0.3</v>
      </c>
      <c r="T440">
        <v>0.1</v>
      </c>
      <c r="U440">
        <v>0</v>
      </c>
      <c r="V440">
        <v>0.2</v>
      </c>
      <c r="W440">
        <v>0.1</v>
      </c>
      <c r="X440">
        <v>0.2</v>
      </c>
      <c r="Y440">
        <v>0</v>
      </c>
      <c r="Z440">
        <v>0.1</v>
      </c>
      <c r="AA440">
        <v>0</v>
      </c>
      <c r="AB440">
        <v>0.1</v>
      </c>
      <c r="AC440" t="s">
        <v>1059</v>
      </c>
      <c r="AD440">
        <v>70</v>
      </c>
      <c r="AE440" t="s">
        <v>1059</v>
      </c>
      <c r="AH440" s="4" t="s">
        <v>58</v>
      </c>
      <c r="AI440" s="4">
        <v>17672</v>
      </c>
      <c r="AJ440" t="s">
        <v>1059</v>
      </c>
      <c r="AK440" t="s">
        <v>56</v>
      </c>
      <c r="AL440" t="s">
        <v>1071</v>
      </c>
      <c r="AM440">
        <v>11</v>
      </c>
      <c r="AN440">
        <v>0</v>
      </c>
      <c r="AO440">
        <v>12</v>
      </c>
      <c r="AP440">
        <v>0</v>
      </c>
      <c r="AQ440" s="5">
        <v>1280</v>
      </c>
      <c r="AR440">
        <v>16</v>
      </c>
      <c r="AS440">
        <v>0</v>
      </c>
      <c r="AT440">
        <v>17</v>
      </c>
      <c r="AU440">
        <v>0</v>
      </c>
      <c r="AV440" s="5">
        <v>1706</v>
      </c>
      <c r="AW440" t="s">
        <v>56</v>
      </c>
      <c r="AX440" s="6">
        <v>19480</v>
      </c>
      <c r="AY440" t="s">
        <v>1059</v>
      </c>
      <c r="AZ440" t="s">
        <v>56</v>
      </c>
    </row>
    <row r="441" spans="1:52" hidden="1" x14ac:dyDescent="0.45">
      <c r="A441">
        <v>494820.04033379402</v>
      </c>
      <c r="B441">
        <v>6943572.7594381701</v>
      </c>
      <c r="C441">
        <v>440</v>
      </c>
      <c r="D441" t="s">
        <v>1072</v>
      </c>
      <c r="E441" t="s">
        <v>1073</v>
      </c>
      <c r="F441" t="s">
        <v>1074</v>
      </c>
      <c r="G441" t="s">
        <v>863</v>
      </c>
      <c r="H441" s="3">
        <v>11423</v>
      </c>
      <c r="I441">
        <v>2</v>
      </c>
      <c r="J441" t="s">
        <v>56</v>
      </c>
      <c r="K441">
        <v>73.8</v>
      </c>
      <c r="L441">
        <v>80.599999999999994</v>
      </c>
      <c r="M441">
        <v>1</v>
      </c>
      <c r="N441" t="s">
        <v>56</v>
      </c>
      <c r="O441" t="s">
        <v>863</v>
      </c>
      <c r="P441">
        <v>81.7</v>
      </c>
      <c r="Q441">
        <v>0.8</v>
      </c>
      <c r="R441">
        <v>14.2</v>
      </c>
      <c r="S441">
        <v>1.2</v>
      </c>
      <c r="T441">
        <v>0.2</v>
      </c>
      <c r="U441">
        <v>0.1</v>
      </c>
      <c r="V441">
        <v>0.4</v>
      </c>
      <c r="W441">
        <v>0.2</v>
      </c>
      <c r="X441">
        <v>0.8</v>
      </c>
      <c r="Y441">
        <v>0.2</v>
      </c>
      <c r="Z441">
        <v>0</v>
      </c>
      <c r="AA441">
        <v>0</v>
      </c>
      <c r="AB441">
        <v>0.2</v>
      </c>
      <c r="AC441" t="s">
        <v>863</v>
      </c>
      <c r="AD441">
        <v>80</v>
      </c>
      <c r="AE441" t="s">
        <v>863</v>
      </c>
      <c r="AF441" s="4" t="s">
        <v>57</v>
      </c>
      <c r="AG441" s="4">
        <v>5883</v>
      </c>
      <c r="AH441" s="4" t="s">
        <v>58</v>
      </c>
      <c r="AI441" s="4">
        <v>5540</v>
      </c>
      <c r="AJ441" t="s">
        <v>863</v>
      </c>
      <c r="AK441" t="s">
        <v>56</v>
      </c>
      <c r="AL441" t="s">
        <v>1074</v>
      </c>
      <c r="AM441">
        <v>7</v>
      </c>
      <c r="AN441">
        <v>0</v>
      </c>
      <c r="AO441">
        <v>8</v>
      </c>
      <c r="AP441">
        <v>0</v>
      </c>
      <c r="AQ441" s="5">
        <v>1016</v>
      </c>
      <c r="AR441">
        <v>15</v>
      </c>
      <c r="AS441">
        <v>0</v>
      </c>
      <c r="AT441">
        <v>16</v>
      </c>
      <c r="AU441">
        <v>0</v>
      </c>
      <c r="AV441" s="5">
        <v>1094</v>
      </c>
      <c r="AW441" t="s">
        <v>56</v>
      </c>
      <c r="AX441" s="6">
        <v>13030</v>
      </c>
      <c r="AY441" t="s">
        <v>863</v>
      </c>
      <c r="AZ441" t="s">
        <v>56</v>
      </c>
    </row>
    <row r="442" spans="1:52" hidden="1" x14ac:dyDescent="0.45">
      <c r="A442">
        <v>504835.14154220402</v>
      </c>
      <c r="B442">
        <v>6940540.1436590198</v>
      </c>
      <c r="C442">
        <v>441</v>
      </c>
      <c r="D442" t="s">
        <v>1075</v>
      </c>
      <c r="E442" t="s">
        <v>877</v>
      </c>
      <c r="F442" t="s">
        <v>1076</v>
      </c>
      <c r="G442" t="s">
        <v>863</v>
      </c>
      <c r="H442" s="3">
        <v>159</v>
      </c>
      <c r="I442">
        <v>2</v>
      </c>
      <c r="J442" t="s">
        <v>56</v>
      </c>
      <c r="K442">
        <v>34.200000000000003</v>
      </c>
      <c r="L442">
        <v>43.9</v>
      </c>
      <c r="M442">
        <v>1</v>
      </c>
      <c r="N442" t="s">
        <v>56</v>
      </c>
      <c r="O442" t="s">
        <v>863</v>
      </c>
      <c r="P442">
        <v>88.8</v>
      </c>
      <c r="Q442">
        <v>0.9</v>
      </c>
      <c r="R442">
        <v>9.1</v>
      </c>
      <c r="S442">
        <v>0.4</v>
      </c>
      <c r="T442">
        <v>0.1</v>
      </c>
      <c r="U442">
        <v>0</v>
      </c>
      <c r="V442">
        <v>0.1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0.6</v>
      </c>
      <c r="AC442" t="s">
        <v>863</v>
      </c>
      <c r="AD442">
        <v>50</v>
      </c>
      <c r="AE442" t="s">
        <v>863</v>
      </c>
      <c r="AF442" s="4" t="s">
        <v>57</v>
      </c>
      <c r="AG442" s="4">
        <v>92</v>
      </c>
      <c r="AH442" s="4" t="s">
        <v>58</v>
      </c>
      <c r="AI442" s="4">
        <v>67</v>
      </c>
      <c r="AJ442" t="s">
        <v>863</v>
      </c>
      <c r="AK442" t="s">
        <v>56</v>
      </c>
      <c r="AL442" t="s">
        <v>1076</v>
      </c>
      <c r="AM442">
        <v>8</v>
      </c>
      <c r="AN442">
        <v>0</v>
      </c>
      <c r="AO442">
        <v>9</v>
      </c>
      <c r="AP442">
        <v>0</v>
      </c>
      <c r="AQ442" s="5">
        <v>27</v>
      </c>
      <c r="AR442">
        <v>15</v>
      </c>
      <c r="AS442">
        <v>0</v>
      </c>
      <c r="AT442">
        <v>16</v>
      </c>
      <c r="AU442">
        <v>0</v>
      </c>
      <c r="AV442" s="5">
        <v>20</v>
      </c>
      <c r="AW442" t="s">
        <v>56</v>
      </c>
      <c r="AX442" s="6">
        <v>165</v>
      </c>
      <c r="AY442" t="s">
        <v>863</v>
      </c>
      <c r="AZ442" t="s">
        <v>56</v>
      </c>
    </row>
    <row r="443" spans="1:52" hidden="1" x14ac:dyDescent="0.45">
      <c r="A443">
        <v>519629.69532008399</v>
      </c>
      <c r="B443">
        <v>6934004.7546021799</v>
      </c>
      <c r="C443">
        <v>442</v>
      </c>
      <c r="D443" t="s">
        <v>1077</v>
      </c>
      <c r="E443" t="s">
        <v>247</v>
      </c>
      <c r="F443" t="s">
        <v>1078</v>
      </c>
      <c r="G443" t="s">
        <v>1059</v>
      </c>
      <c r="H443" s="3">
        <v>2326</v>
      </c>
      <c r="I443">
        <v>2</v>
      </c>
      <c r="J443" t="s">
        <v>56</v>
      </c>
      <c r="K443">
        <v>39.700000000000003</v>
      </c>
      <c r="L443">
        <v>47.5</v>
      </c>
      <c r="M443">
        <v>1</v>
      </c>
      <c r="N443" t="s">
        <v>56</v>
      </c>
      <c r="O443" t="s">
        <v>1059</v>
      </c>
      <c r="P443">
        <v>88.9</v>
      </c>
      <c r="Q443">
        <v>0.5</v>
      </c>
      <c r="R443">
        <v>10.1</v>
      </c>
      <c r="S443">
        <v>0.1</v>
      </c>
      <c r="T443">
        <v>0.1</v>
      </c>
      <c r="U443">
        <v>0</v>
      </c>
      <c r="V443">
        <v>0.1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0.2</v>
      </c>
      <c r="AC443" t="s">
        <v>1059</v>
      </c>
      <c r="AD443">
        <v>50</v>
      </c>
      <c r="AE443" t="s">
        <v>1059</v>
      </c>
      <c r="AF443" s="4" t="s">
        <v>80</v>
      </c>
      <c r="AG443" s="4">
        <v>2326</v>
      </c>
      <c r="AJ443" t="s">
        <v>1059</v>
      </c>
      <c r="AK443" t="s">
        <v>56</v>
      </c>
      <c r="AL443" t="s">
        <v>1078</v>
      </c>
      <c r="AM443">
        <v>8</v>
      </c>
      <c r="AN443">
        <v>0</v>
      </c>
      <c r="AO443">
        <v>9</v>
      </c>
      <c r="AP443">
        <v>0</v>
      </c>
      <c r="AQ443" s="5">
        <v>329</v>
      </c>
      <c r="AR443">
        <v>14</v>
      </c>
      <c r="AS443">
        <v>0</v>
      </c>
      <c r="AT443">
        <v>15</v>
      </c>
      <c r="AU443">
        <v>0</v>
      </c>
      <c r="AV443" s="5">
        <v>242</v>
      </c>
      <c r="AW443" t="s">
        <v>56</v>
      </c>
      <c r="AX443" s="6">
        <v>2488</v>
      </c>
      <c r="AY443" t="s">
        <v>1059</v>
      </c>
      <c r="AZ443" t="s">
        <v>56</v>
      </c>
    </row>
    <row r="444" spans="1:52" hidden="1" x14ac:dyDescent="0.45">
      <c r="A444">
        <v>519637.56790689699</v>
      </c>
      <c r="B444">
        <v>6933996.3232570402</v>
      </c>
      <c r="C444">
        <v>443</v>
      </c>
      <c r="D444" t="s">
        <v>1077</v>
      </c>
      <c r="E444" t="s">
        <v>247</v>
      </c>
      <c r="F444" t="s">
        <v>1079</v>
      </c>
      <c r="G444" t="s">
        <v>1059</v>
      </c>
      <c r="H444" s="3">
        <v>1788</v>
      </c>
      <c r="I444">
        <v>2</v>
      </c>
      <c r="J444" t="s">
        <v>56</v>
      </c>
      <c r="K444">
        <v>42.7</v>
      </c>
      <c r="L444">
        <v>51.1</v>
      </c>
      <c r="M444">
        <v>1</v>
      </c>
      <c r="N444" t="s">
        <v>56</v>
      </c>
      <c r="O444" t="s">
        <v>1059</v>
      </c>
      <c r="P444">
        <v>81.8</v>
      </c>
      <c r="Q444">
        <v>0.3</v>
      </c>
      <c r="R444">
        <v>17.100000000000001</v>
      </c>
      <c r="S444">
        <v>0.3</v>
      </c>
      <c r="T444">
        <v>0.1</v>
      </c>
      <c r="U444">
        <v>0</v>
      </c>
      <c r="V444">
        <v>0.2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0.2</v>
      </c>
      <c r="AC444" t="s">
        <v>1059</v>
      </c>
      <c r="AD444">
        <v>50</v>
      </c>
      <c r="AE444" t="s">
        <v>1059</v>
      </c>
      <c r="AH444" s="4" t="s">
        <v>81</v>
      </c>
      <c r="AI444" s="4">
        <v>1788</v>
      </c>
      <c r="AJ444" t="s">
        <v>1059</v>
      </c>
      <c r="AK444" t="s">
        <v>56</v>
      </c>
      <c r="AL444" t="s">
        <v>1079</v>
      </c>
      <c r="AM444">
        <v>10</v>
      </c>
      <c r="AN444">
        <v>0</v>
      </c>
      <c r="AO444">
        <v>11</v>
      </c>
      <c r="AP444">
        <v>0</v>
      </c>
      <c r="AQ444" s="5">
        <v>191</v>
      </c>
      <c r="AR444">
        <v>16</v>
      </c>
      <c r="AS444">
        <v>0</v>
      </c>
      <c r="AT444">
        <v>17</v>
      </c>
      <c r="AU444">
        <v>0</v>
      </c>
      <c r="AV444" s="5">
        <v>224</v>
      </c>
      <c r="AW444" t="s">
        <v>56</v>
      </c>
      <c r="AX444" s="6">
        <v>1963</v>
      </c>
      <c r="AY444" t="s">
        <v>1059</v>
      </c>
      <c r="AZ444" t="s">
        <v>56</v>
      </c>
    </row>
    <row r="445" spans="1:52" hidden="1" x14ac:dyDescent="0.45">
      <c r="A445">
        <v>521912.59678115498</v>
      </c>
      <c r="B445">
        <v>6939877.5838723304</v>
      </c>
      <c r="C445">
        <v>444</v>
      </c>
      <c r="D445" t="s">
        <v>1080</v>
      </c>
      <c r="E445" t="s">
        <v>1081</v>
      </c>
      <c r="F445" t="s">
        <v>1082</v>
      </c>
      <c r="G445" t="s">
        <v>1059</v>
      </c>
      <c r="H445" s="3">
        <v>492</v>
      </c>
      <c r="I445">
        <v>2</v>
      </c>
      <c r="J445" t="s">
        <v>56</v>
      </c>
      <c r="K445">
        <v>51.3</v>
      </c>
      <c r="L445">
        <v>59.8</v>
      </c>
      <c r="M445">
        <v>1</v>
      </c>
      <c r="N445" t="s">
        <v>56</v>
      </c>
      <c r="O445" t="s">
        <v>1059</v>
      </c>
      <c r="P445">
        <v>76.099999999999994</v>
      </c>
      <c r="Q445">
        <v>2</v>
      </c>
      <c r="R445">
        <v>19</v>
      </c>
      <c r="S445">
        <v>0.6</v>
      </c>
      <c r="T445">
        <v>0.3</v>
      </c>
      <c r="U445">
        <v>0</v>
      </c>
      <c r="V445">
        <v>1.1000000000000001</v>
      </c>
      <c r="W445">
        <v>0</v>
      </c>
      <c r="X445">
        <v>0.2</v>
      </c>
      <c r="Y445">
        <v>0</v>
      </c>
      <c r="Z445">
        <v>0</v>
      </c>
      <c r="AA445">
        <v>0</v>
      </c>
      <c r="AB445">
        <v>0.7</v>
      </c>
      <c r="AC445" t="s">
        <v>1059</v>
      </c>
      <c r="AD445">
        <v>50</v>
      </c>
      <c r="AE445" t="s">
        <v>1059</v>
      </c>
      <c r="AF445" s="4" t="s">
        <v>80</v>
      </c>
      <c r="AG445" s="4">
        <v>247</v>
      </c>
      <c r="AH445" s="4" t="s">
        <v>81</v>
      </c>
      <c r="AI445" s="4">
        <v>245</v>
      </c>
      <c r="AJ445" t="s">
        <v>1059</v>
      </c>
      <c r="AK445" t="s">
        <v>56</v>
      </c>
      <c r="AL445" t="s">
        <v>1082</v>
      </c>
      <c r="AM445">
        <v>7</v>
      </c>
      <c r="AN445">
        <v>0</v>
      </c>
      <c r="AO445">
        <v>8</v>
      </c>
      <c r="AP445">
        <v>0</v>
      </c>
      <c r="AQ445" s="5">
        <v>49</v>
      </c>
      <c r="AR445">
        <v>17</v>
      </c>
      <c r="AS445">
        <v>0</v>
      </c>
      <c r="AT445">
        <v>18</v>
      </c>
      <c r="AU445">
        <v>0</v>
      </c>
      <c r="AV445" s="5">
        <v>56</v>
      </c>
      <c r="AW445" t="s">
        <v>56</v>
      </c>
      <c r="AX445" s="6">
        <v>518</v>
      </c>
      <c r="AY445" t="s">
        <v>1059</v>
      </c>
      <c r="AZ445" t="s">
        <v>56</v>
      </c>
    </row>
    <row r="446" spans="1:52" hidden="1" x14ac:dyDescent="0.45">
      <c r="A446">
        <v>522483.80353531498</v>
      </c>
      <c r="B446">
        <v>6935486.6895243702</v>
      </c>
      <c r="C446">
        <v>445</v>
      </c>
      <c r="D446" t="s">
        <v>1083</v>
      </c>
      <c r="E446" t="s">
        <v>310</v>
      </c>
      <c r="F446" t="s">
        <v>1084</v>
      </c>
      <c r="G446" t="s">
        <v>1059</v>
      </c>
      <c r="H446" s="3">
        <v>456</v>
      </c>
      <c r="I446">
        <v>2</v>
      </c>
      <c r="J446" t="s">
        <v>56</v>
      </c>
      <c r="K446">
        <v>46.1</v>
      </c>
      <c r="L446">
        <v>56.5</v>
      </c>
      <c r="M446">
        <v>1</v>
      </c>
      <c r="N446" t="s">
        <v>56</v>
      </c>
      <c r="O446" t="s">
        <v>1059</v>
      </c>
      <c r="P446">
        <v>82.6</v>
      </c>
      <c r="Q446">
        <v>0.9</v>
      </c>
      <c r="R446">
        <v>15.5</v>
      </c>
      <c r="S446">
        <v>0.3</v>
      </c>
      <c r="T446">
        <v>0</v>
      </c>
      <c r="U446">
        <v>0</v>
      </c>
      <c r="V446">
        <v>0</v>
      </c>
      <c r="W446">
        <v>0.1</v>
      </c>
      <c r="X446">
        <v>0</v>
      </c>
      <c r="Y446">
        <v>0</v>
      </c>
      <c r="Z446">
        <v>0</v>
      </c>
      <c r="AA446">
        <v>0</v>
      </c>
      <c r="AB446">
        <v>0.6</v>
      </c>
      <c r="AC446" t="s">
        <v>1059</v>
      </c>
      <c r="AD446">
        <v>50</v>
      </c>
      <c r="AE446" t="s">
        <v>1059</v>
      </c>
      <c r="AF446" s="4" t="s">
        <v>57</v>
      </c>
      <c r="AG446" s="4">
        <v>227</v>
      </c>
      <c r="AH446" s="4" t="s">
        <v>58</v>
      </c>
      <c r="AI446" s="4">
        <v>229</v>
      </c>
      <c r="AJ446" t="s">
        <v>1059</v>
      </c>
      <c r="AK446" t="s">
        <v>56</v>
      </c>
      <c r="AL446" t="s">
        <v>1084</v>
      </c>
      <c r="AM446">
        <v>9</v>
      </c>
      <c r="AN446">
        <v>0</v>
      </c>
      <c r="AO446">
        <v>10</v>
      </c>
      <c r="AP446">
        <v>0</v>
      </c>
      <c r="AQ446" s="5">
        <v>55</v>
      </c>
      <c r="AR446">
        <v>15</v>
      </c>
      <c r="AS446">
        <v>0</v>
      </c>
      <c r="AT446">
        <v>16</v>
      </c>
      <c r="AU446">
        <v>0</v>
      </c>
      <c r="AV446" s="5">
        <v>43</v>
      </c>
      <c r="AW446" t="s">
        <v>56</v>
      </c>
      <c r="AX446" s="6">
        <v>479</v>
      </c>
      <c r="AY446" t="s">
        <v>1059</v>
      </c>
      <c r="AZ446" t="s">
        <v>56</v>
      </c>
    </row>
    <row r="447" spans="1:52" hidden="1" x14ac:dyDescent="0.45">
      <c r="A447">
        <v>514110.38618526899</v>
      </c>
      <c r="B447">
        <v>6939654.1872372003</v>
      </c>
      <c r="C447">
        <v>446</v>
      </c>
      <c r="D447" t="s">
        <v>1085</v>
      </c>
      <c r="E447" t="s">
        <v>1086</v>
      </c>
      <c r="F447" t="s">
        <v>1087</v>
      </c>
      <c r="G447" t="s">
        <v>1059</v>
      </c>
      <c r="H447" s="3">
        <v>3120</v>
      </c>
      <c r="I447">
        <v>2</v>
      </c>
      <c r="J447" t="s">
        <v>56</v>
      </c>
      <c r="K447">
        <v>54.6</v>
      </c>
      <c r="L447">
        <v>61.6</v>
      </c>
      <c r="M447">
        <v>1</v>
      </c>
      <c r="N447" t="s">
        <v>56</v>
      </c>
      <c r="O447" t="s">
        <v>1059</v>
      </c>
      <c r="P447">
        <v>82.4</v>
      </c>
      <c r="Q447">
        <v>0.8</v>
      </c>
      <c r="R447">
        <v>16.2</v>
      </c>
      <c r="S447">
        <v>0.1</v>
      </c>
      <c r="T447">
        <v>0</v>
      </c>
      <c r="U447">
        <v>0</v>
      </c>
      <c r="V447">
        <v>0.3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0.2</v>
      </c>
      <c r="AC447" t="s">
        <v>1059</v>
      </c>
      <c r="AD447">
        <v>50</v>
      </c>
      <c r="AE447" t="s">
        <v>1059</v>
      </c>
      <c r="AF447" s="4" t="s">
        <v>57</v>
      </c>
      <c r="AG447" s="4">
        <v>1587</v>
      </c>
      <c r="AH447" s="4" t="s">
        <v>58</v>
      </c>
      <c r="AI447" s="4">
        <v>1533</v>
      </c>
      <c r="AJ447" t="s">
        <v>1059</v>
      </c>
      <c r="AK447" t="s">
        <v>56</v>
      </c>
      <c r="AL447" t="s">
        <v>1087</v>
      </c>
      <c r="AM447">
        <v>8</v>
      </c>
      <c r="AN447">
        <v>0</v>
      </c>
      <c r="AO447">
        <v>9</v>
      </c>
      <c r="AP447">
        <v>0</v>
      </c>
      <c r="AQ447" s="5">
        <v>258</v>
      </c>
      <c r="AR447">
        <v>16</v>
      </c>
      <c r="AS447">
        <v>0</v>
      </c>
      <c r="AT447">
        <v>17</v>
      </c>
      <c r="AU447">
        <v>0</v>
      </c>
      <c r="AV447" s="5">
        <v>315</v>
      </c>
      <c r="AW447" t="s">
        <v>56</v>
      </c>
      <c r="AX447" s="6">
        <v>3196</v>
      </c>
      <c r="AY447" t="s">
        <v>1059</v>
      </c>
      <c r="AZ447" t="s">
        <v>56</v>
      </c>
    </row>
    <row r="448" spans="1:52" hidden="1" x14ac:dyDescent="0.45">
      <c r="A448">
        <v>526857.61402199802</v>
      </c>
      <c r="B448">
        <v>6940198.6595469601</v>
      </c>
      <c r="C448">
        <v>447</v>
      </c>
      <c r="D448" t="s">
        <v>1088</v>
      </c>
      <c r="E448" t="s">
        <v>195</v>
      </c>
      <c r="F448" t="s">
        <v>1089</v>
      </c>
      <c r="G448" t="s">
        <v>1059</v>
      </c>
      <c r="H448" s="3">
        <v>197</v>
      </c>
      <c r="I448">
        <v>2</v>
      </c>
      <c r="J448" t="s">
        <v>56</v>
      </c>
      <c r="K448">
        <v>62.3</v>
      </c>
      <c r="L448">
        <v>75.599999999999994</v>
      </c>
      <c r="M448">
        <v>1</v>
      </c>
      <c r="N448" t="s">
        <v>56</v>
      </c>
      <c r="O448" t="s">
        <v>1059</v>
      </c>
      <c r="P448">
        <v>63.4</v>
      </c>
      <c r="Q448">
        <v>2.6</v>
      </c>
      <c r="R448">
        <v>31.4</v>
      </c>
      <c r="S448">
        <v>0.6</v>
      </c>
      <c r="T448">
        <v>0.1</v>
      </c>
      <c r="U448">
        <v>0.1</v>
      </c>
      <c r="V448">
        <v>1.1000000000000001</v>
      </c>
      <c r="W448">
        <v>0.1</v>
      </c>
      <c r="X448">
        <v>0</v>
      </c>
      <c r="Y448">
        <v>0</v>
      </c>
      <c r="Z448">
        <v>0</v>
      </c>
      <c r="AA448">
        <v>0</v>
      </c>
      <c r="AB448">
        <v>0.6</v>
      </c>
      <c r="AC448" t="s">
        <v>1059</v>
      </c>
      <c r="AD448">
        <v>50</v>
      </c>
      <c r="AE448" t="s">
        <v>1059</v>
      </c>
      <c r="AF448" s="4" t="s">
        <v>80</v>
      </c>
      <c r="AG448" s="4">
        <v>98</v>
      </c>
      <c r="AH448" s="4" t="s">
        <v>81</v>
      </c>
      <c r="AI448" s="4">
        <v>99</v>
      </c>
      <c r="AJ448" t="s">
        <v>1059</v>
      </c>
      <c r="AK448" t="s">
        <v>56</v>
      </c>
      <c r="AL448" t="s">
        <v>1089</v>
      </c>
      <c r="AM448">
        <v>7</v>
      </c>
      <c r="AN448">
        <v>0</v>
      </c>
      <c r="AO448">
        <v>8</v>
      </c>
      <c r="AP448">
        <v>0</v>
      </c>
      <c r="AQ448" s="5">
        <v>27</v>
      </c>
      <c r="AR448">
        <v>16</v>
      </c>
      <c r="AS448">
        <v>0</v>
      </c>
      <c r="AT448">
        <v>17</v>
      </c>
      <c r="AU448">
        <v>0</v>
      </c>
      <c r="AV448" s="5">
        <v>26</v>
      </c>
      <c r="AW448" t="s">
        <v>56</v>
      </c>
      <c r="AX448" s="6">
        <v>207</v>
      </c>
      <c r="AY448" t="s">
        <v>1059</v>
      </c>
      <c r="AZ448" t="s">
        <v>56</v>
      </c>
    </row>
    <row r="449" spans="1:52" hidden="1" x14ac:dyDescent="0.45">
      <c r="A449">
        <v>500494.407516526</v>
      </c>
      <c r="B449">
        <v>6927821.8628902799</v>
      </c>
      <c r="C449">
        <v>448</v>
      </c>
      <c r="D449" t="s">
        <v>1090</v>
      </c>
      <c r="E449" t="s">
        <v>250</v>
      </c>
      <c r="F449" t="s">
        <v>1091</v>
      </c>
      <c r="G449" t="s">
        <v>1059</v>
      </c>
      <c r="H449" s="3">
        <v>2783</v>
      </c>
      <c r="I449">
        <v>2</v>
      </c>
      <c r="J449" t="s">
        <v>56</v>
      </c>
      <c r="K449">
        <v>73</v>
      </c>
      <c r="L449">
        <v>81.400000000000006</v>
      </c>
      <c r="M449">
        <v>1</v>
      </c>
      <c r="N449" t="s">
        <v>56</v>
      </c>
      <c r="O449" t="s">
        <v>1059</v>
      </c>
      <c r="P449">
        <v>77</v>
      </c>
      <c r="Q449">
        <v>1.5</v>
      </c>
      <c r="R449">
        <v>18.100000000000001</v>
      </c>
      <c r="S449">
        <v>1</v>
      </c>
      <c r="T449">
        <v>0.3</v>
      </c>
      <c r="U449">
        <v>0</v>
      </c>
      <c r="V449">
        <v>1</v>
      </c>
      <c r="W449">
        <v>0.1</v>
      </c>
      <c r="X449">
        <v>0.4</v>
      </c>
      <c r="Y449">
        <v>0.3</v>
      </c>
      <c r="Z449">
        <v>0</v>
      </c>
      <c r="AA449">
        <v>0</v>
      </c>
      <c r="AB449">
        <v>0.3</v>
      </c>
      <c r="AC449" t="s">
        <v>1059</v>
      </c>
      <c r="AD449">
        <v>80</v>
      </c>
      <c r="AE449" t="s">
        <v>1059</v>
      </c>
      <c r="AF449" s="4" t="s">
        <v>57</v>
      </c>
      <c r="AG449" s="4">
        <v>1258</v>
      </c>
      <c r="AH449" s="4" t="s">
        <v>58</v>
      </c>
      <c r="AI449" s="4">
        <v>1525</v>
      </c>
      <c r="AJ449" t="s">
        <v>1059</v>
      </c>
      <c r="AK449" t="s">
        <v>56</v>
      </c>
      <c r="AL449" t="s">
        <v>1091</v>
      </c>
      <c r="AM449">
        <v>7</v>
      </c>
      <c r="AN449">
        <v>0</v>
      </c>
      <c r="AO449">
        <v>8</v>
      </c>
      <c r="AP449">
        <v>0</v>
      </c>
      <c r="AQ449" s="5">
        <v>207</v>
      </c>
      <c r="AR449">
        <v>16</v>
      </c>
      <c r="AS449">
        <v>0</v>
      </c>
      <c r="AT449">
        <v>17</v>
      </c>
      <c r="AU449">
        <v>0</v>
      </c>
      <c r="AV449" s="5">
        <v>279</v>
      </c>
      <c r="AW449" t="s">
        <v>56</v>
      </c>
      <c r="AX449" s="6">
        <v>2953</v>
      </c>
      <c r="AY449" t="s">
        <v>1059</v>
      </c>
      <c r="AZ449" t="s">
        <v>56</v>
      </c>
    </row>
    <row r="450" spans="1:52" hidden="1" x14ac:dyDescent="0.45">
      <c r="A450">
        <v>494563.74356477999</v>
      </c>
      <c r="B450">
        <v>6932084.3488277802</v>
      </c>
      <c r="C450">
        <v>449</v>
      </c>
      <c r="D450" t="s">
        <v>1092</v>
      </c>
      <c r="E450" t="s">
        <v>257</v>
      </c>
      <c r="F450" t="s">
        <v>1093</v>
      </c>
      <c r="G450" t="s">
        <v>863</v>
      </c>
      <c r="H450" s="3">
        <v>2492</v>
      </c>
      <c r="I450">
        <v>2</v>
      </c>
      <c r="J450" t="s">
        <v>56</v>
      </c>
      <c r="K450">
        <v>70</v>
      </c>
      <c r="L450">
        <v>79.2</v>
      </c>
      <c r="M450">
        <v>1</v>
      </c>
      <c r="N450" t="s">
        <v>56</v>
      </c>
      <c r="O450" t="s">
        <v>863</v>
      </c>
      <c r="P450">
        <v>69.400000000000006</v>
      </c>
      <c r="Q450">
        <v>1.6</v>
      </c>
      <c r="R450">
        <v>26.5</v>
      </c>
      <c r="S450">
        <v>0.6</v>
      </c>
      <c r="T450">
        <v>0.1</v>
      </c>
      <c r="U450">
        <v>0</v>
      </c>
      <c r="V450">
        <v>0.7</v>
      </c>
      <c r="W450">
        <v>0.2</v>
      </c>
      <c r="X450">
        <v>0.2</v>
      </c>
      <c r="Y450">
        <v>0.3</v>
      </c>
      <c r="Z450">
        <v>0</v>
      </c>
      <c r="AA450">
        <v>0</v>
      </c>
      <c r="AB450">
        <v>0.4</v>
      </c>
      <c r="AC450" t="s">
        <v>863</v>
      </c>
      <c r="AD450">
        <v>60</v>
      </c>
      <c r="AE450" t="s">
        <v>863</v>
      </c>
      <c r="AF450" s="4" t="s">
        <v>80</v>
      </c>
      <c r="AG450" s="4">
        <v>1239</v>
      </c>
      <c r="AH450" s="4" t="s">
        <v>81</v>
      </c>
      <c r="AI450" s="4">
        <v>1253</v>
      </c>
      <c r="AJ450" t="s">
        <v>863</v>
      </c>
      <c r="AK450" t="s">
        <v>56</v>
      </c>
      <c r="AL450" t="s">
        <v>1093</v>
      </c>
      <c r="AM450">
        <v>7</v>
      </c>
      <c r="AN450">
        <v>0</v>
      </c>
      <c r="AO450">
        <v>8</v>
      </c>
      <c r="AP450">
        <v>0</v>
      </c>
      <c r="AQ450" s="5">
        <v>250</v>
      </c>
      <c r="AR450">
        <v>15</v>
      </c>
      <c r="AS450">
        <v>0</v>
      </c>
      <c r="AT450">
        <v>16</v>
      </c>
      <c r="AU450">
        <v>0</v>
      </c>
      <c r="AV450" s="5">
        <v>252</v>
      </c>
      <c r="AW450" t="s">
        <v>56</v>
      </c>
      <c r="AX450" s="6">
        <v>2633</v>
      </c>
      <c r="AY450" t="s">
        <v>863</v>
      </c>
      <c r="AZ450" t="s">
        <v>56</v>
      </c>
    </row>
    <row r="451" spans="1:52" hidden="1" x14ac:dyDescent="0.45">
      <c r="A451">
        <v>517962.59298136597</v>
      </c>
      <c r="B451">
        <v>6936968.6854777904</v>
      </c>
      <c r="C451">
        <v>450</v>
      </c>
      <c r="D451" t="s">
        <v>1094</v>
      </c>
      <c r="E451" t="s">
        <v>305</v>
      </c>
      <c r="F451" t="s">
        <v>1095</v>
      </c>
      <c r="G451" t="s">
        <v>1059</v>
      </c>
      <c r="H451" s="3">
        <v>3306</v>
      </c>
      <c r="I451">
        <v>2</v>
      </c>
      <c r="J451" t="s">
        <v>56</v>
      </c>
      <c r="K451">
        <v>50.2</v>
      </c>
      <c r="L451">
        <v>57.6</v>
      </c>
      <c r="M451">
        <v>1</v>
      </c>
      <c r="N451" t="s">
        <v>56</v>
      </c>
      <c r="O451" t="s">
        <v>1059</v>
      </c>
      <c r="P451">
        <v>83.3</v>
      </c>
      <c r="Q451">
        <v>1</v>
      </c>
      <c r="R451">
        <v>14.6</v>
      </c>
      <c r="S451">
        <v>0.1</v>
      </c>
      <c r="T451">
        <v>0.1</v>
      </c>
      <c r="U451">
        <v>0</v>
      </c>
      <c r="V451">
        <v>0.5</v>
      </c>
      <c r="W451">
        <v>0.1</v>
      </c>
      <c r="X451">
        <v>0</v>
      </c>
      <c r="Y451">
        <v>0</v>
      </c>
      <c r="Z451">
        <v>0</v>
      </c>
      <c r="AA451">
        <v>0</v>
      </c>
      <c r="AB451">
        <v>0.3</v>
      </c>
      <c r="AC451" t="s">
        <v>1059</v>
      </c>
      <c r="AD451">
        <v>60</v>
      </c>
      <c r="AE451" t="s">
        <v>1059</v>
      </c>
      <c r="AF451" s="4" t="s">
        <v>57</v>
      </c>
      <c r="AG451" s="4">
        <v>1398</v>
      </c>
      <c r="AH451" s="4" t="s">
        <v>58</v>
      </c>
      <c r="AI451" s="4">
        <v>1908</v>
      </c>
      <c r="AJ451" t="s">
        <v>1059</v>
      </c>
      <c r="AK451" t="s">
        <v>56</v>
      </c>
      <c r="AL451" t="s">
        <v>1095</v>
      </c>
      <c r="AM451">
        <v>10</v>
      </c>
      <c r="AN451">
        <v>0</v>
      </c>
      <c r="AO451">
        <v>11</v>
      </c>
      <c r="AP451">
        <v>0</v>
      </c>
      <c r="AQ451" s="5">
        <v>267</v>
      </c>
      <c r="AR451">
        <v>17</v>
      </c>
      <c r="AS451">
        <v>0</v>
      </c>
      <c r="AT451">
        <v>18</v>
      </c>
      <c r="AU451">
        <v>0</v>
      </c>
      <c r="AV451" s="5">
        <v>390</v>
      </c>
      <c r="AW451" t="s">
        <v>56</v>
      </c>
      <c r="AX451" s="6">
        <v>3418</v>
      </c>
      <c r="AY451" t="s">
        <v>1059</v>
      </c>
      <c r="AZ451" t="s">
        <v>56</v>
      </c>
    </row>
    <row r="452" spans="1:52" hidden="1" x14ac:dyDescent="0.45">
      <c r="A452">
        <v>513173.18133051298</v>
      </c>
      <c r="B452">
        <v>6942399.8940234799</v>
      </c>
      <c r="C452">
        <v>451</v>
      </c>
      <c r="D452" t="s">
        <v>298</v>
      </c>
      <c r="E452" t="s">
        <v>1057</v>
      </c>
      <c r="F452" t="s">
        <v>1096</v>
      </c>
      <c r="G452" t="s">
        <v>1097</v>
      </c>
      <c r="H452" s="3">
        <v>2283</v>
      </c>
      <c r="I452">
        <v>2</v>
      </c>
      <c r="J452" t="s">
        <v>56</v>
      </c>
      <c r="K452">
        <v>57.3</v>
      </c>
      <c r="L452">
        <v>63</v>
      </c>
      <c r="M452">
        <v>1</v>
      </c>
      <c r="N452" t="s">
        <v>56</v>
      </c>
      <c r="O452" t="s">
        <v>1097</v>
      </c>
      <c r="P452">
        <v>81.099999999999994</v>
      </c>
      <c r="Q452">
        <v>0.8</v>
      </c>
      <c r="R452">
        <v>16.600000000000001</v>
      </c>
      <c r="S452">
        <v>0.3</v>
      </c>
      <c r="T452">
        <v>0.5</v>
      </c>
      <c r="U452">
        <v>0</v>
      </c>
      <c r="V452">
        <v>0.5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0.2</v>
      </c>
      <c r="AC452" t="s">
        <v>1097</v>
      </c>
      <c r="AD452">
        <v>60</v>
      </c>
      <c r="AE452" t="s">
        <v>1097</v>
      </c>
      <c r="AF452" s="4" t="s">
        <v>57</v>
      </c>
      <c r="AG452" s="4">
        <v>1035</v>
      </c>
      <c r="AH452" s="4" t="s">
        <v>58</v>
      </c>
      <c r="AI452" s="4">
        <v>1248</v>
      </c>
      <c r="AJ452" t="s">
        <v>1097</v>
      </c>
      <c r="AK452" t="s">
        <v>56</v>
      </c>
      <c r="AL452" t="s">
        <v>1096</v>
      </c>
      <c r="AM452">
        <v>7</v>
      </c>
      <c r="AN452">
        <v>0</v>
      </c>
      <c r="AO452">
        <v>8</v>
      </c>
      <c r="AP452">
        <v>0</v>
      </c>
      <c r="AQ452" s="5">
        <v>266</v>
      </c>
      <c r="AR452">
        <v>16</v>
      </c>
      <c r="AS452">
        <v>0</v>
      </c>
      <c r="AT452">
        <v>17</v>
      </c>
      <c r="AU452">
        <v>0</v>
      </c>
      <c r="AV452" s="5">
        <v>300</v>
      </c>
      <c r="AW452" t="s">
        <v>56</v>
      </c>
      <c r="AX452" s="6">
        <v>2770</v>
      </c>
      <c r="AY452" t="s">
        <v>1097</v>
      </c>
      <c r="AZ452" t="s">
        <v>56</v>
      </c>
    </row>
    <row r="453" spans="1:52" hidden="1" x14ac:dyDescent="0.45">
      <c r="A453">
        <v>520621.87346231798</v>
      </c>
      <c r="B453">
        <v>6934116.4292538399</v>
      </c>
      <c r="C453">
        <v>452</v>
      </c>
      <c r="D453" t="s">
        <v>1098</v>
      </c>
      <c r="E453" t="s">
        <v>247</v>
      </c>
      <c r="F453" t="s">
        <v>1099</v>
      </c>
      <c r="G453" t="s">
        <v>1059</v>
      </c>
      <c r="H453" s="3">
        <v>206</v>
      </c>
      <c r="I453">
        <v>2</v>
      </c>
      <c r="J453" t="s">
        <v>56</v>
      </c>
      <c r="K453">
        <v>22.9</v>
      </c>
      <c r="L453">
        <v>27.7</v>
      </c>
      <c r="M453">
        <v>1</v>
      </c>
      <c r="N453" t="s">
        <v>56</v>
      </c>
      <c r="O453" t="s">
        <v>1059</v>
      </c>
      <c r="P453">
        <v>78.099999999999994</v>
      </c>
      <c r="Q453">
        <v>0.6</v>
      </c>
      <c r="R453">
        <v>17.5</v>
      </c>
      <c r="S453">
        <v>0.8</v>
      </c>
      <c r="T453">
        <v>0.5</v>
      </c>
      <c r="U453">
        <v>0</v>
      </c>
      <c r="V453">
        <v>1.7</v>
      </c>
      <c r="W453">
        <v>0.1</v>
      </c>
      <c r="X453">
        <v>0.1</v>
      </c>
      <c r="Y453">
        <v>0.1</v>
      </c>
      <c r="Z453">
        <v>0</v>
      </c>
      <c r="AA453">
        <v>0</v>
      </c>
      <c r="AB453">
        <v>0.5</v>
      </c>
      <c r="AC453" t="s">
        <v>1059</v>
      </c>
      <c r="AD453">
        <v>50</v>
      </c>
      <c r="AE453" t="s">
        <v>1059</v>
      </c>
      <c r="AF453" s="4" t="s">
        <v>57</v>
      </c>
      <c r="AG453" s="4">
        <v>104</v>
      </c>
      <c r="AH453" s="4" t="s">
        <v>58</v>
      </c>
      <c r="AI453" s="4">
        <v>102</v>
      </c>
      <c r="AJ453" t="s">
        <v>1059</v>
      </c>
      <c r="AK453" t="s">
        <v>56</v>
      </c>
      <c r="AL453" t="s">
        <v>1099</v>
      </c>
      <c r="AM453">
        <v>9</v>
      </c>
      <c r="AN453">
        <v>0</v>
      </c>
      <c r="AO453">
        <v>10</v>
      </c>
      <c r="AP453">
        <v>0</v>
      </c>
      <c r="AQ453" s="5">
        <v>30</v>
      </c>
      <c r="AR453">
        <v>17</v>
      </c>
      <c r="AS453">
        <v>0</v>
      </c>
      <c r="AT453">
        <v>18</v>
      </c>
      <c r="AU453">
        <v>0</v>
      </c>
      <c r="AV453" s="5">
        <v>32</v>
      </c>
      <c r="AW453" t="s">
        <v>56</v>
      </c>
      <c r="AX453" s="6">
        <v>215</v>
      </c>
      <c r="AY453" t="s">
        <v>1059</v>
      </c>
      <c r="AZ453" t="s">
        <v>56</v>
      </c>
    </row>
    <row r="454" spans="1:52" hidden="1" x14ac:dyDescent="0.45">
      <c r="A454">
        <v>514820.379286154</v>
      </c>
      <c r="B454">
        <v>6942007.4271700503</v>
      </c>
      <c r="C454">
        <v>453</v>
      </c>
      <c r="D454" t="s">
        <v>1100</v>
      </c>
      <c r="E454" t="s">
        <v>1101</v>
      </c>
      <c r="F454" t="s">
        <v>1102</v>
      </c>
      <c r="G454" t="s">
        <v>868</v>
      </c>
      <c r="H454" s="3">
        <v>11822</v>
      </c>
      <c r="I454">
        <v>2</v>
      </c>
      <c r="J454" t="s">
        <v>56</v>
      </c>
      <c r="K454">
        <v>87.1</v>
      </c>
      <c r="L454">
        <v>122</v>
      </c>
      <c r="M454">
        <v>1</v>
      </c>
      <c r="N454" t="s">
        <v>56</v>
      </c>
      <c r="O454" t="s">
        <v>868</v>
      </c>
      <c r="P454">
        <v>44.8</v>
      </c>
      <c r="Q454">
        <v>0.5</v>
      </c>
      <c r="R454">
        <v>51.6</v>
      </c>
      <c r="S454">
        <v>1.1000000000000001</v>
      </c>
      <c r="T454">
        <v>0.2</v>
      </c>
      <c r="U454">
        <v>0.2</v>
      </c>
      <c r="V454">
        <v>0.4</v>
      </c>
      <c r="W454">
        <v>0.1</v>
      </c>
      <c r="X454">
        <v>0</v>
      </c>
      <c r="Y454">
        <v>0</v>
      </c>
      <c r="Z454">
        <v>0</v>
      </c>
      <c r="AA454">
        <v>0</v>
      </c>
      <c r="AB454">
        <v>1.1000000000000001</v>
      </c>
      <c r="AC454" t="s">
        <v>868</v>
      </c>
      <c r="AD454">
        <v>60</v>
      </c>
      <c r="AE454" t="s">
        <v>868</v>
      </c>
      <c r="AF454" s="4" t="s">
        <v>80</v>
      </c>
      <c r="AG454" s="4">
        <v>5867</v>
      </c>
      <c r="AH454" s="4" t="s">
        <v>81</v>
      </c>
      <c r="AI454" s="4">
        <v>5955</v>
      </c>
      <c r="AJ454" t="s">
        <v>868</v>
      </c>
      <c r="AK454" t="s">
        <v>56</v>
      </c>
      <c r="AL454" t="s">
        <v>1102</v>
      </c>
      <c r="AM454">
        <v>8</v>
      </c>
      <c r="AN454">
        <v>0</v>
      </c>
      <c r="AO454">
        <v>9</v>
      </c>
      <c r="AP454">
        <v>0</v>
      </c>
      <c r="AQ454" s="5">
        <v>1066</v>
      </c>
      <c r="AR454">
        <v>16</v>
      </c>
      <c r="AS454">
        <v>0</v>
      </c>
      <c r="AT454">
        <v>17</v>
      </c>
      <c r="AU454">
        <v>0</v>
      </c>
      <c r="AV454" s="5">
        <v>1198</v>
      </c>
      <c r="AW454" t="s">
        <v>56</v>
      </c>
      <c r="AX454" s="6">
        <v>12897</v>
      </c>
      <c r="AY454" t="s">
        <v>868</v>
      </c>
      <c r="AZ454" t="s">
        <v>56</v>
      </c>
    </row>
    <row r="455" spans="1:52" hidden="1" x14ac:dyDescent="0.45">
      <c r="A455">
        <v>517174.68052934902</v>
      </c>
      <c r="B455">
        <v>6933073.3447558396</v>
      </c>
      <c r="C455">
        <v>454</v>
      </c>
      <c r="D455" t="s">
        <v>1103</v>
      </c>
      <c r="E455" t="s">
        <v>247</v>
      </c>
      <c r="F455" t="s">
        <v>1104</v>
      </c>
      <c r="G455" t="s">
        <v>1059</v>
      </c>
      <c r="H455" s="3">
        <v>4379</v>
      </c>
      <c r="I455">
        <v>2</v>
      </c>
      <c r="J455" t="s">
        <v>56</v>
      </c>
      <c r="K455">
        <v>65.3</v>
      </c>
      <c r="L455">
        <v>72</v>
      </c>
      <c r="M455">
        <v>1</v>
      </c>
      <c r="N455" t="s">
        <v>56</v>
      </c>
      <c r="O455" t="s">
        <v>1059</v>
      </c>
      <c r="P455">
        <v>75.400000000000006</v>
      </c>
      <c r="Q455">
        <v>1.4</v>
      </c>
      <c r="R455">
        <v>20.399999999999999</v>
      </c>
      <c r="S455">
        <v>1</v>
      </c>
      <c r="T455">
        <v>0.2</v>
      </c>
      <c r="U455">
        <v>0</v>
      </c>
      <c r="V455">
        <v>0.7</v>
      </c>
      <c r="W455">
        <v>0.1</v>
      </c>
      <c r="X455">
        <v>0.2</v>
      </c>
      <c r="Y455">
        <v>0.1</v>
      </c>
      <c r="Z455">
        <v>0</v>
      </c>
      <c r="AA455">
        <v>0</v>
      </c>
      <c r="AB455">
        <v>0.5</v>
      </c>
      <c r="AC455" t="s">
        <v>1059</v>
      </c>
      <c r="AD455">
        <v>60</v>
      </c>
      <c r="AE455" t="s">
        <v>1059</v>
      </c>
      <c r="AF455" s="4" t="s">
        <v>57</v>
      </c>
      <c r="AG455" s="4">
        <v>2263</v>
      </c>
      <c r="AH455" s="4" t="s">
        <v>58</v>
      </c>
      <c r="AI455" s="4">
        <v>2116</v>
      </c>
      <c r="AJ455" t="s">
        <v>1059</v>
      </c>
      <c r="AK455" t="s">
        <v>56</v>
      </c>
      <c r="AL455" t="s">
        <v>1104</v>
      </c>
      <c r="AM455">
        <v>8</v>
      </c>
      <c r="AN455">
        <v>0</v>
      </c>
      <c r="AO455">
        <v>9</v>
      </c>
      <c r="AP455">
        <v>0</v>
      </c>
      <c r="AQ455" s="5">
        <v>426</v>
      </c>
      <c r="AR455">
        <v>15</v>
      </c>
      <c r="AS455">
        <v>0</v>
      </c>
      <c r="AT455">
        <v>16</v>
      </c>
      <c r="AU455">
        <v>0</v>
      </c>
      <c r="AV455" s="5">
        <v>463</v>
      </c>
      <c r="AW455" t="s">
        <v>56</v>
      </c>
      <c r="AX455" s="6">
        <v>4751</v>
      </c>
      <c r="AY455" t="s">
        <v>1059</v>
      </c>
      <c r="AZ455" t="s">
        <v>56</v>
      </c>
    </row>
    <row r="456" spans="1:52" hidden="1" x14ac:dyDescent="0.45">
      <c r="A456">
        <v>510837.07760803599</v>
      </c>
      <c r="B456">
        <v>6928491.1820251802</v>
      </c>
      <c r="C456">
        <v>455</v>
      </c>
      <c r="D456" t="s">
        <v>1105</v>
      </c>
      <c r="E456" t="s">
        <v>199</v>
      </c>
      <c r="F456" t="s">
        <v>1106</v>
      </c>
      <c r="G456" t="s">
        <v>1107</v>
      </c>
      <c r="H456" s="3">
        <v>1387</v>
      </c>
      <c r="I456">
        <v>2</v>
      </c>
      <c r="J456" t="s">
        <v>56</v>
      </c>
      <c r="K456">
        <v>42.8</v>
      </c>
      <c r="L456">
        <v>54.4</v>
      </c>
      <c r="M456">
        <v>1</v>
      </c>
      <c r="N456" t="s">
        <v>56</v>
      </c>
      <c r="O456" t="s">
        <v>1107</v>
      </c>
      <c r="P456">
        <v>63.9</v>
      </c>
      <c r="Q456">
        <v>1.6</v>
      </c>
      <c r="R456">
        <v>28.1</v>
      </c>
      <c r="S456">
        <v>3.2</v>
      </c>
      <c r="T456">
        <v>0.8</v>
      </c>
      <c r="U456">
        <v>0.1</v>
      </c>
      <c r="V456">
        <v>1.2</v>
      </c>
      <c r="W456">
        <v>0.1</v>
      </c>
      <c r="X456">
        <v>0.3</v>
      </c>
      <c r="Y456">
        <v>0.1</v>
      </c>
      <c r="Z456">
        <v>0.2</v>
      </c>
      <c r="AA456">
        <v>0</v>
      </c>
      <c r="AB456">
        <v>0.4</v>
      </c>
      <c r="AC456" t="s">
        <v>1107</v>
      </c>
      <c r="AD456">
        <v>50</v>
      </c>
      <c r="AE456" t="s">
        <v>1107</v>
      </c>
      <c r="AF456" s="4" t="s">
        <v>80</v>
      </c>
      <c r="AG456" s="4">
        <v>705</v>
      </c>
      <c r="AH456" s="4" t="s">
        <v>81</v>
      </c>
      <c r="AI456" s="4">
        <v>682</v>
      </c>
      <c r="AJ456" t="s">
        <v>1107</v>
      </c>
      <c r="AK456" t="s">
        <v>56</v>
      </c>
      <c r="AL456" t="s">
        <v>1106</v>
      </c>
      <c r="AM456">
        <v>10</v>
      </c>
      <c r="AN456">
        <v>0</v>
      </c>
      <c r="AO456">
        <v>11</v>
      </c>
      <c r="AP456">
        <v>0</v>
      </c>
      <c r="AQ456" s="5">
        <v>160</v>
      </c>
      <c r="AR456">
        <v>15</v>
      </c>
      <c r="AS456">
        <v>0</v>
      </c>
      <c r="AT456">
        <v>16</v>
      </c>
      <c r="AU456">
        <v>0</v>
      </c>
      <c r="AV456" s="5">
        <v>167</v>
      </c>
      <c r="AW456" t="s">
        <v>56</v>
      </c>
      <c r="AX456" s="6">
        <v>1598</v>
      </c>
      <c r="AY456" t="s">
        <v>1107</v>
      </c>
      <c r="AZ456" t="s">
        <v>56</v>
      </c>
    </row>
    <row r="457" spans="1:52" hidden="1" x14ac:dyDescent="0.45">
      <c r="A457">
        <v>498532.54693724198</v>
      </c>
      <c r="B457">
        <v>6941650.59428812</v>
      </c>
      <c r="C457">
        <v>456</v>
      </c>
      <c r="D457" t="s">
        <v>1108</v>
      </c>
      <c r="E457" t="s">
        <v>1073</v>
      </c>
      <c r="F457" t="s">
        <v>1109</v>
      </c>
      <c r="G457" t="s">
        <v>1107</v>
      </c>
      <c r="H457" s="3">
        <v>14659</v>
      </c>
      <c r="I457">
        <v>2</v>
      </c>
      <c r="J457" t="s">
        <v>56</v>
      </c>
      <c r="K457">
        <v>78.2</v>
      </c>
      <c r="L457">
        <v>83.5</v>
      </c>
      <c r="M457">
        <v>1</v>
      </c>
      <c r="N457" t="s">
        <v>56</v>
      </c>
      <c r="O457" t="s">
        <v>1107</v>
      </c>
      <c r="P457">
        <v>80.900000000000006</v>
      </c>
      <c r="Q457">
        <v>0.8</v>
      </c>
      <c r="R457">
        <v>15</v>
      </c>
      <c r="S457">
        <v>0.9</v>
      </c>
      <c r="T457">
        <v>0.2</v>
      </c>
      <c r="U457">
        <v>0</v>
      </c>
      <c r="V457">
        <v>0.4</v>
      </c>
      <c r="W457">
        <v>0.2</v>
      </c>
      <c r="X457">
        <v>1.2</v>
      </c>
      <c r="Y457">
        <v>0.2</v>
      </c>
      <c r="Z457">
        <v>0</v>
      </c>
      <c r="AA457">
        <v>0</v>
      </c>
      <c r="AB457">
        <v>0.2</v>
      </c>
      <c r="AC457" t="s">
        <v>1107</v>
      </c>
      <c r="AD457">
        <v>80</v>
      </c>
      <c r="AE457" t="s">
        <v>1107</v>
      </c>
      <c r="AF457" s="4" t="s">
        <v>57</v>
      </c>
      <c r="AG457" s="4">
        <v>7473</v>
      </c>
      <c r="AH457" s="4" t="s">
        <v>58</v>
      </c>
      <c r="AI457" s="4">
        <v>7186</v>
      </c>
      <c r="AJ457" t="s">
        <v>1107</v>
      </c>
      <c r="AK457" t="s">
        <v>56</v>
      </c>
      <c r="AL457" t="s">
        <v>1109</v>
      </c>
      <c r="AM457">
        <v>6</v>
      </c>
      <c r="AN457">
        <v>0</v>
      </c>
      <c r="AO457">
        <v>7</v>
      </c>
      <c r="AP457">
        <v>0</v>
      </c>
      <c r="AQ457" s="5">
        <v>1200</v>
      </c>
      <c r="AR457">
        <v>15</v>
      </c>
      <c r="AS457">
        <v>0</v>
      </c>
      <c r="AT457">
        <v>16</v>
      </c>
      <c r="AU457">
        <v>0</v>
      </c>
      <c r="AV457" s="5">
        <v>1281</v>
      </c>
      <c r="AW457" t="s">
        <v>56</v>
      </c>
      <c r="AX457" s="6">
        <v>16028</v>
      </c>
      <c r="AY457" t="s">
        <v>1107</v>
      </c>
      <c r="AZ457" t="s">
        <v>56</v>
      </c>
    </row>
    <row r="458" spans="1:52" hidden="1" x14ac:dyDescent="0.45">
      <c r="A458">
        <v>520699.839119296</v>
      </c>
      <c r="B458">
        <v>6934688.8733725101</v>
      </c>
      <c r="C458">
        <v>457</v>
      </c>
      <c r="D458" t="s">
        <v>1110</v>
      </c>
      <c r="E458" t="s">
        <v>411</v>
      </c>
      <c r="F458" t="s">
        <v>1111</v>
      </c>
      <c r="G458" t="s">
        <v>1112</v>
      </c>
      <c r="H458" s="3">
        <v>515</v>
      </c>
      <c r="I458">
        <v>2</v>
      </c>
      <c r="J458" t="s">
        <v>56</v>
      </c>
      <c r="K458">
        <v>48.7</v>
      </c>
      <c r="L458">
        <v>59.8</v>
      </c>
      <c r="M458">
        <v>1</v>
      </c>
      <c r="N458" t="s">
        <v>56</v>
      </c>
      <c r="O458" t="s">
        <v>1112</v>
      </c>
      <c r="P458">
        <v>79.599999999999994</v>
      </c>
      <c r="Q458">
        <v>0.3</v>
      </c>
      <c r="R458">
        <v>19</v>
      </c>
      <c r="S458">
        <v>0.1</v>
      </c>
      <c r="T458">
        <v>0.1</v>
      </c>
      <c r="U458">
        <v>0</v>
      </c>
      <c r="V458">
        <v>0.3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0.6</v>
      </c>
      <c r="AC458" t="s">
        <v>1112</v>
      </c>
      <c r="AD458">
        <v>50</v>
      </c>
      <c r="AE458" t="s">
        <v>1112</v>
      </c>
      <c r="AF458" s="4" t="s">
        <v>80</v>
      </c>
      <c r="AG458" s="4">
        <v>265</v>
      </c>
      <c r="AH458" s="4" t="s">
        <v>81</v>
      </c>
      <c r="AI458" s="4">
        <v>250</v>
      </c>
      <c r="AJ458" t="s">
        <v>1112</v>
      </c>
      <c r="AK458" t="s">
        <v>56</v>
      </c>
      <c r="AL458" t="s">
        <v>1111</v>
      </c>
      <c r="AM458">
        <v>8</v>
      </c>
      <c r="AN458">
        <v>0</v>
      </c>
      <c r="AO458">
        <v>9</v>
      </c>
      <c r="AP458">
        <v>0</v>
      </c>
      <c r="AQ458" s="5">
        <v>36</v>
      </c>
      <c r="AR458">
        <v>15</v>
      </c>
      <c r="AS458">
        <v>0</v>
      </c>
      <c r="AT458">
        <v>16</v>
      </c>
      <c r="AU458">
        <v>0</v>
      </c>
      <c r="AV458" s="5">
        <v>62</v>
      </c>
      <c r="AW458" t="s">
        <v>56</v>
      </c>
      <c r="AX458" s="6">
        <v>525</v>
      </c>
      <c r="AY458" t="s">
        <v>1112</v>
      </c>
      <c r="AZ458" t="s">
        <v>56</v>
      </c>
    </row>
    <row r="459" spans="1:52" hidden="1" x14ac:dyDescent="0.45">
      <c r="A459">
        <v>508367.36377151299</v>
      </c>
      <c r="B459">
        <v>6937645.0270507298</v>
      </c>
      <c r="C459">
        <v>458</v>
      </c>
      <c r="D459" t="s">
        <v>1113</v>
      </c>
      <c r="E459" t="s">
        <v>95</v>
      </c>
      <c r="F459" t="s">
        <v>1114</v>
      </c>
      <c r="G459" t="s">
        <v>1115</v>
      </c>
      <c r="H459" s="3">
        <v>1016</v>
      </c>
      <c r="I459">
        <v>2</v>
      </c>
      <c r="J459" t="s">
        <v>56</v>
      </c>
      <c r="K459">
        <v>43.1</v>
      </c>
      <c r="L459">
        <v>49.7</v>
      </c>
      <c r="M459">
        <v>1</v>
      </c>
      <c r="N459" t="s">
        <v>56</v>
      </c>
      <c r="O459" t="s">
        <v>1115</v>
      </c>
      <c r="P459">
        <v>87.1</v>
      </c>
      <c r="Q459">
        <v>0.8</v>
      </c>
      <c r="R459">
        <v>11.7</v>
      </c>
      <c r="S459">
        <v>0.1</v>
      </c>
      <c r="T459">
        <v>0</v>
      </c>
      <c r="U459">
        <v>0</v>
      </c>
      <c r="V459">
        <v>0.2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0.1</v>
      </c>
      <c r="AC459" t="s">
        <v>1115</v>
      </c>
      <c r="AD459">
        <v>50</v>
      </c>
      <c r="AE459" t="s">
        <v>1115</v>
      </c>
      <c r="AF459" s="4" t="s">
        <v>57</v>
      </c>
      <c r="AG459" s="4">
        <v>531</v>
      </c>
      <c r="AH459" s="4" t="s">
        <v>58</v>
      </c>
      <c r="AI459" s="4">
        <v>485</v>
      </c>
      <c r="AJ459" t="s">
        <v>1115</v>
      </c>
      <c r="AK459" t="s">
        <v>56</v>
      </c>
      <c r="AL459" t="s">
        <v>1114</v>
      </c>
      <c r="AM459">
        <v>8</v>
      </c>
      <c r="AN459">
        <v>0</v>
      </c>
      <c r="AO459">
        <v>9</v>
      </c>
      <c r="AP459">
        <v>0</v>
      </c>
      <c r="AQ459" s="5">
        <v>115</v>
      </c>
      <c r="AR459">
        <v>15</v>
      </c>
      <c r="AS459">
        <v>0</v>
      </c>
      <c r="AT459">
        <v>16</v>
      </c>
      <c r="AU459">
        <v>0</v>
      </c>
      <c r="AV459" s="5">
        <v>126</v>
      </c>
      <c r="AW459" t="s">
        <v>56</v>
      </c>
      <c r="AX459" s="6">
        <v>1085</v>
      </c>
      <c r="AY459" t="s">
        <v>1115</v>
      </c>
      <c r="AZ459" t="s">
        <v>56</v>
      </c>
    </row>
    <row r="460" spans="1:52" hidden="1" x14ac:dyDescent="0.45">
      <c r="A460">
        <v>508073.00795859197</v>
      </c>
      <c r="B460">
        <v>6937771.2824950796</v>
      </c>
      <c r="C460">
        <v>459</v>
      </c>
      <c r="D460" t="s">
        <v>1113</v>
      </c>
      <c r="E460" t="s">
        <v>95</v>
      </c>
      <c r="F460" t="s">
        <v>1116</v>
      </c>
      <c r="G460" t="s">
        <v>1115</v>
      </c>
      <c r="H460" s="3">
        <v>330</v>
      </c>
      <c r="I460">
        <v>2</v>
      </c>
      <c r="J460" t="s">
        <v>56</v>
      </c>
      <c r="K460">
        <v>50.4</v>
      </c>
      <c r="L460">
        <v>60.5</v>
      </c>
      <c r="M460">
        <v>1</v>
      </c>
      <c r="N460" t="s">
        <v>56</v>
      </c>
      <c r="O460" t="s">
        <v>1115</v>
      </c>
      <c r="P460">
        <v>84.2</v>
      </c>
      <c r="Q460">
        <v>0.8</v>
      </c>
      <c r="R460">
        <v>14</v>
      </c>
      <c r="S460">
        <v>0.3</v>
      </c>
      <c r="T460">
        <v>0</v>
      </c>
      <c r="U460">
        <v>0</v>
      </c>
      <c r="V460">
        <v>0.4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0.3</v>
      </c>
      <c r="AC460" t="s">
        <v>1115</v>
      </c>
      <c r="AD460">
        <v>50</v>
      </c>
      <c r="AE460" t="s">
        <v>1115</v>
      </c>
      <c r="AF460" s="4" t="s">
        <v>57</v>
      </c>
      <c r="AG460" s="4">
        <v>164</v>
      </c>
      <c r="AH460" s="4" t="s">
        <v>58</v>
      </c>
      <c r="AI460" s="4">
        <v>166</v>
      </c>
      <c r="AJ460" t="s">
        <v>1115</v>
      </c>
      <c r="AK460" t="s">
        <v>56</v>
      </c>
      <c r="AL460" t="s">
        <v>1116</v>
      </c>
      <c r="AM460">
        <v>8</v>
      </c>
      <c r="AN460">
        <v>0</v>
      </c>
      <c r="AO460">
        <v>9</v>
      </c>
      <c r="AP460">
        <v>0</v>
      </c>
      <c r="AQ460" s="5">
        <v>23</v>
      </c>
      <c r="AR460">
        <v>16</v>
      </c>
      <c r="AS460">
        <v>0</v>
      </c>
      <c r="AT460">
        <v>17</v>
      </c>
      <c r="AU460">
        <v>0</v>
      </c>
      <c r="AV460" s="5">
        <v>41</v>
      </c>
      <c r="AW460" t="s">
        <v>56</v>
      </c>
      <c r="AX460" s="6">
        <v>344</v>
      </c>
      <c r="AY460" t="s">
        <v>1115</v>
      </c>
      <c r="AZ460" t="s">
        <v>56</v>
      </c>
    </row>
    <row r="461" spans="1:52" hidden="1" x14ac:dyDescent="0.45">
      <c r="A461">
        <v>489448.35547506902</v>
      </c>
      <c r="B461">
        <v>6919588.1157210805</v>
      </c>
      <c r="C461">
        <v>460</v>
      </c>
      <c r="D461" t="s">
        <v>1117</v>
      </c>
      <c r="E461" t="s">
        <v>1118</v>
      </c>
      <c r="F461" t="s">
        <v>1119</v>
      </c>
      <c r="G461" t="s">
        <v>829</v>
      </c>
      <c r="H461" s="3">
        <v>96</v>
      </c>
      <c r="I461">
        <v>2</v>
      </c>
      <c r="J461" t="s">
        <v>56</v>
      </c>
      <c r="K461">
        <v>61.7</v>
      </c>
      <c r="L461">
        <v>74.2</v>
      </c>
      <c r="M461">
        <v>1</v>
      </c>
      <c r="N461" t="s">
        <v>56</v>
      </c>
      <c r="O461" t="s">
        <v>829</v>
      </c>
      <c r="P461">
        <v>67.5</v>
      </c>
      <c r="Q461">
        <v>2.2999999999999998</v>
      </c>
      <c r="R461">
        <v>28.4</v>
      </c>
      <c r="S461">
        <v>0.2</v>
      </c>
      <c r="T461">
        <v>0</v>
      </c>
      <c r="U461">
        <v>0</v>
      </c>
      <c r="V461">
        <v>1.2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0.4</v>
      </c>
      <c r="AC461" t="s">
        <v>829</v>
      </c>
      <c r="AD461">
        <v>50</v>
      </c>
      <c r="AE461" t="s">
        <v>829</v>
      </c>
      <c r="AF461" s="4" t="s">
        <v>80</v>
      </c>
      <c r="AG461" s="4">
        <v>45</v>
      </c>
      <c r="AH461" s="4" t="s">
        <v>81</v>
      </c>
      <c r="AI461" s="4">
        <v>51</v>
      </c>
      <c r="AJ461" t="s">
        <v>829</v>
      </c>
      <c r="AK461" t="s">
        <v>56</v>
      </c>
      <c r="AL461" t="s">
        <v>1119</v>
      </c>
      <c r="AM461">
        <v>9</v>
      </c>
      <c r="AN461">
        <v>0</v>
      </c>
      <c r="AO461">
        <v>10</v>
      </c>
      <c r="AP461">
        <v>0</v>
      </c>
      <c r="AQ461" s="5">
        <v>14</v>
      </c>
      <c r="AR461">
        <v>13</v>
      </c>
      <c r="AS461">
        <v>0</v>
      </c>
      <c r="AT461">
        <v>14</v>
      </c>
      <c r="AU461">
        <v>0</v>
      </c>
      <c r="AV461" s="5">
        <v>17</v>
      </c>
      <c r="AW461" t="s">
        <v>56</v>
      </c>
      <c r="AX461" s="6">
        <v>88</v>
      </c>
      <c r="AY461" t="s">
        <v>829</v>
      </c>
      <c r="AZ461" t="s">
        <v>56</v>
      </c>
    </row>
    <row r="462" spans="1:52" hidden="1" x14ac:dyDescent="0.45">
      <c r="A462">
        <v>523766.65427258098</v>
      </c>
      <c r="B462">
        <v>6940025.8603451299</v>
      </c>
      <c r="C462">
        <v>461</v>
      </c>
      <c r="D462" t="s">
        <v>1120</v>
      </c>
      <c r="E462" t="s">
        <v>780</v>
      </c>
      <c r="F462" t="s">
        <v>1121</v>
      </c>
      <c r="G462" t="s">
        <v>1002</v>
      </c>
      <c r="H462" s="3">
        <v>250</v>
      </c>
      <c r="I462">
        <v>2</v>
      </c>
      <c r="J462" t="s">
        <v>56</v>
      </c>
      <c r="K462">
        <v>60.9</v>
      </c>
      <c r="L462">
        <v>71.599999999999994</v>
      </c>
      <c r="M462">
        <v>1</v>
      </c>
      <c r="N462" t="s">
        <v>56</v>
      </c>
      <c r="O462" t="s">
        <v>1002</v>
      </c>
      <c r="P462">
        <v>81.400000000000006</v>
      </c>
      <c r="Q462">
        <v>2.5</v>
      </c>
      <c r="R462">
        <v>12</v>
      </c>
      <c r="S462">
        <v>0.9</v>
      </c>
      <c r="T462">
        <v>0.2</v>
      </c>
      <c r="U462">
        <v>0</v>
      </c>
      <c r="V462">
        <v>0.8</v>
      </c>
      <c r="W462">
        <v>0</v>
      </c>
      <c r="X462">
        <v>1.2</v>
      </c>
      <c r="Y462">
        <v>0.3</v>
      </c>
      <c r="Z462">
        <v>0.5</v>
      </c>
      <c r="AA462">
        <v>0</v>
      </c>
      <c r="AB462">
        <v>0.2</v>
      </c>
      <c r="AC462" t="s">
        <v>1002</v>
      </c>
      <c r="AD462">
        <v>60</v>
      </c>
      <c r="AE462" t="s">
        <v>1002</v>
      </c>
      <c r="AF462" s="4" t="s">
        <v>80</v>
      </c>
      <c r="AG462" s="4">
        <v>119</v>
      </c>
      <c r="AH462" s="4" t="s">
        <v>81</v>
      </c>
      <c r="AI462" s="4">
        <v>131</v>
      </c>
      <c r="AJ462" t="s">
        <v>1002</v>
      </c>
      <c r="AK462" t="s">
        <v>56</v>
      </c>
      <c r="AL462" t="s">
        <v>1121</v>
      </c>
      <c r="AM462">
        <v>8</v>
      </c>
      <c r="AN462">
        <v>0</v>
      </c>
      <c r="AO462">
        <v>9</v>
      </c>
      <c r="AP462">
        <v>0</v>
      </c>
      <c r="AQ462" s="5">
        <v>34</v>
      </c>
      <c r="AR462">
        <v>16</v>
      </c>
      <c r="AS462">
        <v>0</v>
      </c>
      <c r="AT462">
        <v>17</v>
      </c>
      <c r="AU462">
        <v>0</v>
      </c>
      <c r="AV462" s="5">
        <v>29</v>
      </c>
      <c r="AW462" t="s">
        <v>56</v>
      </c>
      <c r="AX462" s="6">
        <v>275</v>
      </c>
      <c r="AY462" t="s">
        <v>1002</v>
      </c>
      <c r="AZ462" t="s">
        <v>56</v>
      </c>
    </row>
    <row r="463" spans="1:52" hidden="1" x14ac:dyDescent="0.45">
      <c r="A463">
        <v>502480.461845488</v>
      </c>
      <c r="B463">
        <v>6939644.2809937997</v>
      </c>
      <c r="C463">
        <v>462</v>
      </c>
      <c r="D463" t="s">
        <v>1122</v>
      </c>
      <c r="E463" t="s">
        <v>1123</v>
      </c>
      <c r="F463" t="s">
        <v>1124</v>
      </c>
      <c r="G463" t="s">
        <v>1125</v>
      </c>
      <c r="H463" s="3">
        <v>188</v>
      </c>
      <c r="I463">
        <v>2</v>
      </c>
      <c r="J463" t="s">
        <v>56</v>
      </c>
      <c r="K463">
        <v>41.2</v>
      </c>
      <c r="L463">
        <v>51.1</v>
      </c>
      <c r="M463">
        <v>1</v>
      </c>
      <c r="N463" t="s">
        <v>56</v>
      </c>
      <c r="O463" t="s">
        <v>1125</v>
      </c>
      <c r="P463">
        <v>81.2</v>
      </c>
      <c r="Q463">
        <v>1.8</v>
      </c>
      <c r="R463">
        <v>16.5</v>
      </c>
      <c r="S463">
        <v>0.1</v>
      </c>
      <c r="T463">
        <v>0.1</v>
      </c>
      <c r="U463">
        <v>0.1</v>
      </c>
      <c r="V463">
        <v>0.1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0.1</v>
      </c>
      <c r="AC463" t="s">
        <v>1125</v>
      </c>
      <c r="AD463">
        <v>50</v>
      </c>
      <c r="AE463" t="s">
        <v>1125</v>
      </c>
      <c r="AF463" s="4" t="s">
        <v>57</v>
      </c>
      <c r="AG463" s="4">
        <v>104</v>
      </c>
      <c r="AH463" s="4" t="s">
        <v>58</v>
      </c>
      <c r="AI463" s="4">
        <v>84</v>
      </c>
      <c r="AJ463" t="s">
        <v>1125</v>
      </c>
      <c r="AK463" t="s">
        <v>56</v>
      </c>
      <c r="AL463" t="s">
        <v>1124</v>
      </c>
      <c r="AM463">
        <v>9</v>
      </c>
      <c r="AN463">
        <v>0</v>
      </c>
      <c r="AO463">
        <v>10</v>
      </c>
      <c r="AP463">
        <v>0</v>
      </c>
      <c r="AQ463" s="5">
        <v>14</v>
      </c>
      <c r="AR463">
        <v>15</v>
      </c>
      <c r="AS463">
        <v>0</v>
      </c>
      <c r="AT463">
        <v>16</v>
      </c>
      <c r="AU463">
        <v>0</v>
      </c>
      <c r="AV463" s="5">
        <v>32</v>
      </c>
      <c r="AW463" t="s">
        <v>56</v>
      </c>
      <c r="AX463" s="6">
        <v>194</v>
      </c>
      <c r="AY463" t="s">
        <v>1125</v>
      </c>
      <c r="AZ463" t="s">
        <v>56</v>
      </c>
    </row>
    <row r="464" spans="1:52" hidden="1" x14ac:dyDescent="0.45">
      <c r="A464">
        <v>494798.041618469</v>
      </c>
      <c r="B464">
        <v>6935264.8996388298</v>
      </c>
      <c r="C464">
        <v>463</v>
      </c>
      <c r="D464" t="s">
        <v>1126</v>
      </c>
      <c r="E464" t="s">
        <v>504</v>
      </c>
      <c r="F464" t="s">
        <v>1127</v>
      </c>
      <c r="G464" t="s">
        <v>1125</v>
      </c>
      <c r="H464" s="3">
        <v>533</v>
      </c>
      <c r="I464">
        <v>2</v>
      </c>
      <c r="J464" t="s">
        <v>56</v>
      </c>
      <c r="K464">
        <v>70.2</v>
      </c>
      <c r="L464">
        <v>80.599999999999994</v>
      </c>
      <c r="M464">
        <v>1</v>
      </c>
      <c r="N464" t="s">
        <v>56</v>
      </c>
      <c r="O464" t="s">
        <v>1125</v>
      </c>
      <c r="P464">
        <v>76.400000000000006</v>
      </c>
      <c r="Q464">
        <v>2.4</v>
      </c>
      <c r="R464">
        <v>18</v>
      </c>
      <c r="S464">
        <v>2</v>
      </c>
      <c r="T464">
        <v>0.1</v>
      </c>
      <c r="U464">
        <v>0</v>
      </c>
      <c r="V464">
        <v>0.7</v>
      </c>
      <c r="W464">
        <v>0</v>
      </c>
      <c r="X464">
        <v>0.1</v>
      </c>
      <c r="Y464">
        <v>0</v>
      </c>
      <c r="Z464">
        <v>0</v>
      </c>
      <c r="AA464">
        <v>0</v>
      </c>
      <c r="AB464">
        <v>0.3</v>
      </c>
      <c r="AC464" t="s">
        <v>1125</v>
      </c>
      <c r="AD464">
        <v>80</v>
      </c>
      <c r="AE464" t="s">
        <v>1125</v>
      </c>
      <c r="AF464" s="4" t="s">
        <v>80</v>
      </c>
      <c r="AG464" s="4">
        <v>269</v>
      </c>
      <c r="AH464" s="4" t="s">
        <v>81</v>
      </c>
      <c r="AI464" s="4">
        <v>264</v>
      </c>
      <c r="AJ464" t="s">
        <v>1125</v>
      </c>
      <c r="AK464" t="s">
        <v>56</v>
      </c>
      <c r="AL464" t="s">
        <v>1127</v>
      </c>
      <c r="AM464">
        <v>8</v>
      </c>
      <c r="AN464">
        <v>0</v>
      </c>
      <c r="AO464">
        <v>9</v>
      </c>
      <c r="AP464">
        <v>0</v>
      </c>
      <c r="AQ464" s="5">
        <v>56</v>
      </c>
      <c r="AR464">
        <v>15</v>
      </c>
      <c r="AS464">
        <v>0</v>
      </c>
      <c r="AT464">
        <v>16</v>
      </c>
      <c r="AU464">
        <v>0</v>
      </c>
      <c r="AV464" s="5">
        <v>58</v>
      </c>
      <c r="AW464" t="s">
        <v>56</v>
      </c>
      <c r="AX464" s="6">
        <v>552</v>
      </c>
      <c r="AY464" t="s">
        <v>1125</v>
      </c>
      <c r="AZ464" t="s">
        <v>56</v>
      </c>
    </row>
    <row r="465" spans="1:52" hidden="1" x14ac:dyDescent="0.45">
      <c r="A465">
        <v>508516.743917363</v>
      </c>
      <c r="B465">
        <v>6938477.0286135897</v>
      </c>
      <c r="C465">
        <v>464</v>
      </c>
      <c r="D465" t="s">
        <v>1128</v>
      </c>
      <c r="E465" t="s">
        <v>452</v>
      </c>
      <c r="F465" t="s">
        <v>1129</v>
      </c>
      <c r="G465" t="s">
        <v>1112</v>
      </c>
      <c r="H465" s="3">
        <v>188</v>
      </c>
      <c r="I465">
        <v>2</v>
      </c>
      <c r="J465" t="s">
        <v>56</v>
      </c>
      <c r="K465">
        <v>38.700000000000003</v>
      </c>
      <c r="L465">
        <v>47.2</v>
      </c>
      <c r="M465">
        <v>1</v>
      </c>
      <c r="N465" t="s">
        <v>56</v>
      </c>
      <c r="O465" t="s">
        <v>1112</v>
      </c>
      <c r="P465">
        <v>87.6</v>
      </c>
      <c r="Q465">
        <v>1</v>
      </c>
      <c r="R465">
        <v>10.5</v>
      </c>
      <c r="S465">
        <v>0.4</v>
      </c>
      <c r="T465">
        <v>0.1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0.4</v>
      </c>
      <c r="AC465" t="s">
        <v>1112</v>
      </c>
      <c r="AD465">
        <v>50</v>
      </c>
      <c r="AE465" t="s">
        <v>1112</v>
      </c>
      <c r="AF465" s="4" t="s">
        <v>80</v>
      </c>
      <c r="AG465" s="4">
        <v>69</v>
      </c>
      <c r="AH465" s="4" t="s">
        <v>81</v>
      </c>
      <c r="AI465" s="4">
        <v>119</v>
      </c>
      <c r="AJ465" t="s">
        <v>1112</v>
      </c>
      <c r="AK465" t="s">
        <v>56</v>
      </c>
      <c r="AL465" t="s">
        <v>1129</v>
      </c>
      <c r="AM465">
        <v>8</v>
      </c>
      <c r="AN465">
        <v>0</v>
      </c>
      <c r="AO465">
        <v>9</v>
      </c>
      <c r="AP465">
        <v>0</v>
      </c>
      <c r="AQ465" s="5">
        <v>20</v>
      </c>
      <c r="AR465">
        <v>16</v>
      </c>
      <c r="AS465">
        <v>0</v>
      </c>
      <c r="AT465">
        <v>17</v>
      </c>
      <c r="AU465">
        <v>0</v>
      </c>
      <c r="AV465" s="5">
        <v>23</v>
      </c>
      <c r="AW465" t="s">
        <v>56</v>
      </c>
      <c r="AX465" s="6">
        <v>190</v>
      </c>
      <c r="AY465" t="s">
        <v>1112</v>
      </c>
      <c r="AZ465" t="s">
        <v>56</v>
      </c>
    </row>
    <row r="466" spans="1:52" hidden="1" x14ac:dyDescent="0.45">
      <c r="A466">
        <v>514974.85502879898</v>
      </c>
      <c r="B466">
        <v>6944176.3299906701</v>
      </c>
      <c r="C466">
        <v>465</v>
      </c>
      <c r="D466" t="s">
        <v>1130</v>
      </c>
      <c r="E466" t="s">
        <v>472</v>
      </c>
      <c r="F466" t="s">
        <v>1131</v>
      </c>
      <c r="G466" t="s">
        <v>1112</v>
      </c>
      <c r="H466" s="3">
        <v>197</v>
      </c>
      <c r="I466">
        <v>2</v>
      </c>
      <c r="J466" t="s">
        <v>56</v>
      </c>
      <c r="K466">
        <v>49.8</v>
      </c>
      <c r="L466">
        <v>61.2</v>
      </c>
      <c r="M466">
        <v>1</v>
      </c>
      <c r="N466" t="s">
        <v>56</v>
      </c>
      <c r="O466" t="s">
        <v>1112</v>
      </c>
      <c r="P466">
        <v>82.3</v>
      </c>
      <c r="Q466">
        <v>1.4</v>
      </c>
      <c r="R466">
        <v>14.3</v>
      </c>
      <c r="S466">
        <v>0.8</v>
      </c>
      <c r="T466">
        <v>0.2</v>
      </c>
      <c r="U466">
        <v>0</v>
      </c>
      <c r="V466">
        <v>0.4</v>
      </c>
      <c r="W466">
        <v>0.1</v>
      </c>
      <c r="X466">
        <v>0.1</v>
      </c>
      <c r="Y466">
        <v>0</v>
      </c>
      <c r="Z466">
        <v>0</v>
      </c>
      <c r="AA466">
        <v>0</v>
      </c>
      <c r="AB466">
        <v>0.4</v>
      </c>
      <c r="AC466" t="s">
        <v>1112</v>
      </c>
      <c r="AD466">
        <v>50</v>
      </c>
      <c r="AE466" t="s">
        <v>1112</v>
      </c>
      <c r="AF466" s="4" t="s">
        <v>80</v>
      </c>
      <c r="AG466" s="4">
        <v>98</v>
      </c>
      <c r="AH466" s="4" t="s">
        <v>81</v>
      </c>
      <c r="AI466" s="4">
        <v>99</v>
      </c>
      <c r="AJ466" t="s">
        <v>1112</v>
      </c>
      <c r="AK466" t="s">
        <v>56</v>
      </c>
      <c r="AL466" t="s">
        <v>1131</v>
      </c>
      <c r="AM466">
        <v>7</v>
      </c>
      <c r="AN466">
        <v>0</v>
      </c>
      <c r="AO466">
        <v>8</v>
      </c>
      <c r="AP466">
        <v>0</v>
      </c>
      <c r="AQ466" s="5">
        <v>20</v>
      </c>
      <c r="AR466">
        <v>16</v>
      </c>
      <c r="AS466">
        <v>0</v>
      </c>
      <c r="AT466">
        <v>17</v>
      </c>
      <c r="AU466">
        <v>0</v>
      </c>
      <c r="AV466" s="5">
        <v>21</v>
      </c>
      <c r="AW466" t="s">
        <v>56</v>
      </c>
      <c r="AX466" s="6">
        <v>196</v>
      </c>
      <c r="AY466" t="s">
        <v>1112</v>
      </c>
      <c r="AZ466" t="s">
        <v>56</v>
      </c>
    </row>
    <row r="467" spans="1:52" hidden="1" x14ac:dyDescent="0.45">
      <c r="A467">
        <v>519717.01493568497</v>
      </c>
      <c r="B467">
        <v>6940559.0320684696</v>
      </c>
      <c r="C467">
        <v>466</v>
      </c>
      <c r="D467" t="s">
        <v>1000</v>
      </c>
      <c r="E467" t="s">
        <v>950</v>
      </c>
      <c r="F467" t="s">
        <v>1132</v>
      </c>
      <c r="G467" t="s">
        <v>1133</v>
      </c>
      <c r="H467" s="3">
        <v>2510</v>
      </c>
      <c r="I467">
        <v>2</v>
      </c>
      <c r="J467" t="s">
        <v>56</v>
      </c>
      <c r="K467">
        <v>45.1</v>
      </c>
      <c r="L467">
        <v>52.9</v>
      </c>
      <c r="M467">
        <v>1</v>
      </c>
      <c r="N467" t="s">
        <v>56</v>
      </c>
      <c r="O467" t="s">
        <v>1133</v>
      </c>
      <c r="P467">
        <v>81.3</v>
      </c>
      <c r="Q467">
        <v>1.4</v>
      </c>
      <c r="R467">
        <v>16.399999999999999</v>
      </c>
      <c r="S467">
        <v>0.2</v>
      </c>
      <c r="T467">
        <v>0.1</v>
      </c>
      <c r="U467">
        <v>0</v>
      </c>
      <c r="V467">
        <v>0.3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0.3</v>
      </c>
      <c r="AC467" t="s">
        <v>1133</v>
      </c>
      <c r="AD467">
        <v>50</v>
      </c>
      <c r="AE467" t="s">
        <v>1133</v>
      </c>
      <c r="AF467" s="4" t="s">
        <v>57</v>
      </c>
      <c r="AG467" s="4">
        <v>1207</v>
      </c>
      <c r="AH467" s="4" t="s">
        <v>58</v>
      </c>
      <c r="AI467" s="4">
        <v>1303</v>
      </c>
      <c r="AJ467" t="s">
        <v>1133</v>
      </c>
      <c r="AK467" t="s">
        <v>56</v>
      </c>
      <c r="AL467" t="s">
        <v>1132</v>
      </c>
      <c r="AM467">
        <v>8</v>
      </c>
      <c r="AN467">
        <v>0</v>
      </c>
      <c r="AO467">
        <v>9</v>
      </c>
      <c r="AP467">
        <v>0</v>
      </c>
      <c r="AQ467" s="5">
        <v>490</v>
      </c>
      <c r="AR467">
        <v>15</v>
      </c>
      <c r="AS467">
        <v>0</v>
      </c>
      <c r="AT467">
        <v>16</v>
      </c>
      <c r="AU467">
        <v>0</v>
      </c>
      <c r="AV467" s="5">
        <v>408</v>
      </c>
      <c r="AW467" t="s">
        <v>56</v>
      </c>
      <c r="AX467" s="6">
        <v>2828</v>
      </c>
      <c r="AY467" t="s">
        <v>1133</v>
      </c>
      <c r="AZ467" t="s">
        <v>56</v>
      </c>
    </row>
    <row r="468" spans="1:52" hidden="1" x14ac:dyDescent="0.45">
      <c r="A468">
        <v>518372.36922975897</v>
      </c>
      <c r="B468">
        <v>6933179.5931379003</v>
      </c>
      <c r="C468">
        <v>467</v>
      </c>
      <c r="D468" t="s">
        <v>1134</v>
      </c>
      <c r="E468" t="s">
        <v>590</v>
      </c>
      <c r="F468" t="s">
        <v>1135</v>
      </c>
      <c r="G468" t="s">
        <v>1133</v>
      </c>
      <c r="H468" s="3">
        <v>541</v>
      </c>
      <c r="I468">
        <v>2</v>
      </c>
      <c r="J468" t="s">
        <v>56</v>
      </c>
      <c r="K468">
        <v>51.9</v>
      </c>
      <c r="L468">
        <v>62.3</v>
      </c>
      <c r="M468">
        <v>1</v>
      </c>
      <c r="N468" t="s">
        <v>56</v>
      </c>
      <c r="O468" t="s">
        <v>1133</v>
      </c>
      <c r="P468">
        <v>85</v>
      </c>
      <c r="Q468">
        <v>0.5</v>
      </c>
      <c r="R468">
        <v>13.8</v>
      </c>
      <c r="S468">
        <v>0.4</v>
      </c>
      <c r="T468">
        <v>0.1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0.2</v>
      </c>
      <c r="AC468" t="s">
        <v>1133</v>
      </c>
      <c r="AD468">
        <v>60</v>
      </c>
      <c r="AE468" t="s">
        <v>1133</v>
      </c>
      <c r="AF468" s="4" t="s">
        <v>57</v>
      </c>
      <c r="AG468" s="4">
        <v>271</v>
      </c>
      <c r="AH468" s="4" t="s">
        <v>58</v>
      </c>
      <c r="AI468" s="4">
        <v>270</v>
      </c>
      <c r="AJ468" t="s">
        <v>1133</v>
      </c>
      <c r="AK468" t="s">
        <v>56</v>
      </c>
      <c r="AL468" t="s">
        <v>1135</v>
      </c>
      <c r="AM468">
        <v>8</v>
      </c>
      <c r="AN468">
        <v>0</v>
      </c>
      <c r="AO468">
        <v>9</v>
      </c>
      <c r="AP468">
        <v>0</v>
      </c>
      <c r="AQ468" s="5">
        <v>48</v>
      </c>
      <c r="AR468">
        <v>17</v>
      </c>
      <c r="AS468">
        <v>0</v>
      </c>
      <c r="AT468">
        <v>18</v>
      </c>
      <c r="AU468">
        <v>0</v>
      </c>
      <c r="AV468" s="5">
        <v>56</v>
      </c>
      <c r="AW468" t="s">
        <v>56</v>
      </c>
      <c r="AX468" s="6">
        <v>556</v>
      </c>
      <c r="AY468" t="s">
        <v>1133</v>
      </c>
      <c r="AZ468" t="s">
        <v>56</v>
      </c>
    </row>
    <row r="469" spans="1:52" hidden="1" x14ac:dyDescent="0.45">
      <c r="A469">
        <v>515696.35443477402</v>
      </c>
      <c r="B469">
        <v>6936298.0049259197</v>
      </c>
      <c r="C469">
        <v>468</v>
      </c>
      <c r="D469" t="s">
        <v>1136</v>
      </c>
      <c r="E469" t="s">
        <v>549</v>
      </c>
      <c r="F469" t="s">
        <v>1137</v>
      </c>
      <c r="G469" t="s">
        <v>1133</v>
      </c>
      <c r="H469" s="3">
        <v>767</v>
      </c>
      <c r="I469">
        <v>2</v>
      </c>
      <c r="J469" t="s">
        <v>56</v>
      </c>
      <c r="K469">
        <v>50.9</v>
      </c>
      <c r="L469">
        <v>60.1</v>
      </c>
      <c r="M469">
        <v>1</v>
      </c>
      <c r="N469" t="s">
        <v>56</v>
      </c>
      <c r="O469" t="s">
        <v>1133</v>
      </c>
      <c r="P469">
        <v>85.5</v>
      </c>
      <c r="Q469">
        <v>0.9</v>
      </c>
      <c r="R469">
        <v>13.2</v>
      </c>
      <c r="S469">
        <v>0.1</v>
      </c>
      <c r="T469">
        <v>0.1</v>
      </c>
      <c r="U469">
        <v>0</v>
      </c>
      <c r="V469">
        <v>0.1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0.1</v>
      </c>
      <c r="AC469" t="s">
        <v>1133</v>
      </c>
      <c r="AD469">
        <v>50</v>
      </c>
      <c r="AE469" t="s">
        <v>1133</v>
      </c>
      <c r="AF469" s="4" t="s">
        <v>57</v>
      </c>
      <c r="AG469" s="4">
        <v>379</v>
      </c>
      <c r="AH469" s="4" t="s">
        <v>58</v>
      </c>
      <c r="AI469" s="4">
        <v>388</v>
      </c>
      <c r="AJ469" t="s">
        <v>1133</v>
      </c>
      <c r="AK469" t="s">
        <v>56</v>
      </c>
      <c r="AL469" t="s">
        <v>1137</v>
      </c>
      <c r="AM469">
        <v>8</v>
      </c>
      <c r="AN469">
        <v>0</v>
      </c>
      <c r="AO469">
        <v>9</v>
      </c>
      <c r="AP469">
        <v>0</v>
      </c>
      <c r="AQ469" s="5">
        <v>71</v>
      </c>
      <c r="AR469">
        <v>15</v>
      </c>
      <c r="AS469">
        <v>0</v>
      </c>
      <c r="AT469">
        <v>16</v>
      </c>
      <c r="AU469">
        <v>0</v>
      </c>
      <c r="AV469" s="5">
        <v>101</v>
      </c>
      <c r="AW469" t="s">
        <v>56</v>
      </c>
      <c r="AX469" s="6">
        <v>795</v>
      </c>
      <c r="AY469" t="s">
        <v>1133</v>
      </c>
      <c r="AZ469" t="s">
        <v>56</v>
      </c>
    </row>
    <row r="470" spans="1:52" hidden="1" x14ac:dyDescent="0.45">
      <c r="A470">
        <v>510208.75549468602</v>
      </c>
      <c r="B470">
        <v>6943065.9160191696</v>
      </c>
      <c r="C470">
        <v>469</v>
      </c>
      <c r="D470" t="s">
        <v>1138</v>
      </c>
      <c r="E470" t="s">
        <v>1139</v>
      </c>
      <c r="F470" t="s">
        <v>1140</v>
      </c>
      <c r="G470" t="s">
        <v>1125</v>
      </c>
      <c r="H470" s="3">
        <v>2852</v>
      </c>
      <c r="I470">
        <v>2</v>
      </c>
      <c r="J470" t="s">
        <v>56</v>
      </c>
      <c r="K470">
        <v>34.4</v>
      </c>
      <c r="L470">
        <v>42.8</v>
      </c>
      <c r="M470">
        <v>1</v>
      </c>
      <c r="N470" t="s">
        <v>56</v>
      </c>
      <c r="O470" t="s">
        <v>1125</v>
      </c>
      <c r="P470">
        <v>92.2</v>
      </c>
      <c r="Q470">
        <v>0.4</v>
      </c>
      <c r="R470">
        <v>5.7</v>
      </c>
      <c r="S470">
        <v>0.6</v>
      </c>
      <c r="T470">
        <v>0.1</v>
      </c>
      <c r="U470">
        <v>0</v>
      </c>
      <c r="V470">
        <v>0.1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0.9</v>
      </c>
      <c r="AC470" t="s">
        <v>1125</v>
      </c>
      <c r="AD470">
        <v>50</v>
      </c>
      <c r="AE470" t="s">
        <v>1125</v>
      </c>
      <c r="AF470" s="4" t="s">
        <v>57</v>
      </c>
      <c r="AG470" s="4">
        <v>1436</v>
      </c>
      <c r="AH470" s="4" t="s">
        <v>58</v>
      </c>
      <c r="AI470" s="4">
        <v>1416</v>
      </c>
      <c r="AJ470" t="s">
        <v>1125</v>
      </c>
      <c r="AK470" t="s">
        <v>56</v>
      </c>
      <c r="AL470" t="s">
        <v>1140</v>
      </c>
      <c r="AM470">
        <v>10</v>
      </c>
      <c r="AN470">
        <v>0</v>
      </c>
      <c r="AO470">
        <v>11</v>
      </c>
      <c r="AP470">
        <v>0</v>
      </c>
      <c r="AQ470" s="5">
        <v>340</v>
      </c>
      <c r="AR470">
        <v>12</v>
      </c>
      <c r="AS470">
        <v>0</v>
      </c>
      <c r="AT470">
        <v>13</v>
      </c>
      <c r="AU470">
        <v>0</v>
      </c>
      <c r="AV470" s="5">
        <v>238</v>
      </c>
      <c r="AW470" t="s">
        <v>56</v>
      </c>
      <c r="AX470" s="6">
        <v>2806</v>
      </c>
      <c r="AY470" t="s">
        <v>1125</v>
      </c>
      <c r="AZ470" t="s">
        <v>56</v>
      </c>
    </row>
    <row r="471" spans="1:52" hidden="1" x14ac:dyDescent="0.45">
      <c r="A471">
        <v>511756.54736030102</v>
      </c>
      <c r="B471">
        <v>6938124.1841015602</v>
      </c>
      <c r="C471">
        <v>470</v>
      </c>
      <c r="D471" t="s">
        <v>1141</v>
      </c>
      <c r="E471" t="s">
        <v>964</v>
      </c>
      <c r="F471" t="s">
        <v>1142</v>
      </c>
      <c r="G471" t="s">
        <v>1115</v>
      </c>
      <c r="H471" s="3">
        <v>3589</v>
      </c>
      <c r="I471">
        <v>2</v>
      </c>
      <c r="J471" t="s">
        <v>56</v>
      </c>
      <c r="K471">
        <v>47.2</v>
      </c>
      <c r="L471">
        <v>54.7</v>
      </c>
      <c r="M471">
        <v>1</v>
      </c>
      <c r="N471" t="s">
        <v>56</v>
      </c>
      <c r="O471" t="s">
        <v>1115</v>
      </c>
      <c r="P471">
        <v>89.6</v>
      </c>
      <c r="Q471">
        <v>0.5</v>
      </c>
      <c r="R471">
        <v>9.4</v>
      </c>
      <c r="S471">
        <v>0.2</v>
      </c>
      <c r="T471">
        <v>0.1</v>
      </c>
      <c r="U471">
        <v>0</v>
      </c>
      <c r="V471">
        <v>0.2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 t="s">
        <v>1115</v>
      </c>
      <c r="AD471">
        <v>60</v>
      </c>
      <c r="AE471" t="s">
        <v>1115</v>
      </c>
      <c r="AF471" s="4" t="s">
        <v>57</v>
      </c>
      <c r="AG471" s="4">
        <v>1619</v>
      </c>
      <c r="AH471" s="4" t="s">
        <v>58</v>
      </c>
      <c r="AI471" s="4">
        <v>1970</v>
      </c>
      <c r="AJ471" t="s">
        <v>1115</v>
      </c>
      <c r="AK471" t="s">
        <v>56</v>
      </c>
      <c r="AL471" t="s">
        <v>1142</v>
      </c>
      <c r="AM471">
        <v>8</v>
      </c>
      <c r="AN471">
        <v>0</v>
      </c>
      <c r="AO471">
        <v>9</v>
      </c>
      <c r="AP471">
        <v>0</v>
      </c>
      <c r="AQ471" s="5">
        <v>268</v>
      </c>
      <c r="AR471">
        <v>15</v>
      </c>
      <c r="AS471">
        <v>0</v>
      </c>
      <c r="AT471">
        <v>16</v>
      </c>
      <c r="AU471">
        <v>0</v>
      </c>
      <c r="AV471" s="5">
        <v>377</v>
      </c>
      <c r="AW471" t="s">
        <v>56</v>
      </c>
      <c r="AX471" s="6">
        <v>3719</v>
      </c>
      <c r="AY471" t="s">
        <v>1115</v>
      </c>
      <c r="AZ471" t="s">
        <v>56</v>
      </c>
    </row>
    <row r="472" spans="1:52" hidden="1" x14ac:dyDescent="0.45">
      <c r="A472">
        <v>510099.88027158199</v>
      </c>
      <c r="B472">
        <v>6919670.0308154002</v>
      </c>
      <c r="C472">
        <v>471</v>
      </c>
      <c r="D472" t="s">
        <v>1143</v>
      </c>
      <c r="E472" t="s">
        <v>486</v>
      </c>
      <c r="F472" t="s">
        <v>1144</v>
      </c>
      <c r="G472" t="s">
        <v>1107</v>
      </c>
      <c r="H472" s="3">
        <v>724</v>
      </c>
      <c r="I472">
        <v>2</v>
      </c>
      <c r="J472" t="s">
        <v>56</v>
      </c>
      <c r="K472">
        <v>71.099999999999994</v>
      </c>
      <c r="L472">
        <v>81.7</v>
      </c>
      <c r="M472">
        <v>1</v>
      </c>
      <c r="N472" t="s">
        <v>56</v>
      </c>
      <c r="O472" t="s">
        <v>1107</v>
      </c>
      <c r="P472">
        <v>68.8</v>
      </c>
      <c r="Q472">
        <v>2</v>
      </c>
      <c r="R472">
        <v>24.8</v>
      </c>
      <c r="S472">
        <v>1</v>
      </c>
      <c r="T472">
        <v>0.2</v>
      </c>
      <c r="U472">
        <v>0</v>
      </c>
      <c r="V472">
        <v>2.1</v>
      </c>
      <c r="W472">
        <v>0</v>
      </c>
      <c r="X472">
        <v>0.5</v>
      </c>
      <c r="Y472">
        <v>0</v>
      </c>
      <c r="Z472">
        <v>0</v>
      </c>
      <c r="AA472">
        <v>0</v>
      </c>
      <c r="AB472">
        <v>0.6</v>
      </c>
      <c r="AC472" t="s">
        <v>1107</v>
      </c>
      <c r="AD472">
        <v>60</v>
      </c>
      <c r="AE472" t="s">
        <v>1107</v>
      </c>
      <c r="AF472" s="4" t="s">
        <v>57</v>
      </c>
      <c r="AG472" s="4">
        <v>364</v>
      </c>
      <c r="AH472" s="4" t="s">
        <v>58</v>
      </c>
      <c r="AI472" s="4">
        <v>360</v>
      </c>
      <c r="AJ472" t="s">
        <v>1107</v>
      </c>
      <c r="AK472" t="s">
        <v>56</v>
      </c>
      <c r="AL472" t="s">
        <v>1144</v>
      </c>
      <c r="AM472">
        <v>7</v>
      </c>
      <c r="AN472">
        <v>0</v>
      </c>
      <c r="AO472">
        <v>8</v>
      </c>
      <c r="AP472">
        <v>0</v>
      </c>
      <c r="AQ472" s="5">
        <v>59</v>
      </c>
      <c r="AR472">
        <v>16</v>
      </c>
      <c r="AS472">
        <v>0</v>
      </c>
      <c r="AT472">
        <v>17</v>
      </c>
      <c r="AU472">
        <v>0</v>
      </c>
      <c r="AV472" s="5">
        <v>79</v>
      </c>
      <c r="AW472" t="s">
        <v>56</v>
      </c>
      <c r="AX472" s="6">
        <v>739</v>
      </c>
      <c r="AY472" t="s">
        <v>1107</v>
      </c>
      <c r="AZ472" t="s">
        <v>56</v>
      </c>
    </row>
    <row r="473" spans="1:52" hidden="1" x14ac:dyDescent="0.45">
      <c r="A473">
        <v>512312.42508424103</v>
      </c>
      <c r="B473">
        <v>6944767.0519606099</v>
      </c>
      <c r="C473">
        <v>472</v>
      </c>
      <c r="D473" t="s">
        <v>1145</v>
      </c>
      <c r="E473" t="s">
        <v>415</v>
      </c>
      <c r="F473" t="s">
        <v>1146</v>
      </c>
      <c r="G473" t="s">
        <v>1125</v>
      </c>
      <c r="H473" s="3">
        <v>5331</v>
      </c>
      <c r="I473">
        <v>2</v>
      </c>
      <c r="J473" t="s">
        <v>56</v>
      </c>
      <c r="K473">
        <v>46.1</v>
      </c>
      <c r="L473">
        <v>55.4</v>
      </c>
      <c r="M473">
        <v>1</v>
      </c>
      <c r="N473" t="s">
        <v>56</v>
      </c>
      <c r="O473" t="s">
        <v>1125</v>
      </c>
      <c r="P473">
        <v>68.2</v>
      </c>
      <c r="Q473">
        <v>0.8</v>
      </c>
      <c r="R473">
        <v>28.9</v>
      </c>
      <c r="S473">
        <v>0.5</v>
      </c>
      <c r="T473">
        <v>0.3</v>
      </c>
      <c r="U473">
        <v>0</v>
      </c>
      <c r="V473">
        <v>0.5</v>
      </c>
      <c r="W473">
        <v>0</v>
      </c>
      <c r="X473">
        <v>0.1</v>
      </c>
      <c r="Y473">
        <v>0</v>
      </c>
      <c r="Z473">
        <v>0</v>
      </c>
      <c r="AA473">
        <v>0</v>
      </c>
      <c r="AB473">
        <v>0.7</v>
      </c>
      <c r="AC473" t="s">
        <v>1125</v>
      </c>
      <c r="AD473">
        <v>50</v>
      </c>
      <c r="AE473" t="s">
        <v>1125</v>
      </c>
      <c r="AF473" s="4" t="s">
        <v>57</v>
      </c>
      <c r="AG473" s="4">
        <v>2563</v>
      </c>
      <c r="AH473" s="4" t="s">
        <v>58</v>
      </c>
      <c r="AI473" s="4">
        <v>2768</v>
      </c>
      <c r="AJ473" t="s">
        <v>1125</v>
      </c>
      <c r="AK473" t="s">
        <v>56</v>
      </c>
      <c r="AL473" t="s">
        <v>1146</v>
      </c>
      <c r="AM473">
        <v>9</v>
      </c>
      <c r="AN473">
        <v>0</v>
      </c>
      <c r="AO473">
        <v>10</v>
      </c>
      <c r="AP473">
        <v>0</v>
      </c>
      <c r="AQ473" s="5">
        <v>587</v>
      </c>
      <c r="AR473">
        <v>12</v>
      </c>
      <c r="AS473">
        <v>0</v>
      </c>
      <c r="AT473">
        <v>13</v>
      </c>
      <c r="AU473">
        <v>0</v>
      </c>
      <c r="AV473" s="5">
        <v>682</v>
      </c>
      <c r="AW473" t="s">
        <v>56</v>
      </c>
      <c r="AX473" s="6">
        <v>6217</v>
      </c>
      <c r="AY473" t="s">
        <v>1125</v>
      </c>
      <c r="AZ473" t="s">
        <v>56</v>
      </c>
    </row>
    <row r="474" spans="1:52" hidden="1" x14ac:dyDescent="0.45">
      <c r="A474">
        <v>496686.01512386999</v>
      </c>
      <c r="B474">
        <v>6923274.2356783198</v>
      </c>
      <c r="C474">
        <v>473</v>
      </c>
      <c r="D474" t="s">
        <v>1147</v>
      </c>
      <c r="E474" t="s">
        <v>1148</v>
      </c>
      <c r="F474" t="s">
        <v>1149</v>
      </c>
      <c r="G474" t="s">
        <v>1125</v>
      </c>
      <c r="H474" s="3">
        <v>6988</v>
      </c>
      <c r="I474">
        <v>2</v>
      </c>
      <c r="J474" t="s">
        <v>56</v>
      </c>
      <c r="K474">
        <v>64.099999999999994</v>
      </c>
      <c r="L474">
        <v>70.2</v>
      </c>
      <c r="M474">
        <v>1</v>
      </c>
      <c r="N474" t="s">
        <v>56</v>
      </c>
      <c r="O474" t="s">
        <v>1125</v>
      </c>
      <c r="P474">
        <v>79.400000000000006</v>
      </c>
      <c r="Q474">
        <v>1.1000000000000001</v>
      </c>
      <c r="R474">
        <v>17.8</v>
      </c>
      <c r="S474">
        <v>0.3</v>
      </c>
      <c r="T474">
        <v>0.3</v>
      </c>
      <c r="U474">
        <v>0</v>
      </c>
      <c r="V474">
        <v>0.6</v>
      </c>
      <c r="W474">
        <v>0.1</v>
      </c>
      <c r="X474">
        <v>0.1</v>
      </c>
      <c r="Y474">
        <v>0.1</v>
      </c>
      <c r="Z474">
        <v>0</v>
      </c>
      <c r="AA474">
        <v>0</v>
      </c>
      <c r="AB474">
        <v>0.2</v>
      </c>
      <c r="AC474" t="s">
        <v>1125</v>
      </c>
      <c r="AD474">
        <v>70</v>
      </c>
      <c r="AE474" t="s">
        <v>1125</v>
      </c>
      <c r="AF474" s="4" t="s">
        <v>57</v>
      </c>
      <c r="AG474" s="4">
        <v>3480</v>
      </c>
      <c r="AH474" s="4" t="s">
        <v>58</v>
      </c>
      <c r="AI474" s="4">
        <v>3508</v>
      </c>
      <c r="AJ474" t="s">
        <v>1125</v>
      </c>
      <c r="AK474" t="s">
        <v>56</v>
      </c>
      <c r="AL474" t="s">
        <v>1149</v>
      </c>
      <c r="AM474">
        <v>8</v>
      </c>
      <c r="AN474">
        <v>0</v>
      </c>
      <c r="AO474">
        <v>9</v>
      </c>
      <c r="AP474">
        <v>0</v>
      </c>
      <c r="AQ474" s="5">
        <v>913</v>
      </c>
      <c r="AR474">
        <v>15</v>
      </c>
      <c r="AS474">
        <v>0</v>
      </c>
      <c r="AT474">
        <v>16</v>
      </c>
      <c r="AU474">
        <v>0</v>
      </c>
      <c r="AV474" s="5">
        <v>934</v>
      </c>
      <c r="AW474" t="s">
        <v>56</v>
      </c>
      <c r="AX474" s="6">
        <v>7976</v>
      </c>
      <c r="AY474" t="s">
        <v>1125</v>
      </c>
      <c r="AZ474" t="s">
        <v>56</v>
      </c>
    </row>
    <row r="475" spans="1:52" hidden="1" x14ac:dyDescent="0.45">
      <c r="A475">
        <v>512149.18861777999</v>
      </c>
      <c r="B475">
        <v>6937900.0422653696</v>
      </c>
      <c r="C475">
        <v>474</v>
      </c>
      <c r="D475" t="s">
        <v>1150</v>
      </c>
      <c r="E475" t="s">
        <v>1151</v>
      </c>
      <c r="F475" t="s">
        <v>1152</v>
      </c>
      <c r="G475" t="s">
        <v>1153</v>
      </c>
      <c r="H475" s="3">
        <v>1717</v>
      </c>
      <c r="I475">
        <v>2</v>
      </c>
      <c r="J475" t="s">
        <v>56</v>
      </c>
      <c r="K475">
        <v>47.5</v>
      </c>
      <c r="L475">
        <v>54.7</v>
      </c>
      <c r="M475">
        <v>1</v>
      </c>
      <c r="N475" t="s">
        <v>56</v>
      </c>
      <c r="O475" t="s">
        <v>1153</v>
      </c>
      <c r="P475">
        <v>84.2</v>
      </c>
      <c r="Q475">
        <v>0.9</v>
      </c>
      <c r="R475">
        <v>13.9</v>
      </c>
      <c r="S475">
        <v>0.3</v>
      </c>
      <c r="T475">
        <v>0</v>
      </c>
      <c r="U475">
        <v>0</v>
      </c>
      <c r="V475">
        <v>0.3</v>
      </c>
      <c r="W475">
        <v>0</v>
      </c>
      <c r="X475">
        <v>0</v>
      </c>
      <c r="Y475">
        <v>0.1</v>
      </c>
      <c r="Z475">
        <v>0</v>
      </c>
      <c r="AA475">
        <v>0</v>
      </c>
      <c r="AB475">
        <v>0.3</v>
      </c>
      <c r="AC475" t="s">
        <v>1153</v>
      </c>
      <c r="AD475">
        <v>50</v>
      </c>
      <c r="AE475" t="s">
        <v>1153</v>
      </c>
      <c r="AF475" s="4" t="s">
        <v>57</v>
      </c>
      <c r="AG475" s="4">
        <v>898</v>
      </c>
      <c r="AH475" s="4" t="s">
        <v>58</v>
      </c>
      <c r="AI475" s="4">
        <v>819</v>
      </c>
      <c r="AJ475" t="s">
        <v>1153</v>
      </c>
      <c r="AK475" t="s">
        <v>56</v>
      </c>
      <c r="AL475" t="s">
        <v>1152</v>
      </c>
      <c r="AM475">
        <v>8</v>
      </c>
      <c r="AN475">
        <v>0</v>
      </c>
      <c r="AO475">
        <v>9</v>
      </c>
      <c r="AP475">
        <v>0</v>
      </c>
      <c r="AQ475" s="5">
        <v>136</v>
      </c>
      <c r="AR475">
        <v>16</v>
      </c>
      <c r="AS475">
        <v>0</v>
      </c>
      <c r="AT475">
        <v>17</v>
      </c>
      <c r="AU475">
        <v>0</v>
      </c>
      <c r="AV475" s="5">
        <v>157</v>
      </c>
      <c r="AW475" t="s">
        <v>56</v>
      </c>
      <c r="AX475" s="6">
        <v>1763</v>
      </c>
      <c r="AY475" t="s">
        <v>1153</v>
      </c>
      <c r="AZ475" t="s">
        <v>56</v>
      </c>
    </row>
    <row r="476" spans="1:52" hidden="1" x14ac:dyDescent="0.45">
      <c r="A476">
        <v>511629.92638527398</v>
      </c>
      <c r="B476">
        <v>6937706.7019331697</v>
      </c>
      <c r="C476">
        <v>475</v>
      </c>
      <c r="D476" t="s">
        <v>1154</v>
      </c>
      <c r="E476" t="s">
        <v>552</v>
      </c>
      <c r="F476" t="s">
        <v>1155</v>
      </c>
      <c r="G476" t="s">
        <v>1156</v>
      </c>
      <c r="H476" s="3">
        <v>500</v>
      </c>
      <c r="I476">
        <v>2</v>
      </c>
      <c r="J476" t="s">
        <v>56</v>
      </c>
      <c r="K476">
        <v>44.9</v>
      </c>
      <c r="L476">
        <v>55.8</v>
      </c>
      <c r="M476">
        <v>1</v>
      </c>
      <c r="N476" t="s">
        <v>56</v>
      </c>
      <c r="O476" t="s">
        <v>1156</v>
      </c>
      <c r="P476">
        <v>85.6</v>
      </c>
      <c r="Q476">
        <v>0.6</v>
      </c>
      <c r="R476">
        <v>12.3</v>
      </c>
      <c r="S476">
        <v>0.4</v>
      </c>
      <c r="T476">
        <v>0.2</v>
      </c>
      <c r="U476">
        <v>0</v>
      </c>
      <c r="V476">
        <v>0.2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0.7</v>
      </c>
      <c r="AC476" t="s">
        <v>1156</v>
      </c>
      <c r="AD476">
        <v>50</v>
      </c>
      <c r="AE476" t="s">
        <v>1156</v>
      </c>
      <c r="AF476" s="4" t="s">
        <v>57</v>
      </c>
      <c r="AG476" s="4">
        <v>251</v>
      </c>
      <c r="AH476" s="4" t="s">
        <v>58</v>
      </c>
      <c r="AI476" s="4">
        <v>249</v>
      </c>
      <c r="AJ476" t="s">
        <v>1156</v>
      </c>
      <c r="AK476" t="s">
        <v>56</v>
      </c>
      <c r="AL476" t="s">
        <v>1155</v>
      </c>
      <c r="AM476">
        <v>8</v>
      </c>
      <c r="AN476">
        <v>0</v>
      </c>
      <c r="AO476">
        <v>9</v>
      </c>
      <c r="AP476">
        <v>0</v>
      </c>
      <c r="AQ476" s="5">
        <v>34</v>
      </c>
      <c r="AR476">
        <v>16</v>
      </c>
      <c r="AS476">
        <v>0</v>
      </c>
      <c r="AT476">
        <v>17</v>
      </c>
      <c r="AU476">
        <v>0</v>
      </c>
      <c r="AV476" s="5">
        <v>54</v>
      </c>
      <c r="AW476" t="s">
        <v>56</v>
      </c>
      <c r="AX476" s="6">
        <v>524</v>
      </c>
      <c r="AY476" t="s">
        <v>1156</v>
      </c>
      <c r="AZ476" t="s">
        <v>56</v>
      </c>
    </row>
    <row r="477" spans="1:52" hidden="1" x14ac:dyDescent="0.45">
      <c r="A477">
        <v>510330.50972161698</v>
      </c>
      <c r="B477">
        <v>6938206.8950510602</v>
      </c>
      <c r="C477">
        <v>476</v>
      </c>
      <c r="D477" t="s">
        <v>1157</v>
      </c>
      <c r="E477" t="s">
        <v>468</v>
      </c>
      <c r="F477" t="s">
        <v>1158</v>
      </c>
      <c r="G477" t="s">
        <v>1156</v>
      </c>
      <c r="H477" s="3">
        <v>339</v>
      </c>
      <c r="I477">
        <v>2</v>
      </c>
      <c r="J477" t="s">
        <v>56</v>
      </c>
      <c r="K477">
        <v>45.4</v>
      </c>
      <c r="L477">
        <v>56.5</v>
      </c>
      <c r="M477">
        <v>1</v>
      </c>
      <c r="N477" t="s">
        <v>56</v>
      </c>
      <c r="O477" t="s">
        <v>1156</v>
      </c>
      <c r="P477">
        <v>84.3</v>
      </c>
      <c r="Q477">
        <v>0.6</v>
      </c>
      <c r="R477">
        <v>14.6</v>
      </c>
      <c r="S477">
        <v>0.4</v>
      </c>
      <c r="T477">
        <v>0</v>
      </c>
      <c r="U477">
        <v>0</v>
      </c>
      <c r="V477">
        <v>0.1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 t="s">
        <v>1156</v>
      </c>
      <c r="AD477">
        <v>50</v>
      </c>
      <c r="AE477" t="s">
        <v>1156</v>
      </c>
      <c r="AF477" s="4" t="s">
        <v>57</v>
      </c>
      <c r="AG477" s="4">
        <v>158</v>
      </c>
      <c r="AH477" s="4" t="s">
        <v>58</v>
      </c>
      <c r="AI477" s="4">
        <v>181</v>
      </c>
      <c r="AJ477" t="s">
        <v>1156</v>
      </c>
      <c r="AK477" t="s">
        <v>56</v>
      </c>
      <c r="AL477" t="s">
        <v>1158</v>
      </c>
      <c r="AM477">
        <v>8</v>
      </c>
      <c r="AN477">
        <v>0</v>
      </c>
      <c r="AO477">
        <v>9</v>
      </c>
      <c r="AP477">
        <v>0</v>
      </c>
      <c r="AQ477" s="5">
        <v>29</v>
      </c>
      <c r="AR477">
        <v>15</v>
      </c>
      <c r="AS477">
        <v>0</v>
      </c>
      <c r="AT477">
        <v>16</v>
      </c>
      <c r="AU477">
        <v>0</v>
      </c>
      <c r="AV477" s="5">
        <v>40</v>
      </c>
      <c r="AW477" t="s">
        <v>56</v>
      </c>
      <c r="AX477" s="6">
        <v>354</v>
      </c>
      <c r="AY477" t="s">
        <v>1156</v>
      </c>
      <c r="AZ477" t="s">
        <v>56</v>
      </c>
    </row>
    <row r="478" spans="1:52" hidden="1" x14ac:dyDescent="0.45">
      <c r="A478">
        <v>510525.75994347403</v>
      </c>
      <c r="B478">
        <v>6943454.5578604098</v>
      </c>
      <c r="C478">
        <v>477</v>
      </c>
      <c r="D478" t="s">
        <v>1159</v>
      </c>
      <c r="E478" t="s">
        <v>1160</v>
      </c>
      <c r="F478" t="s">
        <v>1161</v>
      </c>
      <c r="G478" t="s">
        <v>1153</v>
      </c>
      <c r="H478" s="3">
        <v>576</v>
      </c>
      <c r="I478">
        <v>2</v>
      </c>
      <c r="J478" t="s">
        <v>56</v>
      </c>
      <c r="K478">
        <v>43</v>
      </c>
      <c r="L478">
        <v>52.6</v>
      </c>
      <c r="M478">
        <v>1</v>
      </c>
      <c r="N478" t="s">
        <v>56</v>
      </c>
      <c r="O478" t="s">
        <v>1153</v>
      </c>
      <c r="P478">
        <v>84.3</v>
      </c>
      <c r="Q478">
        <v>0.6</v>
      </c>
      <c r="R478">
        <v>14.7</v>
      </c>
      <c r="S478">
        <v>0.2</v>
      </c>
      <c r="T478">
        <v>0.1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0.1</v>
      </c>
      <c r="AC478" t="s">
        <v>1153</v>
      </c>
      <c r="AD478">
        <v>50</v>
      </c>
      <c r="AE478" t="s">
        <v>1153</v>
      </c>
      <c r="AF478" s="4" t="s">
        <v>57</v>
      </c>
      <c r="AG478" s="4">
        <v>275</v>
      </c>
      <c r="AH478" s="4" t="s">
        <v>58</v>
      </c>
      <c r="AI478" s="4">
        <v>301</v>
      </c>
      <c r="AJ478" t="s">
        <v>1153</v>
      </c>
      <c r="AK478" t="s">
        <v>56</v>
      </c>
      <c r="AL478" t="s">
        <v>1161</v>
      </c>
      <c r="AM478">
        <v>8</v>
      </c>
      <c r="AN478">
        <v>0</v>
      </c>
      <c r="AO478">
        <v>9</v>
      </c>
      <c r="AP478">
        <v>0</v>
      </c>
      <c r="AQ478" s="5">
        <v>43</v>
      </c>
      <c r="AR478">
        <v>15</v>
      </c>
      <c r="AS478">
        <v>0</v>
      </c>
      <c r="AT478">
        <v>16</v>
      </c>
      <c r="AU478">
        <v>0</v>
      </c>
      <c r="AV478" s="5">
        <v>58</v>
      </c>
      <c r="AW478" t="s">
        <v>56</v>
      </c>
      <c r="AX478" s="6">
        <v>585</v>
      </c>
      <c r="AY478" t="s">
        <v>1153</v>
      </c>
      <c r="AZ478" t="s">
        <v>56</v>
      </c>
    </row>
    <row r="479" spans="1:52" hidden="1" x14ac:dyDescent="0.45">
      <c r="A479">
        <v>500830.02313991002</v>
      </c>
      <c r="B479">
        <v>6939845.88492308</v>
      </c>
      <c r="C479">
        <v>478</v>
      </c>
      <c r="D479" t="s">
        <v>1162</v>
      </c>
      <c r="E479" t="s">
        <v>1163</v>
      </c>
      <c r="F479" t="s">
        <v>1164</v>
      </c>
      <c r="G479" t="s">
        <v>1165</v>
      </c>
      <c r="H479" s="3">
        <v>2171</v>
      </c>
      <c r="I479">
        <v>2</v>
      </c>
      <c r="J479" t="s">
        <v>56</v>
      </c>
      <c r="K479">
        <v>58.5</v>
      </c>
      <c r="L479">
        <v>64.8</v>
      </c>
      <c r="M479">
        <v>1</v>
      </c>
      <c r="N479" t="s">
        <v>56</v>
      </c>
      <c r="O479" t="s">
        <v>1165</v>
      </c>
      <c r="P479">
        <v>76.8</v>
      </c>
      <c r="Q479">
        <v>1.8</v>
      </c>
      <c r="R479">
        <v>18.8</v>
      </c>
      <c r="S479">
        <v>1.1000000000000001</v>
      </c>
      <c r="T479">
        <v>0.2</v>
      </c>
      <c r="U479">
        <v>0</v>
      </c>
      <c r="V479">
        <v>0.7</v>
      </c>
      <c r="W479">
        <v>0.1</v>
      </c>
      <c r="X479">
        <v>0</v>
      </c>
      <c r="Y479">
        <v>0</v>
      </c>
      <c r="Z479">
        <v>0</v>
      </c>
      <c r="AA479">
        <v>0</v>
      </c>
      <c r="AB479">
        <v>0.5</v>
      </c>
      <c r="AC479" t="s">
        <v>1165</v>
      </c>
      <c r="AD479">
        <v>60</v>
      </c>
      <c r="AE479" t="s">
        <v>1165</v>
      </c>
      <c r="AF479" s="4" t="s">
        <v>80</v>
      </c>
      <c r="AG479" s="4">
        <v>1092</v>
      </c>
      <c r="AH479" s="4" t="s">
        <v>81</v>
      </c>
      <c r="AI479" s="4">
        <v>1079</v>
      </c>
      <c r="AJ479" t="s">
        <v>1165</v>
      </c>
      <c r="AK479" t="s">
        <v>56</v>
      </c>
      <c r="AL479" t="s">
        <v>1164</v>
      </c>
      <c r="AM479">
        <v>7</v>
      </c>
      <c r="AN479">
        <v>0</v>
      </c>
      <c r="AO479">
        <v>8</v>
      </c>
      <c r="AP479">
        <v>0</v>
      </c>
      <c r="AQ479" s="5">
        <v>162</v>
      </c>
      <c r="AR479">
        <v>16</v>
      </c>
      <c r="AS479">
        <v>0</v>
      </c>
      <c r="AT479">
        <v>17</v>
      </c>
      <c r="AU479">
        <v>0</v>
      </c>
      <c r="AV479" s="5">
        <v>206</v>
      </c>
      <c r="AW479" t="s">
        <v>56</v>
      </c>
      <c r="AX479" s="6">
        <v>2176</v>
      </c>
      <c r="AY479" t="s">
        <v>1165</v>
      </c>
      <c r="AZ479" t="s">
        <v>56</v>
      </c>
    </row>
    <row r="480" spans="1:52" hidden="1" x14ac:dyDescent="0.45">
      <c r="A480">
        <v>500722.16326032701</v>
      </c>
      <c r="B480">
        <v>6940439.8389940904</v>
      </c>
      <c r="C480">
        <v>479</v>
      </c>
      <c r="D480" t="s">
        <v>1162</v>
      </c>
      <c r="E480" t="s">
        <v>1163</v>
      </c>
      <c r="F480" t="s">
        <v>1166</v>
      </c>
      <c r="G480" t="s">
        <v>1165</v>
      </c>
      <c r="H480" s="3">
        <v>3972</v>
      </c>
      <c r="I480">
        <v>2</v>
      </c>
      <c r="J480" t="s">
        <v>56</v>
      </c>
      <c r="K480">
        <v>60.6</v>
      </c>
      <c r="L480">
        <v>67.3</v>
      </c>
      <c r="M480">
        <v>1</v>
      </c>
      <c r="N480" t="s">
        <v>56</v>
      </c>
      <c r="O480" t="s">
        <v>1165</v>
      </c>
      <c r="P480">
        <v>75.400000000000006</v>
      </c>
      <c r="Q480">
        <v>1.6</v>
      </c>
      <c r="R480">
        <v>21.4</v>
      </c>
      <c r="S480">
        <v>0.4</v>
      </c>
      <c r="T480">
        <v>0.1</v>
      </c>
      <c r="U480">
        <v>0</v>
      </c>
      <c r="V480">
        <v>0.7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0.4</v>
      </c>
      <c r="AC480" t="s">
        <v>1165</v>
      </c>
      <c r="AD480">
        <v>60</v>
      </c>
      <c r="AE480" t="s">
        <v>1165</v>
      </c>
      <c r="AF480" s="4" t="s">
        <v>80</v>
      </c>
      <c r="AG480" s="4">
        <v>1978</v>
      </c>
      <c r="AH480" s="4" t="s">
        <v>81</v>
      </c>
      <c r="AI480" s="4">
        <v>1994</v>
      </c>
      <c r="AJ480" t="s">
        <v>1165</v>
      </c>
      <c r="AK480" t="s">
        <v>56</v>
      </c>
      <c r="AL480" t="s">
        <v>1166</v>
      </c>
      <c r="AM480">
        <v>8</v>
      </c>
      <c r="AN480">
        <v>0</v>
      </c>
      <c r="AO480">
        <v>9</v>
      </c>
      <c r="AP480">
        <v>0</v>
      </c>
      <c r="AQ480" s="5">
        <v>316</v>
      </c>
      <c r="AR480">
        <v>16</v>
      </c>
      <c r="AS480">
        <v>0</v>
      </c>
      <c r="AT480">
        <v>17</v>
      </c>
      <c r="AU480">
        <v>0</v>
      </c>
      <c r="AV480" s="5">
        <v>349</v>
      </c>
      <c r="AW480" t="s">
        <v>56</v>
      </c>
      <c r="AX480" s="6">
        <v>4006</v>
      </c>
      <c r="AY480" t="s">
        <v>1165</v>
      </c>
      <c r="AZ480" t="s">
        <v>56</v>
      </c>
    </row>
    <row r="481" spans="1:52" hidden="1" x14ac:dyDescent="0.45">
      <c r="A481">
        <v>501339.32422124001</v>
      </c>
      <c r="B481">
        <v>6938991.2503840299</v>
      </c>
      <c r="C481">
        <v>480</v>
      </c>
      <c r="D481" t="s">
        <v>1167</v>
      </c>
      <c r="E481" t="s">
        <v>127</v>
      </c>
      <c r="F481" t="s">
        <v>1168</v>
      </c>
      <c r="G481" t="s">
        <v>1169</v>
      </c>
      <c r="H481" s="3">
        <v>699</v>
      </c>
      <c r="I481">
        <v>2</v>
      </c>
      <c r="J481" t="s">
        <v>56</v>
      </c>
      <c r="K481">
        <v>56.8</v>
      </c>
      <c r="L481">
        <v>67</v>
      </c>
      <c r="M481">
        <v>1</v>
      </c>
      <c r="N481" t="s">
        <v>56</v>
      </c>
      <c r="O481" t="s">
        <v>1169</v>
      </c>
      <c r="P481">
        <v>73.099999999999994</v>
      </c>
      <c r="Q481">
        <v>2.4</v>
      </c>
      <c r="R481">
        <v>22.6</v>
      </c>
      <c r="S481">
        <v>0.2</v>
      </c>
      <c r="T481">
        <v>0</v>
      </c>
      <c r="U481">
        <v>0</v>
      </c>
      <c r="V481">
        <v>1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0.7</v>
      </c>
      <c r="AC481" t="s">
        <v>1169</v>
      </c>
      <c r="AD481">
        <v>50</v>
      </c>
      <c r="AE481" t="s">
        <v>1169</v>
      </c>
      <c r="AF481" s="4" t="s">
        <v>80</v>
      </c>
      <c r="AG481" s="4">
        <v>346</v>
      </c>
      <c r="AH481" s="4" t="s">
        <v>81</v>
      </c>
      <c r="AI481" s="4">
        <v>353</v>
      </c>
      <c r="AJ481" t="s">
        <v>1169</v>
      </c>
      <c r="AK481" t="s">
        <v>56</v>
      </c>
      <c r="AL481" t="s">
        <v>1168</v>
      </c>
      <c r="AM481">
        <v>8</v>
      </c>
      <c r="AN481">
        <v>0</v>
      </c>
      <c r="AO481">
        <v>9</v>
      </c>
      <c r="AP481">
        <v>0</v>
      </c>
      <c r="AQ481" s="5">
        <v>57</v>
      </c>
      <c r="AR481">
        <v>16</v>
      </c>
      <c r="AS481">
        <v>0</v>
      </c>
      <c r="AT481">
        <v>17</v>
      </c>
      <c r="AU481">
        <v>0</v>
      </c>
      <c r="AV481" s="5">
        <v>66</v>
      </c>
      <c r="AW481" t="s">
        <v>56</v>
      </c>
      <c r="AX481" s="6">
        <v>747</v>
      </c>
      <c r="AY481" t="s">
        <v>1169</v>
      </c>
      <c r="AZ481" t="s">
        <v>56</v>
      </c>
    </row>
    <row r="482" spans="1:52" hidden="1" x14ac:dyDescent="0.45">
      <c r="A482">
        <v>510792.31731105899</v>
      </c>
      <c r="B482">
        <v>6938774.6341466997</v>
      </c>
      <c r="C482">
        <v>481</v>
      </c>
      <c r="D482" t="s">
        <v>847</v>
      </c>
      <c r="E482" t="s">
        <v>452</v>
      </c>
      <c r="F482" t="s">
        <v>1170</v>
      </c>
      <c r="G482" t="s">
        <v>1171</v>
      </c>
      <c r="H482" s="3">
        <v>3249</v>
      </c>
      <c r="I482">
        <v>2</v>
      </c>
      <c r="J482" t="s">
        <v>56</v>
      </c>
      <c r="K482">
        <v>52.2</v>
      </c>
      <c r="L482">
        <v>60.8</v>
      </c>
      <c r="M482">
        <v>1</v>
      </c>
      <c r="N482" t="s">
        <v>56</v>
      </c>
      <c r="O482" t="s">
        <v>1171</v>
      </c>
      <c r="P482">
        <v>84.3</v>
      </c>
      <c r="Q482">
        <v>0.6</v>
      </c>
      <c r="R482">
        <v>14.7</v>
      </c>
      <c r="S482">
        <v>0.1</v>
      </c>
      <c r="T482">
        <v>0</v>
      </c>
      <c r="U482">
        <v>0</v>
      </c>
      <c r="V482">
        <v>0.2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0.1</v>
      </c>
      <c r="AC482" t="s">
        <v>1171</v>
      </c>
      <c r="AD482">
        <v>50</v>
      </c>
      <c r="AE482" t="s">
        <v>1171</v>
      </c>
      <c r="AF482" s="4" t="s">
        <v>80</v>
      </c>
      <c r="AG482" s="4">
        <v>1678</v>
      </c>
      <c r="AH482" s="4" t="s">
        <v>81</v>
      </c>
      <c r="AI482" s="4">
        <v>1571</v>
      </c>
      <c r="AJ482" t="s">
        <v>1171</v>
      </c>
      <c r="AK482" t="s">
        <v>56</v>
      </c>
      <c r="AL482" t="s">
        <v>1170</v>
      </c>
      <c r="AM482">
        <v>9</v>
      </c>
      <c r="AN482">
        <v>0</v>
      </c>
      <c r="AO482">
        <v>10</v>
      </c>
      <c r="AP482">
        <v>0</v>
      </c>
      <c r="AQ482" s="5">
        <v>216</v>
      </c>
      <c r="AR482">
        <v>15</v>
      </c>
      <c r="AS482">
        <v>0</v>
      </c>
      <c r="AT482">
        <v>16</v>
      </c>
      <c r="AU482">
        <v>0</v>
      </c>
      <c r="AV482" s="5">
        <v>314</v>
      </c>
      <c r="AW482" t="s">
        <v>56</v>
      </c>
      <c r="AX482" s="6">
        <v>3337</v>
      </c>
      <c r="AY482" t="s">
        <v>1171</v>
      </c>
      <c r="AZ482" t="s">
        <v>56</v>
      </c>
    </row>
    <row r="483" spans="1:52" hidden="1" x14ac:dyDescent="0.45">
      <c r="A483">
        <v>506022.845093888</v>
      </c>
      <c r="B483">
        <v>6940539.8355198698</v>
      </c>
      <c r="C483">
        <v>482</v>
      </c>
      <c r="D483" t="s">
        <v>1172</v>
      </c>
      <c r="E483" t="s">
        <v>665</v>
      </c>
      <c r="F483" t="s">
        <v>1173</v>
      </c>
      <c r="G483" t="s">
        <v>1169</v>
      </c>
      <c r="H483" s="3">
        <v>849</v>
      </c>
      <c r="I483">
        <v>2</v>
      </c>
      <c r="J483" t="s">
        <v>56</v>
      </c>
      <c r="K483">
        <v>48.8</v>
      </c>
      <c r="L483">
        <v>55.8</v>
      </c>
      <c r="M483">
        <v>1</v>
      </c>
      <c r="N483" t="s">
        <v>56</v>
      </c>
      <c r="O483" t="s">
        <v>1169</v>
      </c>
      <c r="P483">
        <v>81.8</v>
      </c>
      <c r="Q483">
        <v>1.5</v>
      </c>
      <c r="R483">
        <v>15.9</v>
      </c>
      <c r="S483">
        <v>0.1</v>
      </c>
      <c r="T483">
        <v>0</v>
      </c>
      <c r="U483">
        <v>0</v>
      </c>
      <c r="V483">
        <v>0.5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0.2</v>
      </c>
      <c r="AC483" t="s">
        <v>1169</v>
      </c>
      <c r="AD483">
        <v>50</v>
      </c>
      <c r="AE483" t="s">
        <v>1169</v>
      </c>
      <c r="AF483" s="4" t="s">
        <v>57</v>
      </c>
      <c r="AG483" s="4">
        <v>423</v>
      </c>
      <c r="AH483" s="4" t="s">
        <v>58</v>
      </c>
      <c r="AI483" s="4">
        <v>426</v>
      </c>
      <c r="AJ483" t="s">
        <v>1169</v>
      </c>
      <c r="AK483" t="s">
        <v>56</v>
      </c>
      <c r="AL483" t="s">
        <v>1173</v>
      </c>
      <c r="AM483">
        <v>8</v>
      </c>
      <c r="AN483">
        <v>0</v>
      </c>
      <c r="AO483">
        <v>9</v>
      </c>
      <c r="AP483">
        <v>0</v>
      </c>
      <c r="AQ483" s="5">
        <v>75</v>
      </c>
      <c r="AR483">
        <v>17</v>
      </c>
      <c r="AS483">
        <v>0</v>
      </c>
      <c r="AT483">
        <v>18</v>
      </c>
      <c r="AU483">
        <v>0</v>
      </c>
      <c r="AV483" s="5">
        <v>85</v>
      </c>
      <c r="AW483" t="s">
        <v>56</v>
      </c>
      <c r="AX483" s="6">
        <v>927</v>
      </c>
      <c r="AY483" t="s">
        <v>1169</v>
      </c>
      <c r="AZ483" t="s">
        <v>56</v>
      </c>
    </row>
    <row r="484" spans="1:52" hidden="1" x14ac:dyDescent="0.45">
      <c r="A484">
        <v>500656.33323076798</v>
      </c>
      <c r="B484">
        <v>6939617.8205717597</v>
      </c>
      <c r="C484">
        <v>483</v>
      </c>
      <c r="D484" t="s">
        <v>1174</v>
      </c>
      <c r="E484" t="s">
        <v>1175</v>
      </c>
      <c r="F484" t="s">
        <v>1176</v>
      </c>
      <c r="G484" t="s">
        <v>1169</v>
      </c>
      <c r="H484" s="3">
        <v>496</v>
      </c>
      <c r="I484">
        <v>2</v>
      </c>
      <c r="J484" t="s">
        <v>56</v>
      </c>
      <c r="K484">
        <v>57.7</v>
      </c>
      <c r="L484">
        <v>67.3</v>
      </c>
      <c r="M484">
        <v>1</v>
      </c>
      <c r="N484" t="s">
        <v>56</v>
      </c>
      <c r="O484" t="s">
        <v>1169</v>
      </c>
      <c r="P484">
        <v>69.400000000000006</v>
      </c>
      <c r="Q484">
        <v>1.8</v>
      </c>
      <c r="R484">
        <v>27.2</v>
      </c>
      <c r="S484">
        <v>0.2</v>
      </c>
      <c r="T484">
        <v>0</v>
      </c>
      <c r="U484">
        <v>0</v>
      </c>
      <c r="V484">
        <v>0.8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0.6</v>
      </c>
      <c r="AC484" t="s">
        <v>1169</v>
      </c>
      <c r="AD484">
        <v>60</v>
      </c>
      <c r="AE484" t="s">
        <v>1169</v>
      </c>
      <c r="AF484" s="4" t="s">
        <v>57</v>
      </c>
      <c r="AG484" s="4">
        <v>240</v>
      </c>
      <c r="AH484" s="4" t="s">
        <v>58</v>
      </c>
      <c r="AI484" s="4">
        <v>256</v>
      </c>
      <c r="AJ484" t="s">
        <v>1169</v>
      </c>
      <c r="AK484" t="s">
        <v>56</v>
      </c>
      <c r="AL484" t="s">
        <v>1176</v>
      </c>
      <c r="AM484">
        <v>7</v>
      </c>
      <c r="AN484">
        <v>0</v>
      </c>
      <c r="AO484">
        <v>8</v>
      </c>
      <c r="AP484">
        <v>0</v>
      </c>
      <c r="AQ484" s="5">
        <v>54</v>
      </c>
      <c r="AR484">
        <v>17</v>
      </c>
      <c r="AS484">
        <v>0</v>
      </c>
      <c r="AT484">
        <v>18</v>
      </c>
      <c r="AU484">
        <v>0</v>
      </c>
      <c r="AV484" s="5">
        <v>50</v>
      </c>
      <c r="AW484" t="s">
        <v>56</v>
      </c>
      <c r="AX484" s="6">
        <v>511</v>
      </c>
      <c r="AY484" t="s">
        <v>1169</v>
      </c>
      <c r="AZ484" t="s">
        <v>56</v>
      </c>
    </row>
    <row r="485" spans="1:52" hidden="1" x14ac:dyDescent="0.45">
      <c r="A485">
        <v>508927.45482189802</v>
      </c>
      <c r="B485">
        <v>6936308.9603993502</v>
      </c>
      <c r="C485">
        <v>484</v>
      </c>
      <c r="D485" t="s">
        <v>1177</v>
      </c>
      <c r="E485" t="s">
        <v>1003</v>
      </c>
      <c r="F485" t="s">
        <v>1178</v>
      </c>
      <c r="G485" t="s">
        <v>1169</v>
      </c>
      <c r="H485" s="3">
        <v>1959</v>
      </c>
      <c r="I485">
        <v>2</v>
      </c>
      <c r="J485" t="s">
        <v>56</v>
      </c>
      <c r="K485">
        <v>47.8</v>
      </c>
      <c r="L485">
        <v>56.2</v>
      </c>
      <c r="M485">
        <v>1</v>
      </c>
      <c r="N485" t="s">
        <v>56</v>
      </c>
      <c r="O485" t="s">
        <v>1169</v>
      </c>
      <c r="P485">
        <v>86.6</v>
      </c>
      <c r="Q485">
        <v>0.7</v>
      </c>
      <c r="R485">
        <v>12.1</v>
      </c>
      <c r="S485">
        <v>0.3</v>
      </c>
      <c r="T485">
        <v>0</v>
      </c>
      <c r="U485">
        <v>0</v>
      </c>
      <c r="V485">
        <v>0.2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0.1</v>
      </c>
      <c r="AC485" t="s">
        <v>1169</v>
      </c>
      <c r="AD485">
        <v>50</v>
      </c>
      <c r="AE485" t="s">
        <v>1169</v>
      </c>
      <c r="AF485" s="4" t="s">
        <v>80</v>
      </c>
      <c r="AG485" s="4">
        <v>997</v>
      </c>
      <c r="AH485" s="4" t="s">
        <v>81</v>
      </c>
      <c r="AI485" s="4">
        <v>962</v>
      </c>
      <c r="AJ485" t="s">
        <v>1169</v>
      </c>
      <c r="AK485" t="s">
        <v>56</v>
      </c>
      <c r="AL485" t="s">
        <v>1178</v>
      </c>
      <c r="AM485">
        <v>8</v>
      </c>
      <c r="AN485">
        <v>0</v>
      </c>
      <c r="AO485">
        <v>9</v>
      </c>
      <c r="AP485">
        <v>0</v>
      </c>
      <c r="AQ485" s="5">
        <v>170</v>
      </c>
      <c r="AR485">
        <v>15</v>
      </c>
      <c r="AS485">
        <v>0</v>
      </c>
      <c r="AT485">
        <v>16</v>
      </c>
      <c r="AU485">
        <v>0</v>
      </c>
      <c r="AV485" s="5">
        <v>175</v>
      </c>
      <c r="AW485" t="s">
        <v>56</v>
      </c>
      <c r="AX485" s="6">
        <v>2076</v>
      </c>
      <c r="AY485" t="s">
        <v>1169</v>
      </c>
      <c r="AZ485" t="s">
        <v>56</v>
      </c>
    </row>
    <row r="486" spans="1:52" hidden="1" x14ac:dyDescent="0.45">
      <c r="A486">
        <v>510925.69547002198</v>
      </c>
      <c r="B486">
        <v>6947301.4404297797</v>
      </c>
      <c r="C486">
        <v>485</v>
      </c>
      <c r="D486" t="s">
        <v>1179</v>
      </c>
      <c r="E486" t="s">
        <v>526</v>
      </c>
      <c r="F486" t="s">
        <v>1180</v>
      </c>
      <c r="G486" t="s">
        <v>1181</v>
      </c>
      <c r="H486" s="3">
        <v>1350</v>
      </c>
      <c r="I486">
        <v>2</v>
      </c>
      <c r="J486" t="s">
        <v>56</v>
      </c>
      <c r="K486">
        <v>33.200000000000003</v>
      </c>
      <c r="L486">
        <v>39.200000000000003</v>
      </c>
      <c r="M486">
        <v>1</v>
      </c>
      <c r="N486" t="s">
        <v>56</v>
      </c>
      <c r="O486" t="s">
        <v>1181</v>
      </c>
      <c r="P486">
        <v>84.4</v>
      </c>
      <c r="Q486">
        <v>0.7</v>
      </c>
      <c r="R486">
        <v>14.4</v>
      </c>
      <c r="S486">
        <v>0.1</v>
      </c>
      <c r="T486">
        <v>0</v>
      </c>
      <c r="U486">
        <v>0</v>
      </c>
      <c r="V486">
        <v>0.2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0.2</v>
      </c>
      <c r="AC486" t="s">
        <v>1181</v>
      </c>
      <c r="AD486">
        <v>50</v>
      </c>
      <c r="AE486" t="s">
        <v>1181</v>
      </c>
      <c r="AF486" s="4" t="s">
        <v>80</v>
      </c>
      <c r="AG486" s="4">
        <v>762</v>
      </c>
      <c r="AH486" s="4" t="s">
        <v>81</v>
      </c>
      <c r="AI486" s="4">
        <v>588</v>
      </c>
      <c r="AJ486" t="s">
        <v>1181</v>
      </c>
      <c r="AK486" t="s">
        <v>56</v>
      </c>
      <c r="AL486" t="s">
        <v>1180</v>
      </c>
      <c r="AM486">
        <v>8</v>
      </c>
      <c r="AN486">
        <v>0</v>
      </c>
      <c r="AO486">
        <v>9</v>
      </c>
      <c r="AP486">
        <v>0</v>
      </c>
      <c r="AQ486" s="5">
        <v>138</v>
      </c>
      <c r="AR486">
        <v>17</v>
      </c>
      <c r="AS486">
        <v>0</v>
      </c>
      <c r="AT486">
        <v>18</v>
      </c>
      <c r="AU486">
        <v>0</v>
      </c>
      <c r="AV486" s="5">
        <v>140</v>
      </c>
      <c r="AW486" t="s">
        <v>56</v>
      </c>
      <c r="AX486" s="6">
        <v>1448</v>
      </c>
      <c r="AY486" t="s">
        <v>1181</v>
      </c>
      <c r="AZ486" t="s">
        <v>56</v>
      </c>
    </row>
    <row r="487" spans="1:52" hidden="1" x14ac:dyDescent="0.45">
      <c r="A487">
        <v>508981.581278681</v>
      </c>
      <c r="B487">
        <v>6936438.7434235904</v>
      </c>
      <c r="C487">
        <v>486</v>
      </c>
      <c r="D487" t="s">
        <v>1182</v>
      </c>
      <c r="E487" t="s">
        <v>1003</v>
      </c>
      <c r="F487" t="s">
        <v>1183</v>
      </c>
      <c r="G487" t="s">
        <v>1169</v>
      </c>
      <c r="H487" s="3">
        <v>648</v>
      </c>
      <c r="I487">
        <v>2</v>
      </c>
      <c r="J487" t="s">
        <v>56</v>
      </c>
      <c r="K487">
        <v>33.200000000000003</v>
      </c>
      <c r="L487">
        <v>38.5</v>
      </c>
      <c r="M487">
        <v>1</v>
      </c>
      <c r="N487" t="s">
        <v>56</v>
      </c>
      <c r="O487" t="s">
        <v>1169</v>
      </c>
      <c r="P487">
        <v>86.7</v>
      </c>
      <c r="Q487">
        <v>0.6</v>
      </c>
      <c r="R487">
        <v>12.2</v>
      </c>
      <c r="S487">
        <v>0.2</v>
      </c>
      <c r="T487">
        <v>0</v>
      </c>
      <c r="U487">
        <v>0</v>
      </c>
      <c r="V487">
        <v>0.1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0.2</v>
      </c>
      <c r="AC487" t="s">
        <v>1169</v>
      </c>
      <c r="AD487">
        <v>50</v>
      </c>
      <c r="AE487" t="s">
        <v>1169</v>
      </c>
      <c r="AF487" s="4" t="s">
        <v>57</v>
      </c>
      <c r="AG487" s="4">
        <v>330</v>
      </c>
      <c r="AH487" s="4" t="s">
        <v>58</v>
      </c>
      <c r="AI487" s="4">
        <v>318</v>
      </c>
      <c r="AJ487" t="s">
        <v>1169</v>
      </c>
      <c r="AK487" t="s">
        <v>56</v>
      </c>
      <c r="AL487" t="s">
        <v>1183</v>
      </c>
      <c r="AM487">
        <v>8</v>
      </c>
      <c r="AN487">
        <v>0</v>
      </c>
      <c r="AO487">
        <v>9</v>
      </c>
      <c r="AP487">
        <v>0</v>
      </c>
      <c r="AQ487" s="5">
        <v>53</v>
      </c>
      <c r="AR487">
        <v>16</v>
      </c>
      <c r="AS487">
        <v>0</v>
      </c>
      <c r="AT487">
        <v>17</v>
      </c>
      <c r="AU487">
        <v>0</v>
      </c>
      <c r="AV487" s="5">
        <v>69</v>
      </c>
      <c r="AW487" t="s">
        <v>56</v>
      </c>
      <c r="AX487" s="6">
        <v>676</v>
      </c>
      <c r="AY487" t="s">
        <v>1169</v>
      </c>
      <c r="AZ487" t="s">
        <v>56</v>
      </c>
    </row>
    <row r="488" spans="1:52" hidden="1" x14ac:dyDescent="0.45">
      <c r="A488">
        <v>511215.30193461798</v>
      </c>
      <c r="B488">
        <v>6928658.8783844002</v>
      </c>
      <c r="C488">
        <v>487</v>
      </c>
      <c r="D488" t="s">
        <v>975</v>
      </c>
      <c r="E488" t="s">
        <v>1184</v>
      </c>
      <c r="F488" t="s">
        <v>1185</v>
      </c>
      <c r="G488" t="s">
        <v>1169</v>
      </c>
      <c r="H488" s="3">
        <v>3016</v>
      </c>
      <c r="I488">
        <v>2</v>
      </c>
      <c r="J488" t="s">
        <v>56</v>
      </c>
      <c r="K488">
        <v>63.9</v>
      </c>
      <c r="L488">
        <v>72.400000000000006</v>
      </c>
      <c r="M488">
        <v>1</v>
      </c>
      <c r="N488" t="s">
        <v>56</v>
      </c>
      <c r="O488" t="s">
        <v>1169</v>
      </c>
      <c r="P488">
        <v>72.5</v>
      </c>
      <c r="Q488">
        <v>1.6</v>
      </c>
      <c r="R488">
        <v>23.2</v>
      </c>
      <c r="S488">
        <v>0.5</v>
      </c>
      <c r="T488">
        <v>0.2</v>
      </c>
      <c r="U488">
        <v>0.1</v>
      </c>
      <c r="V488">
        <v>1.2</v>
      </c>
      <c r="W488">
        <v>0.1</v>
      </c>
      <c r="X488">
        <v>0.2</v>
      </c>
      <c r="Y488">
        <v>0.1</v>
      </c>
      <c r="Z488">
        <v>0</v>
      </c>
      <c r="AA488">
        <v>0</v>
      </c>
      <c r="AB488">
        <v>0.3</v>
      </c>
      <c r="AC488" t="s">
        <v>1169</v>
      </c>
      <c r="AD488">
        <v>60</v>
      </c>
      <c r="AE488" t="s">
        <v>1169</v>
      </c>
      <c r="AF488" s="4" t="s">
        <v>57</v>
      </c>
      <c r="AG488" s="4">
        <v>1539</v>
      </c>
      <c r="AH488" s="4" t="s">
        <v>58</v>
      </c>
      <c r="AI488" s="4">
        <v>1477</v>
      </c>
      <c r="AJ488" t="s">
        <v>1169</v>
      </c>
      <c r="AK488" t="s">
        <v>56</v>
      </c>
      <c r="AL488" t="s">
        <v>1185</v>
      </c>
      <c r="AM488">
        <v>8</v>
      </c>
      <c r="AN488">
        <v>0</v>
      </c>
      <c r="AO488">
        <v>9</v>
      </c>
      <c r="AP488">
        <v>0</v>
      </c>
      <c r="AQ488" s="5">
        <v>258</v>
      </c>
      <c r="AR488">
        <v>15</v>
      </c>
      <c r="AS488">
        <v>0</v>
      </c>
      <c r="AT488">
        <v>16</v>
      </c>
      <c r="AU488">
        <v>0</v>
      </c>
      <c r="AV488" s="5">
        <v>312</v>
      </c>
      <c r="AW488" t="s">
        <v>56</v>
      </c>
      <c r="AX488" s="6">
        <v>3234</v>
      </c>
      <c r="AY488" t="s">
        <v>1169</v>
      </c>
      <c r="AZ488" t="s">
        <v>56</v>
      </c>
    </row>
    <row r="489" spans="1:52" hidden="1" x14ac:dyDescent="0.45">
      <c r="A489">
        <v>507008.12729850202</v>
      </c>
      <c r="B489">
        <v>6938770.4241835503</v>
      </c>
      <c r="C489">
        <v>488</v>
      </c>
      <c r="D489" t="s">
        <v>1186</v>
      </c>
      <c r="E489" t="s">
        <v>1187</v>
      </c>
      <c r="F489" t="s">
        <v>1188</v>
      </c>
      <c r="G489" t="s">
        <v>1169</v>
      </c>
      <c r="H489" s="3">
        <v>4741</v>
      </c>
      <c r="I489">
        <v>2</v>
      </c>
      <c r="J489" t="s">
        <v>56</v>
      </c>
      <c r="K489">
        <v>70.5</v>
      </c>
      <c r="L489">
        <v>78.8</v>
      </c>
      <c r="M489">
        <v>1</v>
      </c>
      <c r="N489" t="s">
        <v>56</v>
      </c>
      <c r="O489" t="s">
        <v>1169</v>
      </c>
      <c r="P489">
        <v>78.099999999999994</v>
      </c>
      <c r="Q489">
        <v>1.7</v>
      </c>
      <c r="R489">
        <v>18.7</v>
      </c>
      <c r="S489">
        <v>0.6</v>
      </c>
      <c r="T489">
        <v>0</v>
      </c>
      <c r="U489">
        <v>0</v>
      </c>
      <c r="V489">
        <v>0.4</v>
      </c>
      <c r="W489">
        <v>0.1</v>
      </c>
      <c r="X489">
        <v>0.1</v>
      </c>
      <c r="Y489">
        <v>0</v>
      </c>
      <c r="Z489">
        <v>0</v>
      </c>
      <c r="AA489">
        <v>0</v>
      </c>
      <c r="AB489">
        <v>0.3</v>
      </c>
      <c r="AC489" t="s">
        <v>1169</v>
      </c>
      <c r="AD489">
        <v>80</v>
      </c>
      <c r="AE489" t="s">
        <v>1169</v>
      </c>
      <c r="AF489" s="4" t="s">
        <v>80</v>
      </c>
      <c r="AG489" s="4">
        <v>2383</v>
      </c>
      <c r="AH489" s="4" t="s">
        <v>81</v>
      </c>
      <c r="AI489" s="4">
        <v>2358</v>
      </c>
      <c r="AJ489" t="s">
        <v>1169</v>
      </c>
      <c r="AK489" t="s">
        <v>56</v>
      </c>
      <c r="AL489" t="s">
        <v>1188</v>
      </c>
      <c r="AM489">
        <v>7</v>
      </c>
      <c r="AN489">
        <v>0</v>
      </c>
      <c r="AO489">
        <v>8</v>
      </c>
      <c r="AP489">
        <v>0</v>
      </c>
      <c r="AQ489" s="5">
        <v>418</v>
      </c>
      <c r="AR489">
        <v>16</v>
      </c>
      <c r="AS489">
        <v>0</v>
      </c>
      <c r="AT489">
        <v>17</v>
      </c>
      <c r="AU489">
        <v>0</v>
      </c>
      <c r="AV489" s="5">
        <v>469</v>
      </c>
      <c r="AW489" t="s">
        <v>56</v>
      </c>
      <c r="AX489" s="6">
        <v>5126</v>
      </c>
      <c r="AY489" t="s">
        <v>1169</v>
      </c>
      <c r="AZ489" t="s">
        <v>56</v>
      </c>
    </row>
    <row r="490" spans="1:52" hidden="1" x14ac:dyDescent="0.45">
      <c r="A490">
        <v>517444.05937602202</v>
      </c>
      <c r="B490">
        <v>6937183.6710844403</v>
      </c>
      <c r="C490">
        <v>489</v>
      </c>
      <c r="D490" t="s">
        <v>1189</v>
      </c>
      <c r="E490" t="s">
        <v>705</v>
      </c>
      <c r="F490" t="s">
        <v>1190</v>
      </c>
      <c r="G490" t="s">
        <v>1169</v>
      </c>
      <c r="H490" s="3">
        <v>417</v>
      </c>
      <c r="I490">
        <v>2</v>
      </c>
      <c r="J490" t="s">
        <v>56</v>
      </c>
      <c r="K490">
        <v>45.4</v>
      </c>
      <c r="L490">
        <v>53.6</v>
      </c>
      <c r="M490">
        <v>1</v>
      </c>
      <c r="N490" t="s">
        <v>56</v>
      </c>
      <c r="O490" t="s">
        <v>1169</v>
      </c>
      <c r="P490">
        <v>75.900000000000006</v>
      </c>
      <c r="Q490">
        <v>1.3</v>
      </c>
      <c r="R490">
        <v>20.8</v>
      </c>
      <c r="S490">
        <v>0.9</v>
      </c>
      <c r="T490">
        <v>0.1</v>
      </c>
      <c r="U490">
        <v>0</v>
      </c>
      <c r="V490">
        <v>0.5</v>
      </c>
      <c r="W490">
        <v>0.1</v>
      </c>
      <c r="X490">
        <v>0</v>
      </c>
      <c r="Y490">
        <v>0.1</v>
      </c>
      <c r="Z490">
        <v>0</v>
      </c>
      <c r="AA490">
        <v>0</v>
      </c>
      <c r="AB490">
        <v>0.3</v>
      </c>
      <c r="AC490" t="s">
        <v>1169</v>
      </c>
      <c r="AD490">
        <v>50</v>
      </c>
      <c r="AE490" t="s">
        <v>1169</v>
      </c>
      <c r="AF490" s="4" t="s">
        <v>80</v>
      </c>
      <c r="AG490" s="4">
        <v>206</v>
      </c>
      <c r="AH490" s="4" t="s">
        <v>81</v>
      </c>
      <c r="AI490" s="4">
        <v>211</v>
      </c>
      <c r="AJ490" t="s">
        <v>1169</v>
      </c>
      <c r="AK490" t="s">
        <v>56</v>
      </c>
      <c r="AL490" t="s">
        <v>1190</v>
      </c>
      <c r="AM490">
        <v>8</v>
      </c>
      <c r="AN490">
        <v>0</v>
      </c>
      <c r="AO490">
        <v>9</v>
      </c>
      <c r="AP490">
        <v>0</v>
      </c>
      <c r="AQ490" s="5">
        <v>31</v>
      </c>
      <c r="AR490">
        <v>16</v>
      </c>
      <c r="AS490">
        <v>0</v>
      </c>
      <c r="AT490">
        <v>17</v>
      </c>
      <c r="AU490">
        <v>0</v>
      </c>
      <c r="AV490" s="5">
        <v>44</v>
      </c>
      <c r="AW490" t="s">
        <v>56</v>
      </c>
      <c r="AX490" s="6">
        <v>457</v>
      </c>
      <c r="AY490" t="s">
        <v>1169</v>
      </c>
      <c r="AZ490" t="s">
        <v>56</v>
      </c>
    </row>
    <row r="491" spans="1:52" hidden="1" x14ac:dyDescent="0.45">
      <c r="A491">
        <v>518143.022045149</v>
      </c>
      <c r="B491">
        <v>6937423.1312982803</v>
      </c>
      <c r="C491">
        <v>490</v>
      </c>
      <c r="D491" t="s">
        <v>1191</v>
      </c>
      <c r="E491" t="s">
        <v>705</v>
      </c>
      <c r="F491" t="s">
        <v>1192</v>
      </c>
      <c r="G491" t="s">
        <v>1169</v>
      </c>
      <c r="H491" s="3">
        <v>185</v>
      </c>
      <c r="I491">
        <v>2</v>
      </c>
      <c r="J491" t="s">
        <v>56</v>
      </c>
      <c r="K491">
        <v>39.299999999999997</v>
      </c>
      <c r="L491">
        <v>47.5</v>
      </c>
      <c r="M491">
        <v>1</v>
      </c>
      <c r="N491" t="s">
        <v>56</v>
      </c>
      <c r="O491" t="s">
        <v>1169</v>
      </c>
      <c r="P491">
        <v>78.2</v>
      </c>
      <c r="Q491">
        <v>0.7</v>
      </c>
      <c r="R491">
        <v>20.3</v>
      </c>
      <c r="S491">
        <v>0.2</v>
      </c>
      <c r="T491">
        <v>0.2</v>
      </c>
      <c r="U491">
        <v>0</v>
      </c>
      <c r="V491">
        <v>0.1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0.3</v>
      </c>
      <c r="AC491" t="s">
        <v>1169</v>
      </c>
      <c r="AD491">
        <v>50</v>
      </c>
      <c r="AE491" t="s">
        <v>1169</v>
      </c>
      <c r="AF491" s="4" t="s">
        <v>80</v>
      </c>
      <c r="AG491" s="4">
        <v>93</v>
      </c>
      <c r="AH491" s="4" t="s">
        <v>81</v>
      </c>
      <c r="AI491" s="4">
        <v>92</v>
      </c>
      <c r="AJ491" t="s">
        <v>1169</v>
      </c>
      <c r="AK491" t="s">
        <v>56</v>
      </c>
      <c r="AL491" t="s">
        <v>1192</v>
      </c>
      <c r="AM491">
        <v>8</v>
      </c>
      <c r="AN491">
        <v>0</v>
      </c>
      <c r="AO491">
        <v>9</v>
      </c>
      <c r="AP491">
        <v>0</v>
      </c>
      <c r="AQ491" s="5">
        <v>28</v>
      </c>
      <c r="AR491">
        <v>17</v>
      </c>
      <c r="AS491">
        <v>0</v>
      </c>
      <c r="AT491">
        <v>18</v>
      </c>
      <c r="AU491">
        <v>0</v>
      </c>
      <c r="AV491" s="5">
        <v>25</v>
      </c>
      <c r="AW491" t="s">
        <v>56</v>
      </c>
      <c r="AX491" s="6">
        <v>190</v>
      </c>
      <c r="AY491" t="s">
        <v>1169</v>
      </c>
      <c r="AZ491" t="s">
        <v>56</v>
      </c>
    </row>
    <row r="492" spans="1:52" hidden="1" x14ac:dyDescent="0.45">
      <c r="A492">
        <v>518143.022045149</v>
      </c>
      <c r="B492">
        <v>6937423.1312982803</v>
      </c>
      <c r="C492">
        <v>491</v>
      </c>
      <c r="D492" t="s">
        <v>1191</v>
      </c>
      <c r="E492" t="s">
        <v>705</v>
      </c>
      <c r="F492" t="s">
        <v>1192</v>
      </c>
      <c r="G492" t="s">
        <v>1169</v>
      </c>
      <c r="H492" s="3">
        <v>185</v>
      </c>
      <c r="I492">
        <v>2</v>
      </c>
      <c r="J492" t="s">
        <v>56</v>
      </c>
      <c r="K492">
        <v>39.299999999999997</v>
      </c>
      <c r="L492">
        <v>47.5</v>
      </c>
      <c r="M492">
        <v>1</v>
      </c>
      <c r="N492" t="s">
        <v>56</v>
      </c>
      <c r="O492" t="s">
        <v>1169</v>
      </c>
      <c r="P492">
        <v>78.2</v>
      </c>
      <c r="Q492">
        <v>0.7</v>
      </c>
      <c r="R492">
        <v>20.3</v>
      </c>
      <c r="S492">
        <v>0.2</v>
      </c>
      <c r="T492">
        <v>0.2</v>
      </c>
      <c r="U492">
        <v>0</v>
      </c>
      <c r="V492">
        <v>0.1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0.3</v>
      </c>
      <c r="AC492" t="s">
        <v>1169</v>
      </c>
      <c r="AD492">
        <v>50</v>
      </c>
      <c r="AE492" t="s">
        <v>1169</v>
      </c>
      <c r="AF492" s="4" t="s">
        <v>80</v>
      </c>
      <c r="AG492" s="4">
        <v>93</v>
      </c>
      <c r="AH492" s="4" t="s">
        <v>81</v>
      </c>
      <c r="AI492" s="4">
        <v>92</v>
      </c>
      <c r="AJ492" t="s">
        <v>1169</v>
      </c>
      <c r="AK492" t="s">
        <v>56</v>
      </c>
      <c r="AL492" t="s">
        <v>1192</v>
      </c>
      <c r="AM492">
        <v>8</v>
      </c>
      <c r="AN492">
        <v>0</v>
      </c>
      <c r="AO492">
        <v>9</v>
      </c>
      <c r="AP492">
        <v>0</v>
      </c>
      <c r="AQ492" s="5">
        <v>28</v>
      </c>
      <c r="AR492">
        <v>17</v>
      </c>
      <c r="AS492">
        <v>0</v>
      </c>
      <c r="AT492">
        <v>18</v>
      </c>
      <c r="AU492">
        <v>0</v>
      </c>
      <c r="AV492" s="5">
        <v>25</v>
      </c>
      <c r="AW492" t="s">
        <v>56</v>
      </c>
      <c r="AX492" s="6">
        <v>190</v>
      </c>
      <c r="AY492" t="s">
        <v>1169</v>
      </c>
      <c r="AZ492" t="s">
        <v>56</v>
      </c>
    </row>
    <row r="493" spans="1:52" hidden="1" x14ac:dyDescent="0.45">
      <c r="A493">
        <v>518123.36249855999</v>
      </c>
      <c r="B493">
        <v>6937332.1071182201</v>
      </c>
      <c r="C493">
        <v>492</v>
      </c>
      <c r="D493" t="s">
        <v>1191</v>
      </c>
      <c r="E493" t="s">
        <v>705</v>
      </c>
      <c r="F493" t="s">
        <v>1193</v>
      </c>
      <c r="G493" t="s">
        <v>1169</v>
      </c>
      <c r="H493" s="3">
        <v>262</v>
      </c>
      <c r="I493">
        <v>2</v>
      </c>
      <c r="J493" t="s">
        <v>56</v>
      </c>
      <c r="K493">
        <v>29.8</v>
      </c>
      <c r="L493">
        <v>34.6</v>
      </c>
      <c r="M493">
        <v>1</v>
      </c>
      <c r="N493" t="s">
        <v>56</v>
      </c>
      <c r="O493" t="s">
        <v>1169</v>
      </c>
      <c r="P493">
        <v>84</v>
      </c>
      <c r="Q493">
        <v>0.8</v>
      </c>
      <c r="R493">
        <v>14.7</v>
      </c>
      <c r="S493">
        <v>0.2</v>
      </c>
      <c r="T493">
        <v>0</v>
      </c>
      <c r="U493">
        <v>0</v>
      </c>
      <c r="V493">
        <v>0.1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0.2</v>
      </c>
      <c r="AC493" t="s">
        <v>1169</v>
      </c>
      <c r="AD493">
        <v>50</v>
      </c>
      <c r="AE493" t="s">
        <v>1169</v>
      </c>
      <c r="AF493" s="4" t="s">
        <v>80</v>
      </c>
      <c r="AG493" s="4">
        <v>153</v>
      </c>
      <c r="AH493" s="4" t="s">
        <v>81</v>
      </c>
      <c r="AI493" s="4">
        <v>109</v>
      </c>
      <c r="AJ493" t="s">
        <v>1169</v>
      </c>
      <c r="AK493" t="s">
        <v>56</v>
      </c>
      <c r="AL493" t="s">
        <v>1193</v>
      </c>
      <c r="AM493">
        <v>8</v>
      </c>
      <c r="AN493">
        <v>0</v>
      </c>
      <c r="AO493">
        <v>9</v>
      </c>
      <c r="AP493">
        <v>0</v>
      </c>
      <c r="AQ493" s="5">
        <v>50</v>
      </c>
      <c r="AR493">
        <v>14</v>
      </c>
      <c r="AS493">
        <v>0</v>
      </c>
      <c r="AT493">
        <v>15</v>
      </c>
      <c r="AU493">
        <v>0</v>
      </c>
      <c r="AV493" s="5">
        <v>59</v>
      </c>
      <c r="AW493" t="s">
        <v>56</v>
      </c>
      <c r="AX493" s="6">
        <v>302</v>
      </c>
      <c r="AY493" t="s">
        <v>1169</v>
      </c>
      <c r="AZ493" t="s">
        <v>56</v>
      </c>
    </row>
    <row r="494" spans="1:52" hidden="1" x14ac:dyDescent="0.45">
      <c r="A494">
        <v>518083.487337898</v>
      </c>
      <c r="B494">
        <v>6937372.2654766701</v>
      </c>
      <c r="C494">
        <v>493</v>
      </c>
      <c r="D494" t="s">
        <v>1194</v>
      </c>
      <c r="E494" t="s">
        <v>705</v>
      </c>
      <c r="F494" t="s">
        <v>1195</v>
      </c>
      <c r="G494" t="s">
        <v>1169</v>
      </c>
      <c r="H494" s="3">
        <v>367</v>
      </c>
      <c r="I494">
        <v>2</v>
      </c>
      <c r="J494" t="s">
        <v>56</v>
      </c>
      <c r="K494">
        <v>37.200000000000003</v>
      </c>
      <c r="L494">
        <v>42.8</v>
      </c>
      <c r="M494">
        <v>1</v>
      </c>
      <c r="N494" t="s">
        <v>56</v>
      </c>
      <c r="O494" t="s">
        <v>1169</v>
      </c>
      <c r="P494">
        <v>79.7</v>
      </c>
      <c r="Q494">
        <v>0.8</v>
      </c>
      <c r="R494">
        <v>19</v>
      </c>
      <c r="S494">
        <v>0.2</v>
      </c>
      <c r="T494">
        <v>0</v>
      </c>
      <c r="U494">
        <v>0</v>
      </c>
      <c r="V494">
        <v>0.1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0.2</v>
      </c>
      <c r="AC494" t="s">
        <v>1169</v>
      </c>
      <c r="AD494">
        <v>50</v>
      </c>
      <c r="AE494" t="s">
        <v>1169</v>
      </c>
      <c r="AF494" s="4" t="s">
        <v>57</v>
      </c>
      <c r="AG494" s="4">
        <v>163</v>
      </c>
      <c r="AH494" s="4" t="s">
        <v>58</v>
      </c>
      <c r="AI494" s="4">
        <v>204</v>
      </c>
      <c r="AJ494" t="s">
        <v>1169</v>
      </c>
      <c r="AK494" t="s">
        <v>56</v>
      </c>
      <c r="AL494" t="s">
        <v>1195</v>
      </c>
      <c r="AM494">
        <v>8</v>
      </c>
      <c r="AN494">
        <v>0</v>
      </c>
      <c r="AO494">
        <v>9</v>
      </c>
      <c r="AP494">
        <v>0</v>
      </c>
      <c r="AQ494" s="5">
        <v>61</v>
      </c>
      <c r="AR494">
        <v>14</v>
      </c>
      <c r="AS494">
        <v>0</v>
      </c>
      <c r="AT494">
        <v>15</v>
      </c>
      <c r="AU494">
        <v>0</v>
      </c>
      <c r="AV494" s="5">
        <v>86</v>
      </c>
      <c r="AW494" t="s">
        <v>56</v>
      </c>
      <c r="AX494" s="6">
        <v>407</v>
      </c>
      <c r="AY494" t="s">
        <v>1169</v>
      </c>
      <c r="AZ494" t="s">
        <v>56</v>
      </c>
    </row>
    <row r="495" spans="1:52" hidden="1" x14ac:dyDescent="0.45">
      <c r="A495">
        <v>517247.84130329301</v>
      </c>
      <c r="B495">
        <v>6942404.7757415399</v>
      </c>
      <c r="C495">
        <v>494</v>
      </c>
      <c r="D495" t="s">
        <v>1196</v>
      </c>
      <c r="E495" t="s">
        <v>335</v>
      </c>
      <c r="F495" t="s">
        <v>1197</v>
      </c>
      <c r="G495" t="s">
        <v>1198</v>
      </c>
      <c r="H495" s="3">
        <v>1292</v>
      </c>
      <c r="I495">
        <v>2</v>
      </c>
      <c r="J495" t="s">
        <v>56</v>
      </c>
      <c r="K495">
        <v>55.8</v>
      </c>
      <c r="L495">
        <v>63.4</v>
      </c>
      <c r="M495">
        <v>1</v>
      </c>
      <c r="N495" t="s">
        <v>56</v>
      </c>
      <c r="O495" t="s">
        <v>1198</v>
      </c>
      <c r="P495">
        <v>80.099999999999994</v>
      </c>
      <c r="Q495">
        <v>0.9</v>
      </c>
      <c r="R495">
        <v>18.3</v>
      </c>
      <c r="S495">
        <v>0.1</v>
      </c>
      <c r="T495">
        <v>0</v>
      </c>
      <c r="U495">
        <v>0</v>
      </c>
      <c r="V495">
        <v>0.1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0.5</v>
      </c>
      <c r="AC495" t="s">
        <v>1198</v>
      </c>
      <c r="AD495">
        <v>50</v>
      </c>
      <c r="AE495" t="s">
        <v>1198</v>
      </c>
      <c r="AF495" s="4" t="s">
        <v>80</v>
      </c>
      <c r="AG495" s="4">
        <v>639</v>
      </c>
      <c r="AH495" s="4" t="s">
        <v>81</v>
      </c>
      <c r="AI495" s="4">
        <v>653</v>
      </c>
      <c r="AJ495" t="s">
        <v>1198</v>
      </c>
      <c r="AK495" t="s">
        <v>56</v>
      </c>
      <c r="AL495" t="s">
        <v>1197</v>
      </c>
      <c r="AM495">
        <v>7</v>
      </c>
      <c r="AN495">
        <v>0</v>
      </c>
      <c r="AO495">
        <v>8</v>
      </c>
      <c r="AP495">
        <v>0</v>
      </c>
      <c r="AQ495" s="5">
        <v>137</v>
      </c>
      <c r="AR495">
        <v>17</v>
      </c>
      <c r="AS495">
        <v>0</v>
      </c>
      <c r="AT495">
        <v>18</v>
      </c>
      <c r="AU495">
        <v>0</v>
      </c>
      <c r="AV495" s="5">
        <v>155</v>
      </c>
      <c r="AW495" t="s">
        <v>56</v>
      </c>
      <c r="AX495" s="6">
        <v>1372</v>
      </c>
      <c r="AY495" t="s">
        <v>1198</v>
      </c>
      <c r="AZ495" t="s">
        <v>56</v>
      </c>
    </row>
    <row r="496" spans="1:52" hidden="1" x14ac:dyDescent="0.45">
      <c r="A496">
        <v>517209.49506657198</v>
      </c>
      <c r="B496">
        <v>6942633.3482381999</v>
      </c>
      <c r="C496">
        <v>495</v>
      </c>
      <c r="D496" t="s">
        <v>1199</v>
      </c>
      <c r="E496" t="s">
        <v>746</v>
      </c>
      <c r="F496" t="s">
        <v>1200</v>
      </c>
      <c r="G496" t="s">
        <v>1201</v>
      </c>
      <c r="H496" s="3">
        <v>424</v>
      </c>
      <c r="I496">
        <v>2</v>
      </c>
      <c r="J496" t="s">
        <v>56</v>
      </c>
      <c r="K496">
        <v>51.4</v>
      </c>
      <c r="L496">
        <v>58.7</v>
      </c>
      <c r="M496">
        <v>1</v>
      </c>
      <c r="N496" t="s">
        <v>56</v>
      </c>
      <c r="O496" t="s">
        <v>1201</v>
      </c>
      <c r="P496">
        <v>75.7</v>
      </c>
      <c r="Q496">
        <v>0.6</v>
      </c>
      <c r="R496">
        <v>22.9</v>
      </c>
      <c r="S496">
        <v>0.1</v>
      </c>
      <c r="T496">
        <v>0</v>
      </c>
      <c r="U496">
        <v>0</v>
      </c>
      <c r="V496">
        <v>0.1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0.6</v>
      </c>
      <c r="AC496" t="s">
        <v>1201</v>
      </c>
      <c r="AD496">
        <v>50</v>
      </c>
      <c r="AE496" t="s">
        <v>1201</v>
      </c>
      <c r="AF496" s="4" t="s">
        <v>80</v>
      </c>
      <c r="AG496" s="4">
        <v>211</v>
      </c>
      <c r="AH496" s="4" t="s">
        <v>81</v>
      </c>
      <c r="AI496" s="4">
        <v>213</v>
      </c>
      <c r="AJ496" t="s">
        <v>1201</v>
      </c>
      <c r="AK496" t="s">
        <v>56</v>
      </c>
      <c r="AL496" t="s">
        <v>1200</v>
      </c>
      <c r="AM496">
        <v>10</v>
      </c>
      <c r="AN496">
        <v>0</v>
      </c>
      <c r="AO496">
        <v>11</v>
      </c>
      <c r="AP496">
        <v>0</v>
      </c>
      <c r="AQ496" s="5">
        <v>35</v>
      </c>
      <c r="AR496">
        <v>16</v>
      </c>
      <c r="AS496">
        <v>0</v>
      </c>
      <c r="AT496">
        <v>17</v>
      </c>
      <c r="AU496">
        <v>0</v>
      </c>
      <c r="AV496" s="5">
        <v>45</v>
      </c>
      <c r="AW496" t="s">
        <v>56</v>
      </c>
      <c r="AX496" s="6">
        <v>442</v>
      </c>
      <c r="AY496" t="s">
        <v>1201</v>
      </c>
      <c r="AZ496" t="s">
        <v>56</v>
      </c>
    </row>
    <row r="497" spans="1:52" hidden="1" x14ac:dyDescent="0.45">
      <c r="A497">
        <v>508061.00608813902</v>
      </c>
      <c r="B497">
        <v>6940642.2262410503</v>
      </c>
      <c r="C497">
        <v>496</v>
      </c>
      <c r="D497" t="s">
        <v>634</v>
      </c>
      <c r="E497" t="s">
        <v>358</v>
      </c>
      <c r="F497" t="s">
        <v>1202</v>
      </c>
      <c r="G497" t="s">
        <v>1181</v>
      </c>
      <c r="H497" s="3">
        <v>2956</v>
      </c>
      <c r="I497">
        <v>2</v>
      </c>
      <c r="J497" t="s">
        <v>56</v>
      </c>
      <c r="K497">
        <v>42.3</v>
      </c>
      <c r="L497">
        <v>47.5</v>
      </c>
      <c r="M497">
        <v>1</v>
      </c>
      <c r="N497" t="s">
        <v>56</v>
      </c>
      <c r="O497" t="s">
        <v>1181</v>
      </c>
      <c r="P497">
        <v>84</v>
      </c>
      <c r="Q497">
        <v>0.7</v>
      </c>
      <c r="R497">
        <v>14.4</v>
      </c>
      <c r="S497">
        <v>0.3</v>
      </c>
      <c r="T497">
        <v>0.1</v>
      </c>
      <c r="U497">
        <v>0</v>
      </c>
      <c r="V497">
        <v>0.4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0.1</v>
      </c>
      <c r="AC497" t="s">
        <v>1181</v>
      </c>
      <c r="AD497">
        <v>50</v>
      </c>
      <c r="AE497" t="s">
        <v>1181</v>
      </c>
      <c r="AF497" s="4" t="s">
        <v>57</v>
      </c>
      <c r="AG497" s="4">
        <v>1351</v>
      </c>
      <c r="AH497" s="4" t="s">
        <v>58</v>
      </c>
      <c r="AI497" s="4">
        <v>1605</v>
      </c>
      <c r="AJ497" t="s">
        <v>1181</v>
      </c>
      <c r="AK497" t="s">
        <v>56</v>
      </c>
      <c r="AL497" t="s">
        <v>1202</v>
      </c>
      <c r="AM497">
        <v>6</v>
      </c>
      <c r="AN497">
        <v>0</v>
      </c>
      <c r="AO497">
        <v>7</v>
      </c>
      <c r="AP497">
        <v>0</v>
      </c>
      <c r="AQ497" s="5">
        <v>216</v>
      </c>
      <c r="AR497">
        <v>15</v>
      </c>
      <c r="AS497">
        <v>0</v>
      </c>
      <c r="AT497">
        <v>16</v>
      </c>
      <c r="AU497">
        <v>0</v>
      </c>
      <c r="AV497" s="5">
        <v>313</v>
      </c>
      <c r="AW497" t="s">
        <v>56</v>
      </c>
      <c r="AX497" s="6">
        <v>3203</v>
      </c>
      <c r="AY497" t="s">
        <v>1181</v>
      </c>
      <c r="AZ497" t="s">
        <v>56</v>
      </c>
    </row>
    <row r="498" spans="1:52" hidden="1" x14ac:dyDescent="0.45">
      <c r="A498">
        <v>513176.23844099999</v>
      </c>
      <c r="B498">
        <v>6944862.9615055397</v>
      </c>
      <c r="C498">
        <v>497</v>
      </c>
      <c r="D498" t="s">
        <v>569</v>
      </c>
      <c r="E498" t="s">
        <v>335</v>
      </c>
      <c r="F498" t="s">
        <v>1203</v>
      </c>
      <c r="G498" t="s">
        <v>1204</v>
      </c>
      <c r="H498" s="3">
        <v>5407</v>
      </c>
      <c r="I498">
        <v>2</v>
      </c>
      <c r="J498" t="s">
        <v>56</v>
      </c>
      <c r="K498">
        <v>57.6</v>
      </c>
      <c r="L498">
        <v>64.400000000000006</v>
      </c>
      <c r="M498">
        <v>1</v>
      </c>
      <c r="N498" t="s">
        <v>56</v>
      </c>
      <c r="O498" t="s">
        <v>1204</v>
      </c>
      <c r="P498">
        <v>85.4</v>
      </c>
      <c r="Q498">
        <v>0.5</v>
      </c>
      <c r="R498">
        <v>13.4</v>
      </c>
      <c r="S498">
        <v>0.1</v>
      </c>
      <c r="T498">
        <v>0</v>
      </c>
      <c r="U498">
        <v>0</v>
      </c>
      <c r="V498">
        <v>0.3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0.3</v>
      </c>
      <c r="AC498" t="s">
        <v>1204</v>
      </c>
      <c r="AD498">
        <v>60</v>
      </c>
      <c r="AE498" t="s">
        <v>1204</v>
      </c>
      <c r="AF498" s="4" t="s">
        <v>80</v>
      </c>
      <c r="AG498" s="4">
        <v>2730</v>
      </c>
      <c r="AH498" s="4" t="s">
        <v>81</v>
      </c>
      <c r="AI498" s="4">
        <v>2677</v>
      </c>
      <c r="AJ498" t="s">
        <v>1204</v>
      </c>
      <c r="AK498" t="s">
        <v>56</v>
      </c>
      <c r="AL498" t="s">
        <v>1203</v>
      </c>
      <c r="AM498">
        <v>8</v>
      </c>
      <c r="AN498">
        <v>0</v>
      </c>
      <c r="AO498">
        <v>9</v>
      </c>
      <c r="AP498">
        <v>0</v>
      </c>
      <c r="AQ498" s="5">
        <v>688</v>
      </c>
      <c r="AR498">
        <v>17</v>
      </c>
      <c r="AS498">
        <v>0</v>
      </c>
      <c r="AT498">
        <v>18</v>
      </c>
      <c r="AU498">
        <v>0</v>
      </c>
      <c r="AV498" s="5">
        <v>629</v>
      </c>
      <c r="AW498" t="s">
        <v>56</v>
      </c>
      <c r="AX498" s="6">
        <v>5840</v>
      </c>
      <c r="AY498" t="s">
        <v>1204</v>
      </c>
      <c r="AZ498" t="s">
        <v>56</v>
      </c>
    </row>
    <row r="499" spans="1:52" hidden="1" x14ac:dyDescent="0.45">
      <c r="A499">
        <v>514760.745707992</v>
      </c>
      <c r="B499">
        <v>6938140.9585194001</v>
      </c>
      <c r="C499">
        <v>498</v>
      </c>
      <c r="D499" t="s">
        <v>1205</v>
      </c>
      <c r="E499" t="s">
        <v>549</v>
      </c>
      <c r="F499" t="s">
        <v>1206</v>
      </c>
      <c r="G499" t="s">
        <v>1204</v>
      </c>
      <c r="H499" s="3">
        <v>90</v>
      </c>
      <c r="I499">
        <v>2</v>
      </c>
      <c r="J499" t="s">
        <v>56</v>
      </c>
      <c r="K499">
        <v>39.1</v>
      </c>
      <c r="L499">
        <v>48.6</v>
      </c>
      <c r="M499">
        <v>1</v>
      </c>
      <c r="N499" t="s">
        <v>56</v>
      </c>
      <c r="O499" t="s">
        <v>1204</v>
      </c>
      <c r="P499">
        <v>75.099999999999994</v>
      </c>
      <c r="Q499">
        <v>0.5</v>
      </c>
      <c r="R499">
        <v>23.2</v>
      </c>
      <c r="S499">
        <v>0.6</v>
      </c>
      <c r="T499">
        <v>0</v>
      </c>
      <c r="U499">
        <v>0</v>
      </c>
      <c r="V499">
        <v>0.1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0.5</v>
      </c>
      <c r="AC499" t="s">
        <v>1204</v>
      </c>
      <c r="AD499">
        <v>50</v>
      </c>
      <c r="AE499" t="s">
        <v>1204</v>
      </c>
      <c r="AF499" s="4" t="s">
        <v>57</v>
      </c>
      <c r="AG499" s="4">
        <v>41</v>
      </c>
      <c r="AH499" s="4" t="s">
        <v>58</v>
      </c>
      <c r="AI499" s="4">
        <v>49</v>
      </c>
      <c r="AJ499" t="s">
        <v>1204</v>
      </c>
      <c r="AK499" t="s">
        <v>56</v>
      </c>
      <c r="AL499" t="s">
        <v>1206</v>
      </c>
      <c r="AM499">
        <v>7</v>
      </c>
      <c r="AN499">
        <v>0</v>
      </c>
      <c r="AO499">
        <v>8</v>
      </c>
      <c r="AP499">
        <v>0</v>
      </c>
      <c r="AQ499" s="5">
        <v>8</v>
      </c>
      <c r="AR499">
        <v>18</v>
      </c>
      <c r="AS499">
        <v>0</v>
      </c>
      <c r="AT499">
        <v>19</v>
      </c>
      <c r="AU499">
        <v>0</v>
      </c>
      <c r="AV499" s="5">
        <v>14</v>
      </c>
      <c r="AW499" t="s">
        <v>56</v>
      </c>
      <c r="AX499" s="6">
        <v>92</v>
      </c>
      <c r="AY499" t="s">
        <v>1204</v>
      </c>
      <c r="AZ499" t="s">
        <v>56</v>
      </c>
    </row>
    <row r="500" spans="1:52" hidden="1" x14ac:dyDescent="0.45">
      <c r="A500">
        <v>517516.12427796901</v>
      </c>
      <c r="B500">
        <v>6935053.2229740899</v>
      </c>
      <c r="C500">
        <v>499</v>
      </c>
      <c r="D500" t="s">
        <v>1207</v>
      </c>
      <c r="E500" t="s">
        <v>1208</v>
      </c>
      <c r="F500" t="s">
        <v>1209</v>
      </c>
      <c r="G500" t="s">
        <v>1201</v>
      </c>
      <c r="H500" s="3">
        <v>174</v>
      </c>
      <c r="I500">
        <v>2</v>
      </c>
      <c r="J500" t="s">
        <v>56</v>
      </c>
      <c r="K500">
        <v>38.799999999999997</v>
      </c>
      <c r="L500">
        <v>48.2</v>
      </c>
      <c r="M500">
        <v>1</v>
      </c>
      <c r="N500" t="s">
        <v>56</v>
      </c>
      <c r="O500" t="s">
        <v>1201</v>
      </c>
      <c r="P500">
        <v>73</v>
      </c>
      <c r="Q500">
        <v>0.6</v>
      </c>
      <c r="R500">
        <v>24.9</v>
      </c>
      <c r="S500">
        <v>1</v>
      </c>
      <c r="T500">
        <v>0.1</v>
      </c>
      <c r="U500">
        <v>0</v>
      </c>
      <c r="V500">
        <v>0.2</v>
      </c>
      <c r="W500">
        <v>0.1</v>
      </c>
      <c r="X500">
        <v>0</v>
      </c>
      <c r="Y500">
        <v>0</v>
      </c>
      <c r="Z500">
        <v>0</v>
      </c>
      <c r="AA500">
        <v>0</v>
      </c>
      <c r="AB500">
        <v>0.1</v>
      </c>
      <c r="AC500" t="s">
        <v>1201</v>
      </c>
      <c r="AD500">
        <v>50</v>
      </c>
      <c r="AE500" t="s">
        <v>1201</v>
      </c>
      <c r="AF500" s="4" t="s">
        <v>57</v>
      </c>
      <c r="AG500" s="4">
        <v>65</v>
      </c>
      <c r="AH500" s="4" t="s">
        <v>58</v>
      </c>
      <c r="AI500" s="4">
        <v>109</v>
      </c>
      <c r="AJ500" t="s">
        <v>1201</v>
      </c>
      <c r="AK500" t="s">
        <v>56</v>
      </c>
      <c r="AL500" t="s">
        <v>1209</v>
      </c>
      <c r="AM500">
        <v>7</v>
      </c>
      <c r="AN500">
        <v>0</v>
      </c>
      <c r="AO500">
        <v>8</v>
      </c>
      <c r="AP500">
        <v>0</v>
      </c>
      <c r="AQ500" s="5">
        <v>12</v>
      </c>
      <c r="AR500">
        <v>17</v>
      </c>
      <c r="AS500">
        <v>0</v>
      </c>
      <c r="AT500">
        <v>18</v>
      </c>
      <c r="AU500">
        <v>0</v>
      </c>
      <c r="AV500" s="5">
        <v>24</v>
      </c>
      <c r="AW500" t="s">
        <v>56</v>
      </c>
      <c r="AX500" s="6">
        <v>185</v>
      </c>
      <c r="AY500" t="s">
        <v>1201</v>
      </c>
      <c r="AZ500" t="s">
        <v>56</v>
      </c>
    </row>
    <row r="501" spans="1:52" hidden="1" x14ac:dyDescent="0.45">
      <c r="A501">
        <v>511267.98724586301</v>
      </c>
      <c r="B501">
        <v>6940314.45995194</v>
      </c>
      <c r="C501">
        <v>500</v>
      </c>
      <c r="D501" t="s">
        <v>438</v>
      </c>
      <c r="E501" t="s">
        <v>516</v>
      </c>
      <c r="F501" t="s">
        <v>1210</v>
      </c>
      <c r="G501" t="s">
        <v>1181</v>
      </c>
      <c r="H501" s="3">
        <v>1657</v>
      </c>
      <c r="I501">
        <v>2</v>
      </c>
      <c r="J501" t="s">
        <v>56</v>
      </c>
      <c r="K501">
        <v>44.3</v>
      </c>
      <c r="L501">
        <v>51.1</v>
      </c>
      <c r="M501">
        <v>1</v>
      </c>
      <c r="N501" t="s">
        <v>56</v>
      </c>
      <c r="O501" t="s">
        <v>1181</v>
      </c>
      <c r="P501">
        <v>87.5</v>
      </c>
      <c r="Q501">
        <v>0.3</v>
      </c>
      <c r="R501">
        <v>11.8</v>
      </c>
      <c r="S501">
        <v>0.1</v>
      </c>
      <c r="T501">
        <v>0.1</v>
      </c>
      <c r="U501">
        <v>0</v>
      </c>
      <c r="V501">
        <v>0.1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0.1</v>
      </c>
      <c r="AC501" t="s">
        <v>1181</v>
      </c>
      <c r="AD501">
        <v>50</v>
      </c>
      <c r="AE501" t="s">
        <v>1181</v>
      </c>
      <c r="AF501" s="4" t="s">
        <v>57</v>
      </c>
      <c r="AG501" s="4">
        <v>563</v>
      </c>
      <c r="AH501" s="4" t="s">
        <v>58</v>
      </c>
      <c r="AI501" s="4">
        <v>1094</v>
      </c>
      <c r="AJ501" t="s">
        <v>1181</v>
      </c>
      <c r="AK501" t="s">
        <v>56</v>
      </c>
      <c r="AL501" t="s">
        <v>1210</v>
      </c>
      <c r="AM501">
        <v>8</v>
      </c>
      <c r="AN501">
        <v>0</v>
      </c>
      <c r="AO501">
        <v>9</v>
      </c>
      <c r="AP501">
        <v>0</v>
      </c>
      <c r="AQ501" s="5">
        <v>402</v>
      </c>
      <c r="AR501">
        <v>15</v>
      </c>
      <c r="AS501">
        <v>0</v>
      </c>
      <c r="AT501">
        <v>16</v>
      </c>
      <c r="AU501">
        <v>0</v>
      </c>
      <c r="AV501" s="5">
        <v>323</v>
      </c>
      <c r="AW501" t="s">
        <v>56</v>
      </c>
      <c r="AX501" s="6">
        <v>1954</v>
      </c>
      <c r="AY501" t="s">
        <v>1181</v>
      </c>
      <c r="AZ501" t="s">
        <v>56</v>
      </c>
    </row>
    <row r="502" spans="1:52" hidden="1" x14ac:dyDescent="0.45">
      <c r="A502">
        <v>511047.19189886702</v>
      </c>
      <c r="B502">
        <v>6940351.6594837699</v>
      </c>
      <c r="C502">
        <v>501</v>
      </c>
      <c r="D502" t="s">
        <v>438</v>
      </c>
      <c r="E502" t="s">
        <v>516</v>
      </c>
      <c r="F502" t="s">
        <v>1211</v>
      </c>
      <c r="G502" t="s">
        <v>1181</v>
      </c>
      <c r="H502" s="3">
        <v>1649</v>
      </c>
      <c r="I502">
        <v>2</v>
      </c>
      <c r="J502" t="s">
        <v>56</v>
      </c>
      <c r="K502">
        <v>37.700000000000003</v>
      </c>
      <c r="L502">
        <v>47.5</v>
      </c>
      <c r="M502">
        <v>1</v>
      </c>
      <c r="N502" t="s">
        <v>56</v>
      </c>
      <c r="O502" t="s">
        <v>1181</v>
      </c>
      <c r="P502">
        <v>84.8</v>
      </c>
      <c r="Q502">
        <v>0.3</v>
      </c>
      <c r="R502">
        <v>14.1</v>
      </c>
      <c r="S502">
        <v>0.3</v>
      </c>
      <c r="T502">
        <v>0.1</v>
      </c>
      <c r="U502">
        <v>0</v>
      </c>
      <c r="V502">
        <v>0.1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0.3</v>
      </c>
      <c r="AC502" t="s">
        <v>1181</v>
      </c>
      <c r="AD502">
        <v>50</v>
      </c>
      <c r="AE502" t="s">
        <v>1181</v>
      </c>
      <c r="AF502" s="4" t="s">
        <v>57</v>
      </c>
      <c r="AG502" s="4">
        <v>568</v>
      </c>
      <c r="AH502" s="4" t="s">
        <v>58</v>
      </c>
      <c r="AI502" s="4">
        <v>1081</v>
      </c>
      <c r="AJ502" t="s">
        <v>1181</v>
      </c>
      <c r="AK502" t="s">
        <v>56</v>
      </c>
      <c r="AL502" t="s">
        <v>1211</v>
      </c>
      <c r="AM502">
        <v>8</v>
      </c>
      <c r="AN502">
        <v>0</v>
      </c>
      <c r="AO502">
        <v>9</v>
      </c>
      <c r="AP502">
        <v>0</v>
      </c>
      <c r="AQ502" s="5">
        <v>426</v>
      </c>
      <c r="AR502">
        <v>15</v>
      </c>
      <c r="AS502">
        <v>0</v>
      </c>
      <c r="AT502">
        <v>16</v>
      </c>
      <c r="AU502">
        <v>0</v>
      </c>
      <c r="AV502" s="5">
        <v>352</v>
      </c>
      <c r="AW502" t="s">
        <v>56</v>
      </c>
      <c r="AX502" s="6">
        <v>1960</v>
      </c>
      <c r="AY502" t="s">
        <v>1181</v>
      </c>
      <c r="AZ502" t="s">
        <v>56</v>
      </c>
    </row>
    <row r="503" spans="1:52" hidden="1" x14ac:dyDescent="0.45">
      <c r="A503">
        <v>513569.02018299099</v>
      </c>
      <c r="B503">
        <v>6944326.4069109904</v>
      </c>
      <c r="C503">
        <v>502</v>
      </c>
      <c r="D503" t="s">
        <v>1212</v>
      </c>
      <c r="E503" t="s">
        <v>335</v>
      </c>
      <c r="F503" t="s">
        <v>1213</v>
      </c>
      <c r="G503" t="s">
        <v>1198</v>
      </c>
      <c r="H503" s="3">
        <v>901</v>
      </c>
      <c r="I503">
        <v>2</v>
      </c>
      <c r="J503" t="s">
        <v>56</v>
      </c>
      <c r="K503">
        <v>48.2</v>
      </c>
      <c r="L503">
        <v>55.4</v>
      </c>
      <c r="M503">
        <v>1</v>
      </c>
      <c r="N503" t="s">
        <v>56</v>
      </c>
      <c r="O503" t="s">
        <v>1198</v>
      </c>
      <c r="P503">
        <v>82.1</v>
      </c>
      <c r="Q503">
        <v>0.8</v>
      </c>
      <c r="R503">
        <v>16.600000000000001</v>
      </c>
      <c r="S503">
        <v>0.1</v>
      </c>
      <c r="T503">
        <v>0</v>
      </c>
      <c r="U503">
        <v>0</v>
      </c>
      <c r="V503">
        <v>0.1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0.3</v>
      </c>
      <c r="AC503" t="s">
        <v>1198</v>
      </c>
      <c r="AD503">
        <v>50</v>
      </c>
      <c r="AE503" t="s">
        <v>1198</v>
      </c>
      <c r="AF503" s="4" t="s">
        <v>57</v>
      </c>
      <c r="AG503" s="4">
        <v>485</v>
      </c>
      <c r="AH503" s="4" t="s">
        <v>58</v>
      </c>
      <c r="AI503" s="4">
        <v>416</v>
      </c>
      <c r="AJ503" t="s">
        <v>1198</v>
      </c>
      <c r="AK503" t="s">
        <v>56</v>
      </c>
      <c r="AL503" t="s">
        <v>1213</v>
      </c>
      <c r="AM503">
        <v>8</v>
      </c>
      <c r="AN503">
        <v>0</v>
      </c>
      <c r="AO503">
        <v>9</v>
      </c>
      <c r="AP503">
        <v>0</v>
      </c>
      <c r="AQ503" s="5">
        <v>88</v>
      </c>
      <c r="AR503">
        <v>14</v>
      </c>
      <c r="AS503">
        <v>0</v>
      </c>
      <c r="AT503">
        <v>15</v>
      </c>
      <c r="AU503">
        <v>0</v>
      </c>
      <c r="AV503" s="5">
        <v>84</v>
      </c>
      <c r="AW503" t="s">
        <v>56</v>
      </c>
      <c r="AX503" s="6">
        <v>915</v>
      </c>
      <c r="AY503" t="s">
        <v>1198</v>
      </c>
      <c r="AZ503" t="s">
        <v>56</v>
      </c>
    </row>
    <row r="504" spans="1:52" hidden="1" x14ac:dyDescent="0.45">
      <c r="A504">
        <v>513640.39995458099</v>
      </c>
      <c r="B504">
        <v>6944633.7123607704</v>
      </c>
      <c r="C504">
        <v>503</v>
      </c>
      <c r="D504" t="s">
        <v>1212</v>
      </c>
      <c r="E504" t="s">
        <v>335</v>
      </c>
      <c r="F504" t="s">
        <v>1214</v>
      </c>
      <c r="G504" t="s">
        <v>1204</v>
      </c>
      <c r="H504" s="3">
        <v>246</v>
      </c>
      <c r="I504">
        <v>2</v>
      </c>
      <c r="J504" t="s">
        <v>56</v>
      </c>
      <c r="K504">
        <v>42.3</v>
      </c>
      <c r="L504">
        <v>51.1</v>
      </c>
      <c r="M504">
        <v>1</v>
      </c>
      <c r="N504" t="s">
        <v>56</v>
      </c>
      <c r="O504" t="s">
        <v>1204</v>
      </c>
      <c r="P504">
        <v>84.9</v>
      </c>
      <c r="Q504">
        <v>1.3</v>
      </c>
      <c r="R504">
        <v>13</v>
      </c>
      <c r="S504">
        <v>0.4</v>
      </c>
      <c r="T504">
        <v>0</v>
      </c>
      <c r="U504">
        <v>0</v>
      </c>
      <c r="V504">
        <v>0.2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0.2</v>
      </c>
      <c r="AC504" t="s">
        <v>1204</v>
      </c>
      <c r="AD504">
        <v>50</v>
      </c>
      <c r="AE504" t="s">
        <v>1204</v>
      </c>
      <c r="AF504" s="4" t="s">
        <v>80</v>
      </c>
      <c r="AG504" s="4">
        <v>150</v>
      </c>
      <c r="AH504" s="4" t="s">
        <v>81</v>
      </c>
      <c r="AI504" s="4">
        <v>96</v>
      </c>
      <c r="AJ504" t="s">
        <v>1204</v>
      </c>
      <c r="AK504" t="s">
        <v>56</v>
      </c>
      <c r="AL504" t="s">
        <v>1214</v>
      </c>
      <c r="AM504">
        <v>8</v>
      </c>
      <c r="AN504">
        <v>0</v>
      </c>
      <c r="AO504">
        <v>9</v>
      </c>
      <c r="AP504">
        <v>0</v>
      </c>
      <c r="AQ504" s="5">
        <v>24</v>
      </c>
      <c r="AR504">
        <v>18</v>
      </c>
      <c r="AS504">
        <v>0</v>
      </c>
      <c r="AT504">
        <v>19</v>
      </c>
      <c r="AU504">
        <v>0</v>
      </c>
      <c r="AV504" s="5">
        <v>26</v>
      </c>
      <c r="AW504" t="s">
        <v>56</v>
      </c>
      <c r="AX504" s="6">
        <v>250</v>
      </c>
      <c r="AY504" t="s">
        <v>1204</v>
      </c>
      <c r="AZ504" t="s">
        <v>56</v>
      </c>
    </row>
    <row r="505" spans="1:52" hidden="1" x14ac:dyDescent="0.45">
      <c r="A505">
        <v>513040.64612571098</v>
      </c>
      <c r="B505">
        <v>6941888.3912974</v>
      </c>
      <c r="C505">
        <v>504</v>
      </c>
      <c r="D505" t="s">
        <v>1215</v>
      </c>
      <c r="E505" t="s">
        <v>415</v>
      </c>
      <c r="F505" t="s">
        <v>1216</v>
      </c>
      <c r="G505" t="s">
        <v>1204</v>
      </c>
      <c r="H505" s="3">
        <v>475</v>
      </c>
      <c r="I505">
        <v>2</v>
      </c>
      <c r="J505" t="s">
        <v>56</v>
      </c>
      <c r="K505">
        <v>48.2</v>
      </c>
      <c r="L505">
        <v>59.8</v>
      </c>
      <c r="M505">
        <v>1</v>
      </c>
      <c r="N505" t="s">
        <v>56</v>
      </c>
      <c r="O505" t="s">
        <v>1204</v>
      </c>
      <c r="P505">
        <v>83.9</v>
      </c>
      <c r="Q505">
        <v>1</v>
      </c>
      <c r="R505">
        <v>14.5</v>
      </c>
      <c r="S505">
        <v>0.1</v>
      </c>
      <c r="T505">
        <v>0.1</v>
      </c>
      <c r="U505">
        <v>0</v>
      </c>
      <c r="V505">
        <v>0.3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0.1</v>
      </c>
      <c r="AC505" t="s">
        <v>1204</v>
      </c>
      <c r="AD505">
        <v>50</v>
      </c>
      <c r="AE505" t="s">
        <v>1204</v>
      </c>
      <c r="AF505" s="4" t="s">
        <v>80</v>
      </c>
      <c r="AG505" s="4">
        <v>264</v>
      </c>
      <c r="AH505" s="4" t="s">
        <v>81</v>
      </c>
      <c r="AI505" s="4">
        <v>211</v>
      </c>
      <c r="AJ505" t="s">
        <v>1204</v>
      </c>
      <c r="AK505" t="s">
        <v>56</v>
      </c>
      <c r="AL505" t="s">
        <v>1216</v>
      </c>
      <c r="AM505">
        <v>8</v>
      </c>
      <c r="AN505">
        <v>0</v>
      </c>
      <c r="AO505">
        <v>9</v>
      </c>
      <c r="AP505">
        <v>0</v>
      </c>
      <c r="AQ505" s="5">
        <v>38</v>
      </c>
      <c r="AR505">
        <v>15</v>
      </c>
      <c r="AS505">
        <v>0</v>
      </c>
      <c r="AT505">
        <v>16</v>
      </c>
      <c r="AU505">
        <v>0</v>
      </c>
      <c r="AV505" s="5">
        <v>42</v>
      </c>
      <c r="AW505" t="s">
        <v>56</v>
      </c>
      <c r="AX505" s="6">
        <v>497</v>
      </c>
      <c r="AY505" t="s">
        <v>1204</v>
      </c>
      <c r="AZ505" t="s">
        <v>56</v>
      </c>
    </row>
    <row r="506" spans="1:52" hidden="1" x14ac:dyDescent="0.45">
      <c r="A506">
        <v>513240.75914465002</v>
      </c>
      <c r="B506">
        <v>6945129.6241242103</v>
      </c>
      <c r="C506">
        <v>505</v>
      </c>
      <c r="D506" t="s">
        <v>694</v>
      </c>
      <c r="E506" t="s">
        <v>335</v>
      </c>
      <c r="F506" t="s">
        <v>1217</v>
      </c>
      <c r="G506" t="s">
        <v>1204</v>
      </c>
      <c r="H506" s="3">
        <v>429</v>
      </c>
      <c r="I506">
        <v>2</v>
      </c>
      <c r="J506" t="s">
        <v>56</v>
      </c>
      <c r="K506">
        <v>47</v>
      </c>
      <c r="L506">
        <v>55.4</v>
      </c>
      <c r="M506">
        <v>1</v>
      </c>
      <c r="N506" t="s">
        <v>56</v>
      </c>
      <c r="O506" t="s">
        <v>1204</v>
      </c>
      <c r="P506">
        <v>83.3</v>
      </c>
      <c r="Q506">
        <v>0.7</v>
      </c>
      <c r="R506">
        <v>15.1</v>
      </c>
      <c r="S506">
        <v>0.3</v>
      </c>
      <c r="T506">
        <v>0.1</v>
      </c>
      <c r="U506">
        <v>0</v>
      </c>
      <c r="V506">
        <v>0.2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0.3</v>
      </c>
      <c r="AC506" t="s">
        <v>1204</v>
      </c>
      <c r="AD506">
        <v>50</v>
      </c>
      <c r="AE506" t="s">
        <v>1204</v>
      </c>
      <c r="AF506" s="4" t="s">
        <v>57</v>
      </c>
      <c r="AG506" s="4">
        <v>238</v>
      </c>
      <c r="AH506" s="4" t="s">
        <v>58</v>
      </c>
      <c r="AI506" s="4">
        <v>191</v>
      </c>
      <c r="AJ506" t="s">
        <v>1204</v>
      </c>
      <c r="AK506" t="s">
        <v>56</v>
      </c>
      <c r="AL506" t="s">
        <v>1217</v>
      </c>
      <c r="AM506">
        <v>8</v>
      </c>
      <c r="AN506">
        <v>0</v>
      </c>
      <c r="AO506">
        <v>9</v>
      </c>
      <c r="AP506">
        <v>0</v>
      </c>
      <c r="AQ506" s="5">
        <v>39</v>
      </c>
      <c r="AR506">
        <v>17</v>
      </c>
      <c r="AS506">
        <v>0</v>
      </c>
      <c r="AT506">
        <v>18</v>
      </c>
      <c r="AU506">
        <v>0</v>
      </c>
      <c r="AV506" s="5">
        <v>47</v>
      </c>
      <c r="AW506" t="s">
        <v>56</v>
      </c>
      <c r="AX506" s="6">
        <v>454</v>
      </c>
      <c r="AY506" t="s">
        <v>1204</v>
      </c>
      <c r="AZ506" t="s">
        <v>56</v>
      </c>
    </row>
    <row r="507" spans="1:52" hidden="1" x14ac:dyDescent="0.45">
      <c r="A507">
        <v>513416.13054984499</v>
      </c>
      <c r="B507">
        <v>6944985.8754213499</v>
      </c>
      <c r="C507">
        <v>506</v>
      </c>
      <c r="D507" t="s">
        <v>694</v>
      </c>
      <c r="E507" t="s">
        <v>335</v>
      </c>
      <c r="F507" t="s">
        <v>1218</v>
      </c>
      <c r="G507" t="s">
        <v>1204</v>
      </c>
      <c r="H507" s="3">
        <v>594</v>
      </c>
      <c r="I507">
        <v>2</v>
      </c>
      <c r="J507" t="s">
        <v>56</v>
      </c>
      <c r="K507">
        <v>40.200000000000003</v>
      </c>
      <c r="L507">
        <v>51.8</v>
      </c>
      <c r="M507">
        <v>1</v>
      </c>
      <c r="N507" t="s">
        <v>56</v>
      </c>
      <c r="O507" t="s">
        <v>1204</v>
      </c>
      <c r="P507">
        <v>81.900000000000006</v>
      </c>
      <c r="Q507">
        <v>0.9</v>
      </c>
      <c r="R507">
        <v>16.100000000000001</v>
      </c>
      <c r="S507">
        <v>0.4</v>
      </c>
      <c r="T507">
        <v>0.1</v>
      </c>
      <c r="U507">
        <v>0</v>
      </c>
      <c r="V507">
        <v>0.1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0.5</v>
      </c>
      <c r="AC507" t="s">
        <v>1204</v>
      </c>
      <c r="AD507">
        <v>50</v>
      </c>
      <c r="AE507" t="s">
        <v>1204</v>
      </c>
      <c r="AF507" s="4" t="s">
        <v>80</v>
      </c>
      <c r="AG507" s="4">
        <v>316</v>
      </c>
      <c r="AH507" s="4" t="s">
        <v>81</v>
      </c>
      <c r="AI507" s="4">
        <v>278</v>
      </c>
      <c r="AJ507" t="s">
        <v>1204</v>
      </c>
      <c r="AK507" t="s">
        <v>56</v>
      </c>
      <c r="AL507" t="s">
        <v>1218</v>
      </c>
      <c r="AM507">
        <v>8</v>
      </c>
      <c r="AN507">
        <v>0</v>
      </c>
      <c r="AO507">
        <v>9</v>
      </c>
      <c r="AP507">
        <v>0</v>
      </c>
      <c r="AQ507" s="5">
        <v>53</v>
      </c>
      <c r="AR507">
        <v>17</v>
      </c>
      <c r="AS507">
        <v>0</v>
      </c>
      <c r="AT507">
        <v>18</v>
      </c>
      <c r="AU507">
        <v>0</v>
      </c>
      <c r="AV507" s="5">
        <v>51</v>
      </c>
      <c r="AW507" t="s">
        <v>56</v>
      </c>
      <c r="AX507" s="6">
        <v>631</v>
      </c>
      <c r="AY507" t="s">
        <v>1204</v>
      </c>
      <c r="AZ507" t="s">
        <v>56</v>
      </c>
    </row>
    <row r="508" spans="1:52" hidden="1" x14ac:dyDescent="0.45">
      <c r="A508">
        <v>513474.53316050197</v>
      </c>
      <c r="B508">
        <v>6944800.1616127202</v>
      </c>
      <c r="C508">
        <v>507</v>
      </c>
      <c r="D508" t="s">
        <v>694</v>
      </c>
      <c r="E508" t="s">
        <v>335</v>
      </c>
      <c r="F508" t="s">
        <v>1219</v>
      </c>
      <c r="G508" t="s">
        <v>1204</v>
      </c>
      <c r="H508" s="3">
        <v>391</v>
      </c>
      <c r="I508">
        <v>2</v>
      </c>
      <c r="J508" t="s">
        <v>56</v>
      </c>
      <c r="K508">
        <v>41.7</v>
      </c>
      <c r="L508">
        <v>50</v>
      </c>
      <c r="M508">
        <v>1</v>
      </c>
      <c r="N508" t="s">
        <v>56</v>
      </c>
      <c r="O508" t="s">
        <v>1204</v>
      </c>
      <c r="P508">
        <v>79.400000000000006</v>
      </c>
      <c r="Q508">
        <v>1.2</v>
      </c>
      <c r="R508">
        <v>18.399999999999999</v>
      </c>
      <c r="S508">
        <v>0.3</v>
      </c>
      <c r="T508">
        <v>0.1</v>
      </c>
      <c r="U508">
        <v>0</v>
      </c>
      <c r="V508">
        <v>0.2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0.4</v>
      </c>
      <c r="AC508" t="s">
        <v>1204</v>
      </c>
      <c r="AD508">
        <v>50</v>
      </c>
      <c r="AE508" t="s">
        <v>1204</v>
      </c>
      <c r="AF508" s="4" t="s">
        <v>80</v>
      </c>
      <c r="AG508" s="4">
        <v>207</v>
      </c>
      <c r="AH508" s="4" t="s">
        <v>81</v>
      </c>
      <c r="AI508" s="4">
        <v>184</v>
      </c>
      <c r="AJ508" t="s">
        <v>1204</v>
      </c>
      <c r="AK508" t="s">
        <v>56</v>
      </c>
      <c r="AL508" t="s">
        <v>1219</v>
      </c>
      <c r="AM508">
        <v>8</v>
      </c>
      <c r="AN508">
        <v>0</v>
      </c>
      <c r="AO508">
        <v>9</v>
      </c>
      <c r="AP508">
        <v>0</v>
      </c>
      <c r="AQ508" s="5">
        <v>49</v>
      </c>
      <c r="AR508">
        <v>17</v>
      </c>
      <c r="AS508">
        <v>0</v>
      </c>
      <c r="AT508">
        <v>18</v>
      </c>
      <c r="AU508">
        <v>0</v>
      </c>
      <c r="AV508" s="5">
        <v>39</v>
      </c>
      <c r="AW508" t="s">
        <v>56</v>
      </c>
      <c r="AX508" s="6">
        <v>419</v>
      </c>
      <c r="AY508" t="s">
        <v>1204</v>
      </c>
      <c r="AZ508" t="s">
        <v>56</v>
      </c>
    </row>
    <row r="509" spans="1:52" hidden="1" x14ac:dyDescent="0.45">
      <c r="A509">
        <v>515601.54274908197</v>
      </c>
      <c r="B509">
        <v>6936404.2453157799</v>
      </c>
      <c r="C509">
        <v>508</v>
      </c>
      <c r="D509" t="s">
        <v>1220</v>
      </c>
      <c r="E509" t="s">
        <v>549</v>
      </c>
      <c r="F509" t="s">
        <v>1221</v>
      </c>
      <c r="G509" t="s">
        <v>1204</v>
      </c>
      <c r="H509" s="3">
        <v>733</v>
      </c>
      <c r="I509">
        <v>2</v>
      </c>
      <c r="J509" t="s">
        <v>56</v>
      </c>
      <c r="K509">
        <v>47.3</v>
      </c>
      <c r="L509">
        <v>54</v>
      </c>
      <c r="M509">
        <v>1</v>
      </c>
      <c r="N509" t="s">
        <v>56</v>
      </c>
      <c r="O509" t="s">
        <v>1204</v>
      </c>
      <c r="P509">
        <v>78.5</v>
      </c>
      <c r="Q509">
        <v>0.7</v>
      </c>
      <c r="R509">
        <v>20.2</v>
      </c>
      <c r="S509">
        <v>0.1</v>
      </c>
      <c r="T509">
        <v>0.1</v>
      </c>
      <c r="U509">
        <v>0</v>
      </c>
      <c r="V509">
        <v>0.1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0.3</v>
      </c>
      <c r="AC509" t="s">
        <v>1204</v>
      </c>
      <c r="AD509">
        <v>50</v>
      </c>
      <c r="AE509" t="s">
        <v>1204</v>
      </c>
      <c r="AF509" s="4" t="s">
        <v>80</v>
      </c>
      <c r="AG509" s="4">
        <v>375</v>
      </c>
      <c r="AH509" s="4" t="s">
        <v>81</v>
      </c>
      <c r="AI509" s="4">
        <v>358</v>
      </c>
      <c r="AJ509" t="s">
        <v>1204</v>
      </c>
      <c r="AK509" t="s">
        <v>56</v>
      </c>
      <c r="AL509" t="s">
        <v>1221</v>
      </c>
      <c r="AM509">
        <v>8</v>
      </c>
      <c r="AN509">
        <v>0</v>
      </c>
      <c r="AO509">
        <v>9</v>
      </c>
      <c r="AP509">
        <v>0</v>
      </c>
      <c r="AQ509" s="5">
        <v>70</v>
      </c>
      <c r="AR509">
        <v>15</v>
      </c>
      <c r="AS509">
        <v>0</v>
      </c>
      <c r="AT509">
        <v>16</v>
      </c>
      <c r="AU509">
        <v>0</v>
      </c>
      <c r="AV509" s="5">
        <v>89</v>
      </c>
      <c r="AW509" t="s">
        <v>56</v>
      </c>
      <c r="AX509" s="6">
        <v>803</v>
      </c>
      <c r="AY509" t="s">
        <v>1204</v>
      </c>
      <c r="AZ509" t="s">
        <v>56</v>
      </c>
    </row>
    <row r="510" spans="1:52" hidden="1" x14ac:dyDescent="0.45">
      <c r="A510">
        <v>515505.048014928</v>
      </c>
      <c r="B510">
        <v>6936506.3885743897</v>
      </c>
      <c r="C510">
        <v>509</v>
      </c>
      <c r="D510" t="s">
        <v>1220</v>
      </c>
      <c r="E510" t="s">
        <v>549</v>
      </c>
      <c r="F510" t="s">
        <v>1222</v>
      </c>
      <c r="G510" t="s">
        <v>1204</v>
      </c>
      <c r="H510" s="3">
        <v>861</v>
      </c>
      <c r="I510">
        <v>2</v>
      </c>
      <c r="J510" t="s">
        <v>56</v>
      </c>
      <c r="K510">
        <v>47</v>
      </c>
      <c r="L510">
        <v>55.1</v>
      </c>
      <c r="M510">
        <v>1</v>
      </c>
      <c r="N510" t="s">
        <v>56</v>
      </c>
      <c r="O510" t="s">
        <v>1204</v>
      </c>
      <c r="P510">
        <v>78.400000000000006</v>
      </c>
      <c r="Q510">
        <v>0.5</v>
      </c>
      <c r="R510">
        <v>20.399999999999999</v>
      </c>
      <c r="S510">
        <v>0.2</v>
      </c>
      <c r="T510">
        <v>0.1</v>
      </c>
      <c r="U510">
        <v>0.1</v>
      </c>
      <c r="V510">
        <v>0.1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0.2</v>
      </c>
      <c r="AC510" t="s">
        <v>1204</v>
      </c>
      <c r="AD510">
        <v>50</v>
      </c>
      <c r="AE510" t="s">
        <v>1204</v>
      </c>
      <c r="AF510" s="4" t="s">
        <v>57</v>
      </c>
      <c r="AG510" s="4">
        <v>421</v>
      </c>
      <c r="AH510" s="4" t="s">
        <v>58</v>
      </c>
      <c r="AI510" s="4">
        <v>440</v>
      </c>
      <c r="AJ510" t="s">
        <v>1204</v>
      </c>
      <c r="AK510" t="s">
        <v>56</v>
      </c>
      <c r="AL510" t="s">
        <v>1222</v>
      </c>
      <c r="AM510">
        <v>8</v>
      </c>
      <c r="AN510">
        <v>0</v>
      </c>
      <c r="AO510">
        <v>9</v>
      </c>
      <c r="AP510">
        <v>0</v>
      </c>
      <c r="AQ510" s="5">
        <v>85</v>
      </c>
      <c r="AR510">
        <v>17</v>
      </c>
      <c r="AS510">
        <v>0</v>
      </c>
      <c r="AT510">
        <v>18</v>
      </c>
      <c r="AU510">
        <v>0</v>
      </c>
      <c r="AV510" s="5">
        <v>109</v>
      </c>
      <c r="AW510" t="s">
        <v>56</v>
      </c>
      <c r="AX510" s="6">
        <v>919</v>
      </c>
      <c r="AY510" t="s">
        <v>1204</v>
      </c>
      <c r="AZ510" t="s">
        <v>56</v>
      </c>
    </row>
    <row r="511" spans="1:52" hidden="1" x14ac:dyDescent="0.45">
      <c r="A511">
        <v>519645.34209254902</v>
      </c>
      <c r="B511">
        <v>6935267.9637933997</v>
      </c>
      <c r="C511">
        <v>510</v>
      </c>
      <c r="D511" t="s">
        <v>1223</v>
      </c>
      <c r="E511" t="s">
        <v>590</v>
      </c>
      <c r="F511" t="s">
        <v>1224</v>
      </c>
      <c r="G511" t="s">
        <v>1225</v>
      </c>
      <c r="H511" s="3">
        <v>963</v>
      </c>
      <c r="I511">
        <v>2</v>
      </c>
      <c r="J511" t="s">
        <v>56</v>
      </c>
      <c r="K511">
        <v>50.8</v>
      </c>
      <c r="L511">
        <v>59.4</v>
      </c>
      <c r="M511">
        <v>1</v>
      </c>
      <c r="N511" t="s">
        <v>56</v>
      </c>
      <c r="O511" t="s">
        <v>1225</v>
      </c>
      <c r="P511">
        <v>75.400000000000006</v>
      </c>
      <c r="Q511">
        <v>0.8</v>
      </c>
      <c r="R511">
        <v>22.7</v>
      </c>
      <c r="S511">
        <v>0.3</v>
      </c>
      <c r="T511">
        <v>0</v>
      </c>
      <c r="U511">
        <v>0</v>
      </c>
      <c r="V511">
        <v>0.4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0.4</v>
      </c>
      <c r="AC511" t="s">
        <v>1225</v>
      </c>
      <c r="AD511">
        <v>50</v>
      </c>
      <c r="AE511" t="s">
        <v>1225</v>
      </c>
      <c r="AF511" s="4" t="s">
        <v>80</v>
      </c>
      <c r="AG511" s="4">
        <v>550</v>
      </c>
      <c r="AH511" s="4" t="s">
        <v>81</v>
      </c>
      <c r="AI511" s="4">
        <v>413</v>
      </c>
      <c r="AJ511" t="s">
        <v>1225</v>
      </c>
      <c r="AK511" t="s">
        <v>56</v>
      </c>
      <c r="AL511" t="s">
        <v>1224</v>
      </c>
      <c r="AM511">
        <v>9</v>
      </c>
      <c r="AN511">
        <v>0</v>
      </c>
      <c r="AO511">
        <v>10</v>
      </c>
      <c r="AP511">
        <v>0</v>
      </c>
      <c r="AQ511" s="5">
        <v>97</v>
      </c>
      <c r="AR511">
        <v>15</v>
      </c>
      <c r="AS511">
        <v>0</v>
      </c>
      <c r="AT511">
        <v>16</v>
      </c>
      <c r="AU511">
        <v>0</v>
      </c>
      <c r="AV511" s="5">
        <v>140</v>
      </c>
      <c r="AW511" t="s">
        <v>56</v>
      </c>
      <c r="AX511" s="6">
        <v>1028</v>
      </c>
      <c r="AY511" t="s">
        <v>1225</v>
      </c>
      <c r="AZ511" t="s">
        <v>56</v>
      </c>
    </row>
    <row r="512" spans="1:52" hidden="1" x14ac:dyDescent="0.45">
      <c r="A512">
        <v>510464.18755992799</v>
      </c>
      <c r="B512">
        <v>6934611.2830663696</v>
      </c>
      <c r="C512">
        <v>511</v>
      </c>
      <c r="D512" t="s">
        <v>1226</v>
      </c>
      <c r="E512" t="s">
        <v>972</v>
      </c>
      <c r="F512" t="s">
        <v>1227</v>
      </c>
      <c r="G512" t="s">
        <v>1225</v>
      </c>
      <c r="H512" s="3">
        <v>3653</v>
      </c>
      <c r="I512">
        <v>2</v>
      </c>
      <c r="J512" t="s">
        <v>56</v>
      </c>
      <c r="K512">
        <v>68.900000000000006</v>
      </c>
      <c r="L512">
        <v>77</v>
      </c>
      <c r="M512">
        <v>1</v>
      </c>
      <c r="N512" t="s">
        <v>56</v>
      </c>
      <c r="O512" t="s">
        <v>1225</v>
      </c>
      <c r="P512">
        <v>76.400000000000006</v>
      </c>
      <c r="Q512">
        <v>1</v>
      </c>
      <c r="R512">
        <v>20.3</v>
      </c>
      <c r="S512">
        <v>0.7</v>
      </c>
      <c r="T512">
        <v>0.1</v>
      </c>
      <c r="U512">
        <v>0</v>
      </c>
      <c r="V512">
        <v>0.8</v>
      </c>
      <c r="W512">
        <v>0.1</v>
      </c>
      <c r="X512">
        <v>0.2</v>
      </c>
      <c r="Y512">
        <v>0.1</v>
      </c>
      <c r="Z512">
        <v>0</v>
      </c>
      <c r="AA512">
        <v>0</v>
      </c>
      <c r="AB512">
        <v>0.3</v>
      </c>
      <c r="AC512" t="s">
        <v>1225</v>
      </c>
      <c r="AD512">
        <v>80</v>
      </c>
      <c r="AE512" t="s">
        <v>1225</v>
      </c>
      <c r="AF512" s="4" t="s">
        <v>57</v>
      </c>
      <c r="AG512" s="4">
        <v>1853</v>
      </c>
      <c r="AH512" s="4" t="s">
        <v>58</v>
      </c>
      <c r="AI512" s="4">
        <v>1800</v>
      </c>
      <c r="AJ512" t="s">
        <v>1225</v>
      </c>
      <c r="AK512" t="s">
        <v>56</v>
      </c>
      <c r="AL512" t="s">
        <v>1227</v>
      </c>
      <c r="AM512">
        <v>8</v>
      </c>
      <c r="AN512">
        <v>0</v>
      </c>
      <c r="AO512">
        <v>9</v>
      </c>
      <c r="AP512">
        <v>0</v>
      </c>
      <c r="AQ512" s="5">
        <v>401</v>
      </c>
      <c r="AR512">
        <v>15</v>
      </c>
      <c r="AS512">
        <v>0</v>
      </c>
      <c r="AT512">
        <v>16</v>
      </c>
      <c r="AU512">
        <v>0</v>
      </c>
      <c r="AV512" s="5">
        <v>448</v>
      </c>
      <c r="AW512" t="s">
        <v>56</v>
      </c>
      <c r="AX512" s="6">
        <v>3920</v>
      </c>
      <c r="AY512" t="s">
        <v>1225</v>
      </c>
      <c r="AZ512" t="s">
        <v>56</v>
      </c>
    </row>
    <row r="513" spans="1:52" hidden="1" x14ac:dyDescent="0.45">
      <c r="A513">
        <v>510423.92952675797</v>
      </c>
      <c r="B513">
        <v>6941126.0470800102</v>
      </c>
      <c r="C513">
        <v>512</v>
      </c>
      <c r="D513" t="s">
        <v>535</v>
      </c>
      <c r="E513" t="s">
        <v>516</v>
      </c>
      <c r="F513" t="s">
        <v>1228</v>
      </c>
      <c r="G513" t="s">
        <v>1229</v>
      </c>
      <c r="H513" s="3">
        <v>191</v>
      </c>
      <c r="I513">
        <v>2</v>
      </c>
      <c r="J513" t="s">
        <v>56</v>
      </c>
      <c r="K513">
        <v>41.8</v>
      </c>
      <c r="L513">
        <v>54</v>
      </c>
      <c r="M513">
        <v>1</v>
      </c>
      <c r="N513" t="s">
        <v>56</v>
      </c>
      <c r="O513" t="s">
        <v>1229</v>
      </c>
      <c r="P513">
        <v>84.2</v>
      </c>
      <c r="Q513">
        <v>1.2</v>
      </c>
      <c r="R513">
        <v>13.5</v>
      </c>
      <c r="S513">
        <v>0.4</v>
      </c>
      <c r="T513">
        <v>0.2</v>
      </c>
      <c r="U513">
        <v>0</v>
      </c>
      <c r="V513">
        <v>0.3</v>
      </c>
      <c r="W513">
        <v>0.1</v>
      </c>
      <c r="X513">
        <v>0</v>
      </c>
      <c r="Y513">
        <v>0</v>
      </c>
      <c r="Z513">
        <v>0</v>
      </c>
      <c r="AA513">
        <v>0</v>
      </c>
      <c r="AB513">
        <v>0.1</v>
      </c>
      <c r="AC513" t="s">
        <v>1229</v>
      </c>
      <c r="AD513">
        <v>50</v>
      </c>
      <c r="AE513" t="s">
        <v>1229</v>
      </c>
      <c r="AF513" s="4" t="s">
        <v>57</v>
      </c>
      <c r="AG513" s="4">
        <v>99</v>
      </c>
      <c r="AH513" s="4" t="s">
        <v>58</v>
      </c>
      <c r="AI513" s="4">
        <v>92</v>
      </c>
      <c r="AJ513" t="s">
        <v>1229</v>
      </c>
      <c r="AK513" t="s">
        <v>56</v>
      </c>
      <c r="AL513" t="s">
        <v>1228</v>
      </c>
      <c r="AM513">
        <v>8</v>
      </c>
      <c r="AN513">
        <v>0</v>
      </c>
      <c r="AO513">
        <v>9</v>
      </c>
      <c r="AP513">
        <v>0</v>
      </c>
      <c r="AQ513" s="5">
        <v>17</v>
      </c>
      <c r="AR513">
        <v>14</v>
      </c>
      <c r="AS513">
        <v>0</v>
      </c>
      <c r="AT513">
        <v>15</v>
      </c>
      <c r="AU513">
        <v>0</v>
      </c>
      <c r="AV513" s="5">
        <v>22</v>
      </c>
      <c r="AW513" t="s">
        <v>56</v>
      </c>
      <c r="AX513" s="6">
        <v>196</v>
      </c>
      <c r="AY513" t="s">
        <v>1229</v>
      </c>
      <c r="AZ513" t="s">
        <v>56</v>
      </c>
    </row>
    <row r="514" spans="1:52" hidden="1" x14ac:dyDescent="0.45">
      <c r="A514">
        <v>516252.05073720898</v>
      </c>
      <c r="B514">
        <v>6936083.1547104698</v>
      </c>
      <c r="C514">
        <v>513</v>
      </c>
      <c r="D514" t="s">
        <v>1230</v>
      </c>
      <c r="E514" t="s">
        <v>647</v>
      </c>
      <c r="F514" t="s">
        <v>1231</v>
      </c>
      <c r="G514" t="s">
        <v>1232</v>
      </c>
      <c r="H514" s="3">
        <v>189</v>
      </c>
      <c r="I514">
        <v>2</v>
      </c>
      <c r="J514" t="s">
        <v>56</v>
      </c>
      <c r="K514">
        <v>43.3</v>
      </c>
      <c r="L514">
        <v>50.8</v>
      </c>
      <c r="M514">
        <v>1</v>
      </c>
      <c r="N514" t="s">
        <v>56</v>
      </c>
      <c r="O514" t="s">
        <v>1232</v>
      </c>
      <c r="P514">
        <v>77.900000000000006</v>
      </c>
      <c r="Q514">
        <v>1</v>
      </c>
      <c r="R514">
        <v>20.399999999999999</v>
      </c>
      <c r="S514">
        <v>0.1</v>
      </c>
      <c r="T514">
        <v>0</v>
      </c>
      <c r="U514">
        <v>0</v>
      </c>
      <c r="V514">
        <v>0.6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 t="s">
        <v>1232</v>
      </c>
      <c r="AD514">
        <v>50</v>
      </c>
      <c r="AE514" t="s">
        <v>1232</v>
      </c>
      <c r="AF514" s="4" t="s">
        <v>80</v>
      </c>
      <c r="AG514" s="4">
        <v>94</v>
      </c>
      <c r="AH514" s="4" t="s">
        <v>81</v>
      </c>
      <c r="AI514" s="4">
        <v>95</v>
      </c>
      <c r="AJ514" t="s">
        <v>1232</v>
      </c>
      <c r="AK514" t="s">
        <v>56</v>
      </c>
      <c r="AL514" t="s">
        <v>1231</v>
      </c>
      <c r="AM514">
        <v>11</v>
      </c>
      <c r="AN514">
        <v>0</v>
      </c>
      <c r="AO514">
        <v>12</v>
      </c>
      <c r="AP514">
        <v>0</v>
      </c>
      <c r="AQ514" s="5">
        <v>22</v>
      </c>
      <c r="AR514">
        <v>16</v>
      </c>
      <c r="AS514">
        <v>0</v>
      </c>
      <c r="AT514">
        <v>17</v>
      </c>
      <c r="AU514">
        <v>0</v>
      </c>
      <c r="AV514" s="5">
        <v>22</v>
      </c>
      <c r="AW514" t="s">
        <v>56</v>
      </c>
      <c r="AX514" s="6">
        <v>187</v>
      </c>
      <c r="AY514" t="s">
        <v>1232</v>
      </c>
      <c r="AZ514" t="s">
        <v>56</v>
      </c>
    </row>
    <row r="515" spans="1:52" hidden="1" x14ac:dyDescent="0.45">
      <c r="A515">
        <v>509616.13330225</v>
      </c>
      <c r="B515">
        <v>6943031.06264883</v>
      </c>
      <c r="C515">
        <v>514</v>
      </c>
      <c r="D515" t="s">
        <v>1233</v>
      </c>
      <c r="E515" t="s">
        <v>545</v>
      </c>
      <c r="F515" t="s">
        <v>1234</v>
      </c>
      <c r="G515" t="s">
        <v>1235</v>
      </c>
      <c r="H515" s="3">
        <v>329</v>
      </c>
      <c r="I515">
        <v>2</v>
      </c>
      <c r="J515" t="s">
        <v>56</v>
      </c>
      <c r="K515">
        <v>32.1</v>
      </c>
      <c r="L515">
        <v>40</v>
      </c>
      <c r="M515">
        <v>1</v>
      </c>
      <c r="N515" t="s">
        <v>56</v>
      </c>
      <c r="O515" t="s">
        <v>1235</v>
      </c>
      <c r="P515">
        <v>88.7</v>
      </c>
      <c r="Q515">
        <v>0.5</v>
      </c>
      <c r="R515">
        <v>10</v>
      </c>
      <c r="S515">
        <v>0.6</v>
      </c>
      <c r="T515">
        <v>0</v>
      </c>
      <c r="U515">
        <v>0</v>
      </c>
      <c r="V515">
        <v>0.1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0.1</v>
      </c>
      <c r="AC515" t="s">
        <v>1235</v>
      </c>
      <c r="AD515">
        <v>50</v>
      </c>
      <c r="AE515" t="s">
        <v>1235</v>
      </c>
      <c r="AF515" s="4" t="s">
        <v>57</v>
      </c>
      <c r="AG515" s="4">
        <v>171</v>
      </c>
      <c r="AH515" s="4" t="s">
        <v>58</v>
      </c>
      <c r="AI515" s="4">
        <v>158</v>
      </c>
      <c r="AJ515" t="s">
        <v>1235</v>
      </c>
      <c r="AK515" t="s">
        <v>56</v>
      </c>
      <c r="AL515" t="s">
        <v>1234</v>
      </c>
      <c r="AM515">
        <v>10</v>
      </c>
      <c r="AN515">
        <v>0</v>
      </c>
      <c r="AO515">
        <v>11</v>
      </c>
      <c r="AP515">
        <v>0</v>
      </c>
      <c r="AQ515" s="5">
        <v>37</v>
      </c>
      <c r="AR515">
        <v>17</v>
      </c>
      <c r="AS515">
        <v>0</v>
      </c>
      <c r="AT515">
        <v>18</v>
      </c>
      <c r="AU515">
        <v>0</v>
      </c>
      <c r="AV515" s="5">
        <v>35</v>
      </c>
      <c r="AW515" t="s">
        <v>56</v>
      </c>
      <c r="AX515" s="6">
        <v>335</v>
      </c>
      <c r="AY515" t="s">
        <v>1235</v>
      </c>
      <c r="AZ515" t="s">
        <v>56</v>
      </c>
    </row>
    <row r="516" spans="1:52" hidden="1" x14ac:dyDescent="0.45">
      <c r="A516">
        <v>512580.70435744099</v>
      </c>
      <c r="B516">
        <v>6937617.0284093702</v>
      </c>
      <c r="C516">
        <v>515</v>
      </c>
      <c r="D516" t="s">
        <v>1150</v>
      </c>
      <c r="E516" t="s">
        <v>1151</v>
      </c>
      <c r="F516" t="s">
        <v>1236</v>
      </c>
      <c r="G516" t="s">
        <v>1232</v>
      </c>
      <c r="H516" s="3">
        <v>127</v>
      </c>
      <c r="I516">
        <v>2</v>
      </c>
      <c r="J516" t="s">
        <v>56</v>
      </c>
      <c r="K516">
        <v>37.1</v>
      </c>
      <c r="L516">
        <v>47.2</v>
      </c>
      <c r="M516">
        <v>1</v>
      </c>
      <c r="N516" t="s">
        <v>56</v>
      </c>
      <c r="O516" t="s">
        <v>1232</v>
      </c>
      <c r="P516">
        <v>78.099999999999994</v>
      </c>
      <c r="Q516">
        <v>0.6</v>
      </c>
      <c r="R516">
        <v>19.8</v>
      </c>
      <c r="S516">
        <v>0.8</v>
      </c>
      <c r="T516">
        <v>0</v>
      </c>
      <c r="U516">
        <v>0</v>
      </c>
      <c r="V516">
        <v>0.2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0.5</v>
      </c>
      <c r="AC516" t="s">
        <v>1232</v>
      </c>
      <c r="AD516">
        <v>50</v>
      </c>
      <c r="AE516" t="s">
        <v>1232</v>
      </c>
      <c r="AF516" s="4" t="s">
        <v>80</v>
      </c>
      <c r="AG516" s="4">
        <v>59</v>
      </c>
      <c r="AH516" s="4" t="s">
        <v>81</v>
      </c>
      <c r="AI516" s="4">
        <v>68</v>
      </c>
      <c r="AJ516" t="s">
        <v>1232</v>
      </c>
      <c r="AK516" t="s">
        <v>56</v>
      </c>
      <c r="AL516" t="s">
        <v>1236</v>
      </c>
      <c r="AM516">
        <v>11</v>
      </c>
      <c r="AN516">
        <v>0</v>
      </c>
      <c r="AO516">
        <v>12</v>
      </c>
      <c r="AP516">
        <v>0</v>
      </c>
      <c r="AQ516" s="5">
        <v>13</v>
      </c>
      <c r="AR516">
        <v>18</v>
      </c>
      <c r="AS516">
        <v>0</v>
      </c>
      <c r="AT516">
        <v>19</v>
      </c>
      <c r="AU516">
        <v>0</v>
      </c>
      <c r="AV516" s="5">
        <v>12</v>
      </c>
      <c r="AW516" t="s">
        <v>56</v>
      </c>
      <c r="AX516" s="6">
        <v>130</v>
      </c>
      <c r="AY516" t="s">
        <v>1232</v>
      </c>
      <c r="AZ516" t="s">
        <v>56</v>
      </c>
    </row>
    <row r="517" spans="1:52" hidden="1" x14ac:dyDescent="0.45">
      <c r="A517">
        <v>516526.52707382198</v>
      </c>
      <c r="B517">
        <v>6938832.22093149</v>
      </c>
      <c r="C517">
        <v>516</v>
      </c>
      <c r="D517" t="s">
        <v>1237</v>
      </c>
      <c r="E517" t="s">
        <v>420</v>
      </c>
      <c r="F517" t="s">
        <v>1238</v>
      </c>
      <c r="G517" t="s">
        <v>1232</v>
      </c>
      <c r="H517" s="3">
        <v>1327</v>
      </c>
      <c r="I517">
        <v>2</v>
      </c>
      <c r="J517" t="s">
        <v>56</v>
      </c>
      <c r="K517">
        <v>41.7</v>
      </c>
      <c r="L517">
        <v>47.2</v>
      </c>
      <c r="M517">
        <v>1</v>
      </c>
      <c r="N517" t="s">
        <v>56</v>
      </c>
      <c r="O517" t="s">
        <v>1232</v>
      </c>
      <c r="P517">
        <v>79.400000000000006</v>
      </c>
      <c r="Q517">
        <v>0.8</v>
      </c>
      <c r="R517">
        <v>19</v>
      </c>
      <c r="S517">
        <v>0.3</v>
      </c>
      <c r="T517">
        <v>0.1</v>
      </c>
      <c r="U517">
        <v>0</v>
      </c>
      <c r="V517">
        <v>0.2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0.2</v>
      </c>
      <c r="AC517" t="s">
        <v>1232</v>
      </c>
      <c r="AD517">
        <v>50</v>
      </c>
      <c r="AE517" t="s">
        <v>1232</v>
      </c>
      <c r="AF517" s="4" t="s">
        <v>57</v>
      </c>
      <c r="AG517" s="4">
        <v>680</v>
      </c>
      <c r="AH517" s="4" t="s">
        <v>58</v>
      </c>
      <c r="AI517" s="4">
        <v>647</v>
      </c>
      <c r="AJ517" t="s">
        <v>1232</v>
      </c>
      <c r="AK517" t="s">
        <v>56</v>
      </c>
      <c r="AL517" t="s">
        <v>1238</v>
      </c>
      <c r="AM517">
        <v>8</v>
      </c>
      <c r="AN517">
        <v>0</v>
      </c>
      <c r="AO517">
        <v>9</v>
      </c>
      <c r="AP517">
        <v>0</v>
      </c>
      <c r="AQ517" s="5">
        <v>161</v>
      </c>
      <c r="AR517">
        <v>17</v>
      </c>
      <c r="AS517">
        <v>0</v>
      </c>
      <c r="AT517">
        <v>18</v>
      </c>
      <c r="AU517">
        <v>0</v>
      </c>
      <c r="AV517" s="5">
        <v>130</v>
      </c>
      <c r="AW517" t="s">
        <v>56</v>
      </c>
      <c r="AX517" s="6">
        <v>1413</v>
      </c>
      <c r="AY517" t="s">
        <v>1232</v>
      </c>
      <c r="AZ517" t="s">
        <v>56</v>
      </c>
    </row>
    <row r="518" spans="1:52" hidden="1" x14ac:dyDescent="0.45">
      <c r="A518">
        <v>522249.49252403498</v>
      </c>
      <c r="B518">
        <v>6935722.5097159296</v>
      </c>
      <c r="C518">
        <v>517</v>
      </c>
      <c r="D518" t="s">
        <v>390</v>
      </c>
      <c r="E518" t="s">
        <v>586</v>
      </c>
      <c r="F518" t="s">
        <v>1239</v>
      </c>
      <c r="G518" t="s">
        <v>1240</v>
      </c>
      <c r="H518" s="3">
        <v>312</v>
      </c>
      <c r="I518">
        <v>2</v>
      </c>
      <c r="J518" t="s">
        <v>56</v>
      </c>
      <c r="K518">
        <v>46.9</v>
      </c>
      <c r="L518">
        <v>60.1</v>
      </c>
      <c r="M518">
        <v>1</v>
      </c>
      <c r="N518" t="s">
        <v>56</v>
      </c>
      <c r="O518" t="s">
        <v>1240</v>
      </c>
      <c r="P518">
        <v>74.8</v>
      </c>
      <c r="Q518">
        <v>1.2</v>
      </c>
      <c r="R518">
        <v>20.2</v>
      </c>
      <c r="S518">
        <v>1.7</v>
      </c>
      <c r="T518">
        <v>0.1</v>
      </c>
      <c r="U518">
        <v>0</v>
      </c>
      <c r="V518">
        <v>0.8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1.2</v>
      </c>
      <c r="AC518" t="s">
        <v>1240</v>
      </c>
      <c r="AD518">
        <v>50</v>
      </c>
      <c r="AE518" t="s">
        <v>1240</v>
      </c>
      <c r="AF518" s="4" t="s">
        <v>57</v>
      </c>
      <c r="AG518" s="4">
        <v>153</v>
      </c>
      <c r="AH518" s="4" t="s">
        <v>58</v>
      </c>
      <c r="AI518" s="4">
        <v>159</v>
      </c>
      <c r="AJ518" t="s">
        <v>1240</v>
      </c>
      <c r="AK518" t="s">
        <v>56</v>
      </c>
      <c r="AL518" t="s">
        <v>1239</v>
      </c>
      <c r="AM518">
        <v>8</v>
      </c>
      <c r="AN518">
        <v>0</v>
      </c>
      <c r="AO518">
        <v>9</v>
      </c>
      <c r="AP518">
        <v>0</v>
      </c>
      <c r="AQ518" s="5">
        <v>32</v>
      </c>
      <c r="AR518">
        <v>17</v>
      </c>
      <c r="AS518">
        <v>0</v>
      </c>
      <c r="AT518">
        <v>18</v>
      </c>
      <c r="AU518">
        <v>0</v>
      </c>
      <c r="AV518" s="5">
        <v>31</v>
      </c>
      <c r="AW518" t="s">
        <v>56</v>
      </c>
      <c r="AX518" s="6">
        <v>327</v>
      </c>
      <c r="AY518" t="s">
        <v>1240</v>
      </c>
      <c r="AZ518" t="s">
        <v>56</v>
      </c>
    </row>
    <row r="519" spans="1:52" hidden="1" x14ac:dyDescent="0.45">
      <c r="A519">
        <v>516079.10387074598</v>
      </c>
      <c r="B519">
        <v>6940624.3072681697</v>
      </c>
      <c r="C519">
        <v>518</v>
      </c>
      <c r="D519" t="s">
        <v>869</v>
      </c>
      <c r="E519" t="s">
        <v>866</v>
      </c>
      <c r="F519" t="s">
        <v>1241</v>
      </c>
      <c r="G519" t="s">
        <v>1240</v>
      </c>
      <c r="H519" s="3">
        <v>327</v>
      </c>
      <c r="I519">
        <v>2</v>
      </c>
      <c r="J519" t="s">
        <v>56</v>
      </c>
      <c r="K519">
        <v>48.3</v>
      </c>
      <c r="L519">
        <v>57.6</v>
      </c>
      <c r="M519">
        <v>1</v>
      </c>
      <c r="N519" t="s">
        <v>56</v>
      </c>
      <c r="O519" t="s">
        <v>1240</v>
      </c>
      <c r="P519">
        <v>74.2</v>
      </c>
      <c r="Q519">
        <v>0.5</v>
      </c>
      <c r="R519">
        <v>22.3</v>
      </c>
      <c r="S519">
        <v>1.3</v>
      </c>
      <c r="T519">
        <v>0.2</v>
      </c>
      <c r="U519">
        <v>0.1</v>
      </c>
      <c r="V519">
        <v>0.3</v>
      </c>
      <c r="W519">
        <v>0.6</v>
      </c>
      <c r="X519">
        <v>0</v>
      </c>
      <c r="Y519">
        <v>0</v>
      </c>
      <c r="Z519">
        <v>0</v>
      </c>
      <c r="AA519">
        <v>0</v>
      </c>
      <c r="AB519">
        <v>0.5</v>
      </c>
      <c r="AC519" t="s">
        <v>1240</v>
      </c>
      <c r="AD519">
        <v>50</v>
      </c>
      <c r="AE519" t="s">
        <v>1240</v>
      </c>
      <c r="AF519" s="4" t="s">
        <v>57</v>
      </c>
      <c r="AG519" s="4">
        <v>156</v>
      </c>
      <c r="AH519" s="4" t="s">
        <v>58</v>
      </c>
      <c r="AI519" s="4">
        <v>171</v>
      </c>
      <c r="AJ519" t="s">
        <v>1240</v>
      </c>
      <c r="AK519" t="s">
        <v>56</v>
      </c>
      <c r="AL519" t="s">
        <v>1241</v>
      </c>
      <c r="AM519">
        <v>8</v>
      </c>
      <c r="AN519">
        <v>0</v>
      </c>
      <c r="AO519">
        <v>9</v>
      </c>
      <c r="AP519">
        <v>0</v>
      </c>
      <c r="AQ519" s="5">
        <v>29</v>
      </c>
      <c r="AR519">
        <v>16</v>
      </c>
      <c r="AS519">
        <v>0</v>
      </c>
      <c r="AT519">
        <v>17</v>
      </c>
      <c r="AU519">
        <v>0</v>
      </c>
      <c r="AV519" s="5">
        <v>34</v>
      </c>
      <c r="AW519" t="s">
        <v>56</v>
      </c>
      <c r="AX519" s="6">
        <v>339</v>
      </c>
      <c r="AY519" t="s">
        <v>1240</v>
      </c>
      <c r="AZ519" t="s">
        <v>56</v>
      </c>
    </row>
    <row r="520" spans="1:52" hidden="1" x14ac:dyDescent="0.45">
      <c r="A520">
        <v>513020.78040327301</v>
      </c>
      <c r="B520">
        <v>6938072.3850761699</v>
      </c>
      <c r="C520">
        <v>519</v>
      </c>
      <c r="D520" t="s">
        <v>1242</v>
      </c>
      <c r="E520" t="s">
        <v>593</v>
      </c>
      <c r="F520" t="s">
        <v>1243</v>
      </c>
      <c r="G520" t="s">
        <v>1244</v>
      </c>
      <c r="H520" s="3">
        <v>3279</v>
      </c>
      <c r="I520">
        <v>2</v>
      </c>
      <c r="J520" t="s">
        <v>56</v>
      </c>
      <c r="K520">
        <v>53.7</v>
      </c>
      <c r="L520">
        <v>60.1</v>
      </c>
      <c r="M520">
        <v>1</v>
      </c>
      <c r="N520" t="s">
        <v>56</v>
      </c>
      <c r="O520" t="s">
        <v>1244</v>
      </c>
      <c r="P520">
        <v>83.5</v>
      </c>
      <c r="Q520">
        <v>0.6</v>
      </c>
      <c r="R520">
        <v>15.1</v>
      </c>
      <c r="S520">
        <v>0.4</v>
      </c>
      <c r="T520">
        <v>0</v>
      </c>
      <c r="U520">
        <v>0</v>
      </c>
      <c r="V520">
        <v>0.2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0.2</v>
      </c>
      <c r="AC520" t="s">
        <v>1244</v>
      </c>
      <c r="AD520">
        <v>60</v>
      </c>
      <c r="AE520" t="s">
        <v>1244</v>
      </c>
      <c r="AF520" s="4" t="s">
        <v>80</v>
      </c>
      <c r="AG520" s="4">
        <v>1591</v>
      </c>
      <c r="AH520" s="4" t="s">
        <v>81</v>
      </c>
      <c r="AI520" s="4">
        <v>1688</v>
      </c>
      <c r="AJ520" t="s">
        <v>1244</v>
      </c>
      <c r="AK520" t="s">
        <v>56</v>
      </c>
      <c r="AL520" t="s">
        <v>1243</v>
      </c>
      <c r="AM520">
        <v>8</v>
      </c>
      <c r="AN520">
        <v>0</v>
      </c>
      <c r="AO520">
        <v>9</v>
      </c>
      <c r="AP520">
        <v>0</v>
      </c>
      <c r="AQ520" s="5">
        <v>350</v>
      </c>
      <c r="AR520">
        <v>14</v>
      </c>
      <c r="AS520">
        <v>0</v>
      </c>
      <c r="AT520">
        <v>15</v>
      </c>
      <c r="AU520">
        <v>0</v>
      </c>
      <c r="AV520" s="5">
        <v>353</v>
      </c>
      <c r="AW520" t="s">
        <v>56</v>
      </c>
      <c r="AX520" s="6">
        <v>3511</v>
      </c>
      <c r="AY520" t="s">
        <v>1244</v>
      </c>
      <c r="AZ520" t="s">
        <v>56</v>
      </c>
    </row>
    <row r="521" spans="1:52" hidden="1" x14ac:dyDescent="0.45">
      <c r="A521">
        <v>513143.57496080903</v>
      </c>
      <c r="B521">
        <v>6937821.4689694997</v>
      </c>
      <c r="C521">
        <v>520</v>
      </c>
      <c r="D521" t="s">
        <v>1242</v>
      </c>
      <c r="E521" t="s">
        <v>593</v>
      </c>
      <c r="F521" t="s">
        <v>1245</v>
      </c>
      <c r="G521" t="s">
        <v>1244</v>
      </c>
      <c r="H521" s="3">
        <v>2679</v>
      </c>
      <c r="I521">
        <v>2</v>
      </c>
      <c r="J521" t="s">
        <v>56</v>
      </c>
      <c r="K521">
        <v>54.8</v>
      </c>
      <c r="L521">
        <v>61.2</v>
      </c>
      <c r="M521">
        <v>1</v>
      </c>
      <c r="N521" t="s">
        <v>56</v>
      </c>
      <c r="O521" t="s">
        <v>1244</v>
      </c>
      <c r="P521">
        <v>84.4</v>
      </c>
      <c r="Q521">
        <v>0.5</v>
      </c>
      <c r="R521">
        <v>13.8</v>
      </c>
      <c r="S521">
        <v>0.8</v>
      </c>
      <c r="T521">
        <v>0.1</v>
      </c>
      <c r="U521">
        <v>0</v>
      </c>
      <c r="V521">
        <v>0.3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0.1</v>
      </c>
      <c r="AC521" t="s">
        <v>1244</v>
      </c>
      <c r="AD521">
        <v>60</v>
      </c>
      <c r="AE521" t="s">
        <v>1244</v>
      </c>
      <c r="AF521" s="4" t="s">
        <v>80</v>
      </c>
      <c r="AG521" s="4">
        <v>1259</v>
      </c>
      <c r="AH521" s="4" t="s">
        <v>81</v>
      </c>
      <c r="AI521" s="4">
        <v>1420</v>
      </c>
      <c r="AJ521" t="s">
        <v>1244</v>
      </c>
      <c r="AK521" t="s">
        <v>56</v>
      </c>
      <c r="AL521" t="s">
        <v>1245</v>
      </c>
      <c r="AM521">
        <v>8</v>
      </c>
      <c r="AN521">
        <v>0</v>
      </c>
      <c r="AO521">
        <v>9</v>
      </c>
      <c r="AP521">
        <v>0</v>
      </c>
      <c r="AQ521" s="5">
        <v>333</v>
      </c>
      <c r="AR521">
        <v>14</v>
      </c>
      <c r="AS521">
        <v>0</v>
      </c>
      <c r="AT521">
        <v>15</v>
      </c>
      <c r="AU521">
        <v>0</v>
      </c>
      <c r="AV521" s="5">
        <v>310</v>
      </c>
      <c r="AW521" t="s">
        <v>56</v>
      </c>
      <c r="AX521" s="6">
        <v>2901</v>
      </c>
      <c r="AY521" t="s">
        <v>1244</v>
      </c>
      <c r="AZ521" t="s">
        <v>56</v>
      </c>
    </row>
    <row r="522" spans="1:52" hidden="1" x14ac:dyDescent="0.45">
      <c r="A522">
        <v>520967.05322973698</v>
      </c>
      <c r="B522">
        <v>6938892.72675859</v>
      </c>
      <c r="C522">
        <v>521</v>
      </c>
      <c r="D522" t="s">
        <v>1246</v>
      </c>
      <c r="E522" t="s">
        <v>950</v>
      </c>
      <c r="F522" t="s">
        <v>1247</v>
      </c>
      <c r="G522" t="s">
        <v>1244</v>
      </c>
      <c r="H522" s="3">
        <v>925</v>
      </c>
      <c r="I522">
        <v>2</v>
      </c>
      <c r="J522" t="s">
        <v>56</v>
      </c>
      <c r="K522">
        <v>40.799999999999997</v>
      </c>
      <c r="L522">
        <v>48.6</v>
      </c>
      <c r="M522">
        <v>1</v>
      </c>
      <c r="N522" t="s">
        <v>56</v>
      </c>
      <c r="O522" t="s">
        <v>1244</v>
      </c>
      <c r="P522">
        <v>81.3</v>
      </c>
      <c r="Q522">
        <v>1.4</v>
      </c>
      <c r="R522">
        <v>16.7</v>
      </c>
      <c r="S522">
        <v>0.1</v>
      </c>
      <c r="T522">
        <v>0.1</v>
      </c>
      <c r="U522">
        <v>0</v>
      </c>
      <c r="V522">
        <v>0.3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0.1</v>
      </c>
      <c r="AC522" t="s">
        <v>1244</v>
      </c>
      <c r="AD522">
        <v>40</v>
      </c>
      <c r="AE522" t="s">
        <v>1244</v>
      </c>
      <c r="AF522" s="4" t="s">
        <v>57</v>
      </c>
      <c r="AG522" s="4">
        <v>467</v>
      </c>
      <c r="AH522" s="4" t="s">
        <v>58</v>
      </c>
      <c r="AI522" s="4">
        <v>458</v>
      </c>
      <c r="AJ522" t="s">
        <v>1244</v>
      </c>
      <c r="AK522" t="s">
        <v>56</v>
      </c>
      <c r="AL522" t="s">
        <v>1247</v>
      </c>
      <c r="AM522">
        <v>9</v>
      </c>
      <c r="AN522">
        <v>0</v>
      </c>
      <c r="AO522">
        <v>10</v>
      </c>
      <c r="AP522">
        <v>0</v>
      </c>
      <c r="AQ522" s="5">
        <v>76</v>
      </c>
      <c r="AR522">
        <v>18</v>
      </c>
      <c r="AS522">
        <v>0</v>
      </c>
      <c r="AT522">
        <v>19</v>
      </c>
      <c r="AU522">
        <v>0</v>
      </c>
      <c r="AV522" s="5">
        <v>128</v>
      </c>
      <c r="AW522" t="s">
        <v>56</v>
      </c>
      <c r="AX522" s="6">
        <v>934</v>
      </c>
      <c r="AY522" t="s">
        <v>1244</v>
      </c>
      <c r="AZ522" t="s">
        <v>56</v>
      </c>
    </row>
    <row r="523" spans="1:52" hidden="1" x14ac:dyDescent="0.45">
      <c r="A523">
        <v>505268.68323576503</v>
      </c>
      <c r="B523">
        <v>6921851.0041639004</v>
      </c>
      <c r="C523">
        <v>522</v>
      </c>
      <c r="D523" t="s">
        <v>1248</v>
      </c>
      <c r="E523" t="s">
        <v>426</v>
      </c>
      <c r="F523" t="s">
        <v>1249</v>
      </c>
      <c r="G523" t="s">
        <v>1244</v>
      </c>
      <c r="H523" s="3">
        <v>3029</v>
      </c>
      <c r="I523">
        <v>2</v>
      </c>
      <c r="J523" t="s">
        <v>56</v>
      </c>
      <c r="K523">
        <v>85.2</v>
      </c>
      <c r="L523">
        <v>93.6</v>
      </c>
      <c r="M523">
        <v>1</v>
      </c>
      <c r="N523" t="s">
        <v>56</v>
      </c>
      <c r="O523" t="s">
        <v>1244</v>
      </c>
      <c r="P523">
        <v>70.900000000000006</v>
      </c>
      <c r="Q523">
        <v>1.8</v>
      </c>
      <c r="R523">
        <v>25.5</v>
      </c>
      <c r="S523">
        <v>0.4</v>
      </c>
      <c r="T523">
        <v>0</v>
      </c>
      <c r="U523">
        <v>0</v>
      </c>
      <c r="V523">
        <v>0.8</v>
      </c>
      <c r="W523">
        <v>0.1</v>
      </c>
      <c r="X523">
        <v>0.1</v>
      </c>
      <c r="Y523">
        <v>0.1</v>
      </c>
      <c r="Z523">
        <v>0</v>
      </c>
      <c r="AA523">
        <v>0</v>
      </c>
      <c r="AB523">
        <v>0.3</v>
      </c>
      <c r="AC523" t="s">
        <v>1244</v>
      </c>
      <c r="AD523">
        <v>80</v>
      </c>
      <c r="AE523" t="s">
        <v>1244</v>
      </c>
      <c r="AF523" s="4" t="s">
        <v>80</v>
      </c>
      <c r="AG523" s="4">
        <v>1527</v>
      </c>
      <c r="AH523" s="4" t="s">
        <v>81</v>
      </c>
      <c r="AI523" s="4">
        <v>1502</v>
      </c>
      <c r="AJ523" t="s">
        <v>1244</v>
      </c>
      <c r="AK523" t="s">
        <v>56</v>
      </c>
      <c r="AL523" t="s">
        <v>1249</v>
      </c>
      <c r="AM523">
        <v>8</v>
      </c>
      <c r="AN523">
        <v>0</v>
      </c>
      <c r="AO523">
        <v>9</v>
      </c>
      <c r="AP523">
        <v>0</v>
      </c>
      <c r="AQ523" s="5">
        <v>375</v>
      </c>
      <c r="AR523">
        <v>15</v>
      </c>
      <c r="AS523">
        <v>0</v>
      </c>
      <c r="AT523">
        <v>16</v>
      </c>
      <c r="AU523">
        <v>0</v>
      </c>
      <c r="AV523" s="5">
        <v>400</v>
      </c>
      <c r="AW523" t="s">
        <v>56</v>
      </c>
      <c r="AX523" s="6">
        <v>3280</v>
      </c>
      <c r="AY523" t="s">
        <v>1244</v>
      </c>
      <c r="AZ523" t="s">
        <v>56</v>
      </c>
    </row>
    <row r="524" spans="1:52" hidden="1" x14ac:dyDescent="0.45">
      <c r="A524">
        <v>519240.88357567601</v>
      </c>
      <c r="B524">
        <v>6940845.8027673699</v>
      </c>
      <c r="C524">
        <v>523</v>
      </c>
      <c r="D524" t="s">
        <v>1250</v>
      </c>
      <c r="E524" t="s">
        <v>950</v>
      </c>
      <c r="F524" t="s">
        <v>1251</v>
      </c>
      <c r="G524" t="s">
        <v>1244</v>
      </c>
      <c r="H524" s="3">
        <v>2187</v>
      </c>
      <c r="I524">
        <v>2</v>
      </c>
      <c r="J524" t="s">
        <v>56</v>
      </c>
      <c r="K524">
        <v>41.8</v>
      </c>
      <c r="L524">
        <v>48.2</v>
      </c>
      <c r="M524">
        <v>1</v>
      </c>
      <c r="N524" t="s">
        <v>56</v>
      </c>
      <c r="O524" t="s">
        <v>1244</v>
      </c>
      <c r="P524">
        <v>82.3</v>
      </c>
      <c r="Q524">
        <v>1.1000000000000001</v>
      </c>
      <c r="R524">
        <v>16</v>
      </c>
      <c r="S524">
        <v>0.2</v>
      </c>
      <c r="T524">
        <v>0</v>
      </c>
      <c r="U524">
        <v>0</v>
      </c>
      <c r="V524">
        <v>0.2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0.2</v>
      </c>
      <c r="AC524" t="s">
        <v>1244</v>
      </c>
      <c r="AD524">
        <v>50</v>
      </c>
      <c r="AE524" t="s">
        <v>1244</v>
      </c>
      <c r="AH524" s="4" t="s">
        <v>58</v>
      </c>
      <c r="AI524" s="4">
        <v>2187</v>
      </c>
      <c r="AJ524" t="s">
        <v>1244</v>
      </c>
      <c r="AK524" t="s">
        <v>56</v>
      </c>
      <c r="AL524" t="s">
        <v>1251</v>
      </c>
      <c r="AM524">
        <v>8</v>
      </c>
      <c r="AN524">
        <v>0</v>
      </c>
      <c r="AO524">
        <v>9</v>
      </c>
      <c r="AP524">
        <v>0</v>
      </c>
      <c r="AQ524" s="5">
        <v>410</v>
      </c>
      <c r="AR524">
        <v>15</v>
      </c>
      <c r="AS524">
        <v>0</v>
      </c>
      <c r="AT524">
        <v>16</v>
      </c>
      <c r="AU524">
        <v>0</v>
      </c>
      <c r="AV524" s="5">
        <v>264</v>
      </c>
      <c r="AW524" t="s">
        <v>56</v>
      </c>
      <c r="AX524" s="6">
        <v>2406</v>
      </c>
      <c r="AY524" t="s">
        <v>1244</v>
      </c>
      <c r="AZ524" t="s">
        <v>56</v>
      </c>
    </row>
    <row r="525" spans="1:52" hidden="1" x14ac:dyDescent="0.45">
      <c r="A525">
        <v>519252.82709910203</v>
      </c>
      <c r="B525">
        <v>6940851.4331692103</v>
      </c>
      <c r="C525">
        <v>524</v>
      </c>
      <c r="D525" t="s">
        <v>1250</v>
      </c>
      <c r="E525" t="s">
        <v>950</v>
      </c>
      <c r="F525" t="s">
        <v>1251</v>
      </c>
      <c r="G525" t="s">
        <v>1244</v>
      </c>
      <c r="H525" s="3">
        <v>1893</v>
      </c>
      <c r="I525">
        <v>2</v>
      </c>
      <c r="J525" t="s">
        <v>56</v>
      </c>
      <c r="K525">
        <v>49.5</v>
      </c>
      <c r="L525">
        <v>56.2</v>
      </c>
      <c r="M525">
        <v>1</v>
      </c>
      <c r="N525" t="s">
        <v>56</v>
      </c>
      <c r="O525" t="s">
        <v>1244</v>
      </c>
      <c r="P525">
        <v>79.599999999999994</v>
      </c>
      <c r="Q525">
        <v>1.4</v>
      </c>
      <c r="R525">
        <v>18.100000000000001</v>
      </c>
      <c r="S525">
        <v>0.4</v>
      </c>
      <c r="T525">
        <v>0</v>
      </c>
      <c r="U525">
        <v>0</v>
      </c>
      <c r="V525">
        <v>0.3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0.2</v>
      </c>
      <c r="AC525" t="s">
        <v>1244</v>
      </c>
      <c r="AD525">
        <v>50</v>
      </c>
      <c r="AE525" t="s">
        <v>1244</v>
      </c>
      <c r="AF525" s="4" t="s">
        <v>57</v>
      </c>
      <c r="AG525" s="4">
        <v>1893</v>
      </c>
      <c r="AJ525" t="s">
        <v>1244</v>
      </c>
      <c r="AK525" t="s">
        <v>56</v>
      </c>
      <c r="AL525" t="s">
        <v>1251</v>
      </c>
      <c r="AM525">
        <v>8</v>
      </c>
      <c r="AN525">
        <v>0</v>
      </c>
      <c r="AO525">
        <v>9</v>
      </c>
      <c r="AP525">
        <v>0</v>
      </c>
      <c r="AQ525" s="5">
        <v>230</v>
      </c>
      <c r="AR525">
        <v>15</v>
      </c>
      <c r="AS525">
        <v>0</v>
      </c>
      <c r="AT525">
        <v>16</v>
      </c>
      <c r="AU525">
        <v>0</v>
      </c>
      <c r="AV525" s="5">
        <v>291</v>
      </c>
      <c r="AW525" t="s">
        <v>56</v>
      </c>
      <c r="AX525" s="6">
        <v>2046</v>
      </c>
      <c r="AY525" t="s">
        <v>1244</v>
      </c>
      <c r="AZ525" t="s">
        <v>56</v>
      </c>
    </row>
    <row r="526" spans="1:52" hidden="1" x14ac:dyDescent="0.45">
      <c r="A526">
        <v>517480.426717347</v>
      </c>
      <c r="B526">
        <v>6935663.4006888503</v>
      </c>
      <c r="C526">
        <v>525</v>
      </c>
      <c r="D526" t="s">
        <v>1252</v>
      </c>
      <c r="E526" t="s">
        <v>640</v>
      </c>
      <c r="F526" t="s">
        <v>1253</v>
      </c>
      <c r="G526" t="s">
        <v>1244</v>
      </c>
      <c r="H526" s="3">
        <v>656</v>
      </c>
      <c r="I526">
        <v>2</v>
      </c>
      <c r="J526" t="s">
        <v>56</v>
      </c>
      <c r="K526">
        <v>41.4</v>
      </c>
      <c r="L526">
        <v>50.8</v>
      </c>
      <c r="M526">
        <v>1</v>
      </c>
      <c r="N526" t="s">
        <v>56</v>
      </c>
      <c r="O526" t="s">
        <v>1244</v>
      </c>
      <c r="P526">
        <v>84.4</v>
      </c>
      <c r="Q526">
        <v>1</v>
      </c>
      <c r="R526">
        <v>14.1</v>
      </c>
      <c r="S526">
        <v>0.2</v>
      </c>
      <c r="T526">
        <v>0.1</v>
      </c>
      <c r="U526">
        <v>0</v>
      </c>
      <c r="V526">
        <v>0.1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0.1</v>
      </c>
      <c r="AC526" t="s">
        <v>1244</v>
      </c>
      <c r="AD526">
        <v>50</v>
      </c>
      <c r="AE526" t="s">
        <v>1244</v>
      </c>
      <c r="AF526" s="4" t="s">
        <v>80</v>
      </c>
      <c r="AG526" s="4">
        <v>321</v>
      </c>
      <c r="AH526" s="4" t="s">
        <v>81</v>
      </c>
      <c r="AI526" s="4">
        <v>335</v>
      </c>
      <c r="AJ526" t="s">
        <v>1244</v>
      </c>
      <c r="AK526" t="s">
        <v>56</v>
      </c>
      <c r="AL526" t="s">
        <v>1253</v>
      </c>
      <c r="AM526">
        <v>8</v>
      </c>
      <c r="AN526">
        <v>0</v>
      </c>
      <c r="AO526">
        <v>9</v>
      </c>
      <c r="AP526">
        <v>0</v>
      </c>
      <c r="AQ526" s="5">
        <v>55</v>
      </c>
      <c r="AR526">
        <v>17</v>
      </c>
      <c r="AS526">
        <v>0</v>
      </c>
      <c r="AT526">
        <v>18</v>
      </c>
      <c r="AU526">
        <v>0</v>
      </c>
      <c r="AV526" s="5">
        <v>85</v>
      </c>
      <c r="AW526" t="s">
        <v>56</v>
      </c>
      <c r="AX526" s="6">
        <v>675</v>
      </c>
      <c r="AY526" t="s">
        <v>1244</v>
      </c>
      <c r="AZ526" t="s">
        <v>56</v>
      </c>
    </row>
    <row r="527" spans="1:52" hidden="1" x14ac:dyDescent="0.45">
      <c r="A527">
        <v>517581.27055578999</v>
      </c>
      <c r="B527">
        <v>6935789.4232326197</v>
      </c>
      <c r="C527">
        <v>526</v>
      </c>
      <c r="D527" t="s">
        <v>1252</v>
      </c>
      <c r="E527" t="s">
        <v>640</v>
      </c>
      <c r="F527" t="s">
        <v>1254</v>
      </c>
      <c r="G527" t="s">
        <v>1244</v>
      </c>
      <c r="H527" s="3">
        <v>139</v>
      </c>
      <c r="I527">
        <v>2</v>
      </c>
      <c r="J527" t="s">
        <v>56</v>
      </c>
      <c r="K527">
        <v>39.4</v>
      </c>
      <c r="L527">
        <v>49.3</v>
      </c>
      <c r="M527">
        <v>1</v>
      </c>
      <c r="N527" t="s">
        <v>56</v>
      </c>
      <c r="O527" t="s">
        <v>1244</v>
      </c>
      <c r="P527">
        <v>91.9</v>
      </c>
      <c r="Q527">
        <v>0.2</v>
      </c>
      <c r="R527">
        <v>7.3</v>
      </c>
      <c r="S527">
        <v>0.2</v>
      </c>
      <c r="T527">
        <v>0</v>
      </c>
      <c r="U527">
        <v>0</v>
      </c>
      <c r="V527">
        <v>0.4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 t="s">
        <v>1244</v>
      </c>
      <c r="AD527">
        <v>50</v>
      </c>
      <c r="AE527" t="s">
        <v>1244</v>
      </c>
      <c r="AF527" s="4" t="s">
        <v>80</v>
      </c>
      <c r="AG527" s="4">
        <v>61</v>
      </c>
      <c r="AH527" s="4" t="s">
        <v>81</v>
      </c>
      <c r="AI527" s="4">
        <v>78</v>
      </c>
      <c r="AJ527" t="s">
        <v>1244</v>
      </c>
      <c r="AK527" t="s">
        <v>56</v>
      </c>
      <c r="AL527" t="s">
        <v>1254</v>
      </c>
      <c r="AM527">
        <v>11</v>
      </c>
      <c r="AN527">
        <v>0</v>
      </c>
      <c r="AO527">
        <v>12</v>
      </c>
      <c r="AP527">
        <v>0</v>
      </c>
      <c r="AQ527" s="5">
        <v>10</v>
      </c>
      <c r="AR527">
        <v>13</v>
      </c>
      <c r="AS527">
        <v>0</v>
      </c>
      <c r="AT527">
        <v>14</v>
      </c>
      <c r="AU527">
        <v>0</v>
      </c>
      <c r="AV527" s="5">
        <v>19</v>
      </c>
      <c r="AW527" t="s">
        <v>56</v>
      </c>
      <c r="AX527" s="6">
        <v>144</v>
      </c>
      <c r="AY527" t="s">
        <v>1244</v>
      </c>
      <c r="AZ527" t="s">
        <v>56</v>
      </c>
    </row>
    <row r="528" spans="1:52" hidden="1" x14ac:dyDescent="0.45">
      <c r="A528">
        <v>512250.51706141699</v>
      </c>
      <c r="B528">
        <v>6942562.5804696102</v>
      </c>
      <c r="C528">
        <v>527</v>
      </c>
      <c r="D528" t="s">
        <v>1255</v>
      </c>
      <c r="E528" t="s">
        <v>415</v>
      </c>
      <c r="F528" t="s">
        <v>1256</v>
      </c>
      <c r="G528" t="s">
        <v>1257</v>
      </c>
      <c r="H528" s="3">
        <v>431</v>
      </c>
      <c r="I528">
        <v>2</v>
      </c>
      <c r="J528" t="s">
        <v>56</v>
      </c>
      <c r="K528">
        <v>44.5</v>
      </c>
      <c r="L528">
        <v>55.4</v>
      </c>
      <c r="M528">
        <v>1</v>
      </c>
      <c r="N528" t="s">
        <v>56</v>
      </c>
      <c r="O528" t="s">
        <v>1257</v>
      </c>
      <c r="P528">
        <v>78.900000000000006</v>
      </c>
      <c r="Q528">
        <v>1.3</v>
      </c>
      <c r="R528">
        <v>18</v>
      </c>
      <c r="S528">
        <v>0.4</v>
      </c>
      <c r="T528">
        <v>0.4</v>
      </c>
      <c r="U528">
        <v>0</v>
      </c>
      <c r="V528">
        <v>0.5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0.5</v>
      </c>
      <c r="AC528" t="s">
        <v>1257</v>
      </c>
      <c r="AD528">
        <v>50</v>
      </c>
      <c r="AE528" t="s">
        <v>1257</v>
      </c>
      <c r="AF528" s="4" t="s">
        <v>57</v>
      </c>
      <c r="AG528" s="4">
        <v>216</v>
      </c>
      <c r="AH528" s="4" t="s">
        <v>58</v>
      </c>
      <c r="AI528" s="4">
        <v>215</v>
      </c>
      <c r="AJ528" t="s">
        <v>1257</v>
      </c>
      <c r="AK528" t="s">
        <v>56</v>
      </c>
      <c r="AL528" t="s">
        <v>1256</v>
      </c>
      <c r="AM528">
        <v>10</v>
      </c>
      <c r="AN528">
        <v>0</v>
      </c>
      <c r="AO528">
        <v>11</v>
      </c>
      <c r="AP528">
        <v>0</v>
      </c>
      <c r="AQ528" s="5">
        <v>33</v>
      </c>
      <c r="AR528">
        <v>14</v>
      </c>
      <c r="AS528">
        <v>0</v>
      </c>
      <c r="AT528">
        <v>15</v>
      </c>
      <c r="AU528">
        <v>0</v>
      </c>
      <c r="AV528" s="5">
        <v>44</v>
      </c>
      <c r="AW528" t="s">
        <v>56</v>
      </c>
      <c r="AX528" s="6">
        <v>432</v>
      </c>
      <c r="AY528" t="s">
        <v>1257</v>
      </c>
      <c r="AZ528" t="s">
        <v>56</v>
      </c>
    </row>
    <row r="529" spans="1:52" hidden="1" x14ac:dyDescent="0.45">
      <c r="A529">
        <v>513539.30328540597</v>
      </c>
      <c r="B529">
        <v>6939250.7465793397</v>
      </c>
      <c r="C529">
        <v>528</v>
      </c>
      <c r="D529" t="s">
        <v>1258</v>
      </c>
      <c r="E529" t="s">
        <v>593</v>
      </c>
      <c r="F529" t="s">
        <v>1259</v>
      </c>
      <c r="G529" t="s">
        <v>1260</v>
      </c>
      <c r="H529" s="3">
        <v>7729</v>
      </c>
      <c r="I529">
        <v>2</v>
      </c>
      <c r="J529" t="s">
        <v>56</v>
      </c>
      <c r="K529">
        <v>47.8</v>
      </c>
      <c r="L529">
        <v>54.4</v>
      </c>
      <c r="M529">
        <v>1</v>
      </c>
      <c r="N529" t="s">
        <v>56</v>
      </c>
      <c r="O529" t="s">
        <v>1260</v>
      </c>
      <c r="P529">
        <v>85.7</v>
      </c>
      <c r="Q529">
        <v>0.5</v>
      </c>
      <c r="R529">
        <v>12.6</v>
      </c>
      <c r="S529">
        <v>0.4</v>
      </c>
      <c r="T529">
        <v>0.1</v>
      </c>
      <c r="U529">
        <v>0.1</v>
      </c>
      <c r="V529">
        <v>0.3</v>
      </c>
      <c r="W529">
        <v>0</v>
      </c>
      <c r="X529">
        <v>0.1</v>
      </c>
      <c r="Y529">
        <v>0</v>
      </c>
      <c r="Z529">
        <v>0</v>
      </c>
      <c r="AA529">
        <v>0</v>
      </c>
      <c r="AB529">
        <v>0.2</v>
      </c>
      <c r="AC529" t="s">
        <v>1260</v>
      </c>
      <c r="AD529">
        <v>60</v>
      </c>
      <c r="AE529" t="s">
        <v>1260</v>
      </c>
      <c r="AF529" s="4" t="s">
        <v>57</v>
      </c>
      <c r="AG529" s="4">
        <v>3660</v>
      </c>
      <c r="AH529" s="4" t="s">
        <v>58</v>
      </c>
      <c r="AI529" s="4">
        <v>4069</v>
      </c>
      <c r="AJ529" t="s">
        <v>1260</v>
      </c>
      <c r="AK529" t="s">
        <v>56</v>
      </c>
      <c r="AL529" t="s">
        <v>1259</v>
      </c>
      <c r="AM529">
        <v>8</v>
      </c>
      <c r="AN529">
        <v>0</v>
      </c>
      <c r="AO529">
        <v>9</v>
      </c>
      <c r="AP529">
        <v>0</v>
      </c>
      <c r="AQ529" s="5">
        <v>752</v>
      </c>
      <c r="AR529">
        <v>15</v>
      </c>
      <c r="AS529">
        <v>0</v>
      </c>
      <c r="AT529">
        <v>16</v>
      </c>
      <c r="AU529">
        <v>0</v>
      </c>
      <c r="AV529" s="5">
        <v>737</v>
      </c>
      <c r="AW529" t="s">
        <v>56</v>
      </c>
      <c r="AX529" s="6">
        <v>8693</v>
      </c>
      <c r="AY529" t="s">
        <v>1260</v>
      </c>
      <c r="AZ529" t="s">
        <v>56</v>
      </c>
    </row>
    <row r="530" spans="1:52" hidden="1" x14ac:dyDescent="0.45">
      <c r="A530">
        <v>513740.12019201601</v>
      </c>
      <c r="B530">
        <v>6939187.0501560597</v>
      </c>
      <c r="C530">
        <v>529</v>
      </c>
      <c r="D530" t="s">
        <v>1258</v>
      </c>
      <c r="E530" t="s">
        <v>593</v>
      </c>
      <c r="F530" t="s">
        <v>1261</v>
      </c>
      <c r="G530" t="s">
        <v>1262</v>
      </c>
      <c r="H530" s="3">
        <v>4894</v>
      </c>
      <c r="I530">
        <v>2</v>
      </c>
      <c r="J530" t="s">
        <v>56</v>
      </c>
      <c r="K530">
        <v>41.1</v>
      </c>
      <c r="L530">
        <v>45.4</v>
      </c>
      <c r="M530">
        <v>1</v>
      </c>
      <c r="N530" t="s">
        <v>56</v>
      </c>
      <c r="O530" t="s">
        <v>1262</v>
      </c>
      <c r="P530">
        <v>87.1</v>
      </c>
      <c r="Q530">
        <v>0.8</v>
      </c>
      <c r="R530">
        <v>9.6</v>
      </c>
      <c r="S530">
        <v>1.2</v>
      </c>
      <c r="T530">
        <v>0.2</v>
      </c>
      <c r="U530">
        <v>0.1</v>
      </c>
      <c r="V530">
        <v>0.1</v>
      </c>
      <c r="W530">
        <v>0</v>
      </c>
      <c r="X530">
        <v>0.1</v>
      </c>
      <c r="Y530">
        <v>0</v>
      </c>
      <c r="Z530">
        <v>0</v>
      </c>
      <c r="AA530">
        <v>0</v>
      </c>
      <c r="AB530">
        <v>0.8</v>
      </c>
      <c r="AC530" t="s">
        <v>1262</v>
      </c>
      <c r="AD530">
        <v>60</v>
      </c>
      <c r="AE530" t="s">
        <v>1262</v>
      </c>
      <c r="AF530" s="4" t="s">
        <v>57</v>
      </c>
      <c r="AG530" s="4">
        <v>1283</v>
      </c>
      <c r="AH530" s="4" t="s">
        <v>58</v>
      </c>
      <c r="AI530" s="4">
        <v>3611</v>
      </c>
      <c r="AJ530" t="s">
        <v>1262</v>
      </c>
      <c r="AK530" t="s">
        <v>56</v>
      </c>
      <c r="AL530" t="s">
        <v>1261</v>
      </c>
      <c r="AM530">
        <v>8</v>
      </c>
      <c r="AN530">
        <v>0</v>
      </c>
      <c r="AO530">
        <v>9</v>
      </c>
      <c r="AP530">
        <v>0</v>
      </c>
      <c r="AQ530" s="5">
        <v>531</v>
      </c>
      <c r="AR530">
        <v>14</v>
      </c>
      <c r="AS530">
        <v>0</v>
      </c>
      <c r="AT530">
        <v>15</v>
      </c>
      <c r="AU530">
        <v>0</v>
      </c>
      <c r="AV530" s="5">
        <v>555</v>
      </c>
      <c r="AW530" t="s">
        <v>56</v>
      </c>
      <c r="AX530" s="6">
        <v>5379</v>
      </c>
      <c r="AY530" t="s">
        <v>1262</v>
      </c>
      <c r="AZ530" t="s">
        <v>56</v>
      </c>
    </row>
    <row r="531" spans="1:52" hidden="1" x14ac:dyDescent="0.45">
      <c r="A531">
        <v>509139.46337583999</v>
      </c>
      <c r="B531">
        <v>6938838.0194049701</v>
      </c>
      <c r="C531">
        <v>530</v>
      </c>
      <c r="D531" t="s">
        <v>1263</v>
      </c>
      <c r="E531" t="s">
        <v>452</v>
      </c>
      <c r="F531" t="s">
        <v>1264</v>
      </c>
      <c r="G531" t="s">
        <v>1265</v>
      </c>
      <c r="H531" s="3">
        <v>3519</v>
      </c>
      <c r="I531">
        <v>2</v>
      </c>
      <c r="J531" t="s">
        <v>56</v>
      </c>
      <c r="K531">
        <v>50.9</v>
      </c>
      <c r="L531">
        <v>60.1</v>
      </c>
      <c r="M531">
        <v>1</v>
      </c>
      <c r="N531" t="s">
        <v>56</v>
      </c>
      <c r="O531" t="s">
        <v>1265</v>
      </c>
      <c r="P531">
        <v>87.8</v>
      </c>
      <c r="Q531">
        <v>0.4</v>
      </c>
      <c r="R531">
        <v>11.3</v>
      </c>
      <c r="S531">
        <v>0.2</v>
      </c>
      <c r="T531">
        <v>0</v>
      </c>
      <c r="U531">
        <v>0</v>
      </c>
      <c r="V531">
        <v>0.1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0.2</v>
      </c>
      <c r="AC531" t="s">
        <v>1265</v>
      </c>
      <c r="AD531">
        <v>50</v>
      </c>
      <c r="AE531" t="s">
        <v>1265</v>
      </c>
      <c r="AF531" s="4" t="s">
        <v>57</v>
      </c>
      <c r="AG531" s="4">
        <v>1716</v>
      </c>
      <c r="AH531" s="4" t="s">
        <v>58</v>
      </c>
      <c r="AI531" s="4">
        <v>1803</v>
      </c>
      <c r="AJ531" t="s">
        <v>1265</v>
      </c>
      <c r="AK531" t="s">
        <v>56</v>
      </c>
      <c r="AL531" t="s">
        <v>1264</v>
      </c>
      <c r="AM531">
        <v>8</v>
      </c>
      <c r="AN531">
        <v>0</v>
      </c>
      <c r="AO531">
        <v>9</v>
      </c>
      <c r="AP531">
        <v>0</v>
      </c>
      <c r="AQ531" s="5">
        <v>453</v>
      </c>
      <c r="AR531">
        <v>15</v>
      </c>
      <c r="AS531">
        <v>0</v>
      </c>
      <c r="AT531">
        <v>16</v>
      </c>
      <c r="AU531">
        <v>0</v>
      </c>
      <c r="AV531" s="5">
        <v>438</v>
      </c>
      <c r="AW531" t="s">
        <v>56</v>
      </c>
      <c r="AX531" s="6">
        <v>3773</v>
      </c>
      <c r="AY531" t="s">
        <v>1265</v>
      </c>
      <c r="AZ531" t="s">
        <v>56</v>
      </c>
    </row>
    <row r="532" spans="1:52" hidden="1" x14ac:dyDescent="0.45">
      <c r="A532">
        <v>513780.31761112501</v>
      </c>
      <c r="B532">
        <v>6939065.2682602098</v>
      </c>
      <c r="C532">
        <v>531</v>
      </c>
      <c r="D532" t="s">
        <v>1266</v>
      </c>
      <c r="E532" t="s">
        <v>593</v>
      </c>
      <c r="F532" t="s">
        <v>1267</v>
      </c>
      <c r="G532" t="s">
        <v>1260</v>
      </c>
      <c r="H532" s="3">
        <v>3927</v>
      </c>
      <c r="I532">
        <v>2</v>
      </c>
      <c r="J532" t="s">
        <v>56</v>
      </c>
      <c r="K532">
        <v>46.2</v>
      </c>
      <c r="L532">
        <v>51.8</v>
      </c>
      <c r="M532">
        <v>1</v>
      </c>
      <c r="N532" t="s">
        <v>56</v>
      </c>
      <c r="O532" t="s">
        <v>1260</v>
      </c>
      <c r="P532">
        <v>84.8</v>
      </c>
      <c r="Q532">
        <v>0.5</v>
      </c>
      <c r="R532">
        <v>13.7</v>
      </c>
      <c r="S532">
        <v>0.4</v>
      </c>
      <c r="T532">
        <v>0.1</v>
      </c>
      <c r="U532">
        <v>0</v>
      </c>
      <c r="V532">
        <v>0.3</v>
      </c>
      <c r="W532">
        <v>0</v>
      </c>
      <c r="X532">
        <v>0.1</v>
      </c>
      <c r="Y532">
        <v>0</v>
      </c>
      <c r="Z532">
        <v>0</v>
      </c>
      <c r="AA532">
        <v>0</v>
      </c>
      <c r="AB532">
        <v>0.1</v>
      </c>
      <c r="AC532" t="s">
        <v>1260</v>
      </c>
      <c r="AD532">
        <v>60</v>
      </c>
      <c r="AE532" t="s">
        <v>1260</v>
      </c>
      <c r="AF532" s="4" t="s">
        <v>80</v>
      </c>
      <c r="AG532" s="4">
        <v>3150</v>
      </c>
      <c r="AH532" s="4" t="s">
        <v>81</v>
      </c>
      <c r="AI532" s="4">
        <v>777</v>
      </c>
      <c r="AJ532" t="s">
        <v>1260</v>
      </c>
      <c r="AK532" t="s">
        <v>56</v>
      </c>
      <c r="AL532" t="s">
        <v>1267</v>
      </c>
      <c r="AM532">
        <v>7</v>
      </c>
      <c r="AN532">
        <v>0</v>
      </c>
      <c r="AO532">
        <v>8</v>
      </c>
      <c r="AP532">
        <v>0</v>
      </c>
      <c r="AQ532" s="5">
        <v>324</v>
      </c>
      <c r="AR532">
        <v>14</v>
      </c>
      <c r="AS532">
        <v>0</v>
      </c>
      <c r="AT532">
        <v>15</v>
      </c>
      <c r="AU532">
        <v>0</v>
      </c>
      <c r="AV532" s="5">
        <v>406</v>
      </c>
      <c r="AW532" t="s">
        <v>56</v>
      </c>
      <c r="AX532" s="6">
        <v>4379</v>
      </c>
      <c r="AY532" t="s">
        <v>1260</v>
      </c>
      <c r="AZ532" t="s">
        <v>56</v>
      </c>
    </row>
    <row r="533" spans="1:52" hidden="1" x14ac:dyDescent="0.45">
      <c r="A533">
        <v>517873.57603387203</v>
      </c>
      <c r="B533">
        <v>6938659.8406817997</v>
      </c>
      <c r="C533">
        <v>532</v>
      </c>
      <c r="D533" t="s">
        <v>1268</v>
      </c>
      <c r="E533" t="s">
        <v>866</v>
      </c>
      <c r="F533" t="s">
        <v>1269</v>
      </c>
      <c r="G533" t="s">
        <v>1260</v>
      </c>
      <c r="H533" s="3">
        <v>5722</v>
      </c>
      <c r="I533">
        <v>2</v>
      </c>
      <c r="J533" t="s">
        <v>56</v>
      </c>
      <c r="K533">
        <v>58.4</v>
      </c>
      <c r="L533">
        <v>64.400000000000006</v>
      </c>
      <c r="M533">
        <v>1</v>
      </c>
      <c r="N533" t="s">
        <v>56</v>
      </c>
      <c r="O533" t="s">
        <v>1260</v>
      </c>
      <c r="P533">
        <v>81.5</v>
      </c>
      <c r="Q533">
        <v>0.6</v>
      </c>
      <c r="R533">
        <v>17.2</v>
      </c>
      <c r="S533">
        <v>0.1</v>
      </c>
      <c r="T533">
        <v>0</v>
      </c>
      <c r="U533">
        <v>0</v>
      </c>
      <c r="V533">
        <v>0.4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0.2</v>
      </c>
      <c r="AC533" t="s">
        <v>1260</v>
      </c>
      <c r="AD533">
        <v>60</v>
      </c>
      <c r="AE533" t="s">
        <v>1260</v>
      </c>
      <c r="AF533" s="4" t="s">
        <v>80</v>
      </c>
      <c r="AG533" s="4">
        <v>2733</v>
      </c>
      <c r="AH533" s="4" t="s">
        <v>81</v>
      </c>
      <c r="AI533" s="4">
        <v>2989</v>
      </c>
      <c r="AJ533" t="s">
        <v>1260</v>
      </c>
      <c r="AK533" t="s">
        <v>56</v>
      </c>
      <c r="AL533" t="s">
        <v>1269</v>
      </c>
      <c r="AM533">
        <v>8</v>
      </c>
      <c r="AN533">
        <v>0</v>
      </c>
      <c r="AO533">
        <v>9</v>
      </c>
      <c r="AP533">
        <v>0</v>
      </c>
      <c r="AQ533" s="5">
        <v>438</v>
      </c>
      <c r="AR533">
        <v>17</v>
      </c>
      <c r="AS533">
        <v>0</v>
      </c>
      <c r="AT533">
        <v>18</v>
      </c>
      <c r="AU533">
        <v>0</v>
      </c>
      <c r="AV533" s="5">
        <v>570</v>
      </c>
      <c r="AW533" t="s">
        <v>56</v>
      </c>
      <c r="AX533" s="6">
        <v>6062</v>
      </c>
      <c r="AY533" t="s">
        <v>1260</v>
      </c>
      <c r="AZ533" t="s">
        <v>56</v>
      </c>
    </row>
    <row r="534" spans="1:52" hidden="1" x14ac:dyDescent="0.45">
      <c r="A534">
        <v>509729.90745011799</v>
      </c>
      <c r="B534">
        <v>6939242.4259761702</v>
      </c>
      <c r="C534">
        <v>533</v>
      </c>
      <c r="D534" t="s">
        <v>1270</v>
      </c>
      <c r="E534" t="s">
        <v>452</v>
      </c>
      <c r="F534" t="s">
        <v>1271</v>
      </c>
      <c r="G534" t="s">
        <v>1265</v>
      </c>
      <c r="H534" s="3">
        <v>558</v>
      </c>
      <c r="I534">
        <v>2</v>
      </c>
      <c r="J534" t="s">
        <v>56</v>
      </c>
      <c r="K534">
        <v>35.6</v>
      </c>
      <c r="L534">
        <v>40.700000000000003</v>
      </c>
      <c r="M534">
        <v>1</v>
      </c>
      <c r="N534" t="s">
        <v>56</v>
      </c>
      <c r="O534" t="s">
        <v>1265</v>
      </c>
      <c r="P534">
        <v>86.7</v>
      </c>
      <c r="Q534">
        <v>0.6</v>
      </c>
      <c r="R534">
        <v>12.3</v>
      </c>
      <c r="S534">
        <v>0</v>
      </c>
      <c r="T534">
        <v>0</v>
      </c>
      <c r="U534">
        <v>0</v>
      </c>
      <c r="V534">
        <v>0.1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0.3</v>
      </c>
      <c r="AC534" t="s">
        <v>1265</v>
      </c>
      <c r="AD534">
        <v>50</v>
      </c>
      <c r="AE534" t="s">
        <v>1265</v>
      </c>
      <c r="AF534" s="4" t="s">
        <v>80</v>
      </c>
      <c r="AG534" s="4">
        <v>276</v>
      </c>
      <c r="AH534" s="4" t="s">
        <v>81</v>
      </c>
      <c r="AI534" s="4">
        <v>282</v>
      </c>
      <c r="AJ534" t="s">
        <v>1265</v>
      </c>
      <c r="AK534" t="s">
        <v>56</v>
      </c>
      <c r="AL534" t="s">
        <v>1271</v>
      </c>
      <c r="AM534">
        <v>8</v>
      </c>
      <c r="AN534">
        <v>0</v>
      </c>
      <c r="AO534">
        <v>9</v>
      </c>
      <c r="AP534">
        <v>0</v>
      </c>
      <c r="AQ534" s="5">
        <v>64</v>
      </c>
      <c r="AR534">
        <v>15</v>
      </c>
      <c r="AS534">
        <v>0</v>
      </c>
      <c r="AT534">
        <v>16</v>
      </c>
      <c r="AU534">
        <v>0</v>
      </c>
      <c r="AV534" s="5">
        <v>79</v>
      </c>
      <c r="AW534" t="s">
        <v>56</v>
      </c>
      <c r="AX534" s="6">
        <v>595</v>
      </c>
      <c r="AY534" t="s">
        <v>1265</v>
      </c>
      <c r="AZ534" t="s">
        <v>56</v>
      </c>
    </row>
    <row r="535" spans="1:52" hidden="1" x14ac:dyDescent="0.45">
      <c r="A535">
        <v>518832.09906787798</v>
      </c>
      <c r="B535">
        <v>6940113.14269761</v>
      </c>
      <c r="C535">
        <v>534</v>
      </c>
      <c r="D535" t="s">
        <v>1272</v>
      </c>
      <c r="E535" t="s">
        <v>950</v>
      </c>
      <c r="F535" t="s">
        <v>1273</v>
      </c>
      <c r="G535" t="s">
        <v>1274</v>
      </c>
      <c r="H535" s="3">
        <v>256</v>
      </c>
      <c r="I535">
        <v>2</v>
      </c>
      <c r="J535" t="s">
        <v>56</v>
      </c>
      <c r="K535">
        <v>37.799999999999997</v>
      </c>
      <c r="L535">
        <v>45.7</v>
      </c>
      <c r="M535">
        <v>1</v>
      </c>
      <c r="N535" t="s">
        <v>56</v>
      </c>
      <c r="O535" t="s">
        <v>1274</v>
      </c>
      <c r="P535">
        <v>83.3</v>
      </c>
      <c r="Q535">
        <v>0.8</v>
      </c>
      <c r="R535">
        <v>14.9</v>
      </c>
      <c r="S535">
        <v>0.4</v>
      </c>
      <c r="T535">
        <v>0.1</v>
      </c>
      <c r="U535">
        <v>0</v>
      </c>
      <c r="V535">
        <v>0.2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0.3</v>
      </c>
      <c r="AC535" t="s">
        <v>1274</v>
      </c>
      <c r="AD535">
        <v>50</v>
      </c>
      <c r="AE535" t="s">
        <v>1274</v>
      </c>
      <c r="AF535" s="4" t="s">
        <v>57</v>
      </c>
      <c r="AG535" s="4">
        <v>128</v>
      </c>
      <c r="AH535" s="4" t="s">
        <v>58</v>
      </c>
      <c r="AI535" s="4">
        <v>128</v>
      </c>
      <c r="AJ535" t="s">
        <v>1274</v>
      </c>
      <c r="AK535" t="s">
        <v>56</v>
      </c>
      <c r="AL535" t="s">
        <v>1273</v>
      </c>
      <c r="AM535">
        <v>8</v>
      </c>
      <c r="AN535">
        <v>0</v>
      </c>
      <c r="AO535">
        <v>9</v>
      </c>
      <c r="AP535">
        <v>0</v>
      </c>
      <c r="AQ535" s="5">
        <v>29</v>
      </c>
      <c r="AR535">
        <v>15</v>
      </c>
      <c r="AS535">
        <v>0</v>
      </c>
      <c r="AT535">
        <v>16</v>
      </c>
      <c r="AU535">
        <v>0</v>
      </c>
      <c r="AV535" s="5">
        <v>37</v>
      </c>
      <c r="AW535" t="s">
        <v>56</v>
      </c>
      <c r="AX535" s="6">
        <v>263</v>
      </c>
      <c r="AY535" t="s">
        <v>1274</v>
      </c>
      <c r="AZ535" t="s">
        <v>56</v>
      </c>
    </row>
    <row r="536" spans="1:52" hidden="1" x14ac:dyDescent="0.45">
      <c r="A536">
        <v>514319.540509902</v>
      </c>
      <c r="B536">
        <v>6938040.5741823101</v>
      </c>
      <c r="C536">
        <v>535</v>
      </c>
      <c r="D536" t="s">
        <v>1275</v>
      </c>
      <c r="E536" t="s">
        <v>511</v>
      </c>
      <c r="F536" t="s">
        <v>1276</v>
      </c>
      <c r="G536" t="s">
        <v>1244</v>
      </c>
      <c r="H536" s="3">
        <v>832</v>
      </c>
      <c r="I536">
        <v>2</v>
      </c>
      <c r="J536" t="s">
        <v>56</v>
      </c>
      <c r="K536">
        <v>54.2</v>
      </c>
      <c r="L536">
        <v>63.7</v>
      </c>
      <c r="M536">
        <v>1</v>
      </c>
      <c r="N536" t="s">
        <v>56</v>
      </c>
      <c r="O536" t="s">
        <v>1244</v>
      </c>
      <c r="P536">
        <v>76.900000000000006</v>
      </c>
      <c r="Q536">
        <v>1.7</v>
      </c>
      <c r="R536">
        <v>20.6</v>
      </c>
      <c r="S536">
        <v>0.3</v>
      </c>
      <c r="T536">
        <v>0.1</v>
      </c>
      <c r="U536">
        <v>0</v>
      </c>
      <c r="V536">
        <v>0.2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0.2</v>
      </c>
      <c r="AC536" t="s">
        <v>1244</v>
      </c>
      <c r="AD536">
        <v>60</v>
      </c>
      <c r="AE536" t="s">
        <v>1244</v>
      </c>
      <c r="AF536" s="4" t="s">
        <v>57</v>
      </c>
      <c r="AG536" s="4">
        <v>413</v>
      </c>
      <c r="AH536" s="4" t="s">
        <v>58</v>
      </c>
      <c r="AI536" s="4">
        <v>419</v>
      </c>
      <c r="AJ536" t="s">
        <v>1244</v>
      </c>
      <c r="AK536" t="s">
        <v>56</v>
      </c>
      <c r="AL536" t="s">
        <v>1276</v>
      </c>
      <c r="AM536">
        <v>10</v>
      </c>
      <c r="AN536">
        <v>0</v>
      </c>
      <c r="AO536">
        <v>11</v>
      </c>
      <c r="AP536">
        <v>0</v>
      </c>
      <c r="AQ536" s="5">
        <v>123</v>
      </c>
      <c r="AR536">
        <v>12</v>
      </c>
      <c r="AS536">
        <v>0</v>
      </c>
      <c r="AT536">
        <v>13</v>
      </c>
      <c r="AU536">
        <v>0</v>
      </c>
      <c r="AV536" s="5">
        <v>88</v>
      </c>
      <c r="AW536" t="s">
        <v>56</v>
      </c>
      <c r="AX536" s="6">
        <v>817</v>
      </c>
      <c r="AY536" t="s">
        <v>1244</v>
      </c>
      <c r="AZ536" t="s">
        <v>56</v>
      </c>
    </row>
    <row r="537" spans="1:52" hidden="1" x14ac:dyDescent="0.45">
      <c r="A537">
        <v>514849.66081754799</v>
      </c>
      <c r="B537">
        <v>6937953.2052322403</v>
      </c>
      <c r="C537">
        <v>536</v>
      </c>
      <c r="D537" t="s">
        <v>1275</v>
      </c>
      <c r="E537" t="s">
        <v>511</v>
      </c>
      <c r="F537" t="s">
        <v>1277</v>
      </c>
      <c r="G537" t="s">
        <v>1244</v>
      </c>
      <c r="H537" s="3">
        <v>1255</v>
      </c>
      <c r="I537">
        <v>2</v>
      </c>
      <c r="J537" t="s">
        <v>56</v>
      </c>
      <c r="K537">
        <v>57.8</v>
      </c>
      <c r="L537">
        <v>65.5</v>
      </c>
      <c r="M537">
        <v>1</v>
      </c>
      <c r="N537" t="s">
        <v>56</v>
      </c>
      <c r="O537" t="s">
        <v>1244</v>
      </c>
      <c r="P537">
        <v>78.3</v>
      </c>
      <c r="Q537">
        <v>1.2</v>
      </c>
      <c r="R537">
        <v>19.5</v>
      </c>
      <c r="S537">
        <v>0.4</v>
      </c>
      <c r="T537">
        <v>0</v>
      </c>
      <c r="U537">
        <v>0.2</v>
      </c>
      <c r="V537">
        <v>0.2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0.2</v>
      </c>
      <c r="AC537" t="s">
        <v>1244</v>
      </c>
      <c r="AD537">
        <v>60</v>
      </c>
      <c r="AE537" t="s">
        <v>1244</v>
      </c>
      <c r="AF537" s="4" t="s">
        <v>57</v>
      </c>
      <c r="AG537" s="4">
        <v>587</v>
      </c>
      <c r="AH537" s="4" t="s">
        <v>58</v>
      </c>
      <c r="AI537" s="4">
        <v>668</v>
      </c>
      <c r="AJ537" t="s">
        <v>1244</v>
      </c>
      <c r="AK537" t="s">
        <v>56</v>
      </c>
      <c r="AL537" t="s">
        <v>1277</v>
      </c>
      <c r="AM537">
        <v>11</v>
      </c>
      <c r="AN537">
        <v>0</v>
      </c>
      <c r="AO537">
        <v>12</v>
      </c>
      <c r="AP537">
        <v>0</v>
      </c>
      <c r="AQ537" s="5">
        <v>176</v>
      </c>
      <c r="AR537">
        <v>12</v>
      </c>
      <c r="AS537">
        <v>0</v>
      </c>
      <c r="AT537">
        <v>13</v>
      </c>
      <c r="AU537">
        <v>0</v>
      </c>
      <c r="AV537" s="5">
        <v>141</v>
      </c>
      <c r="AW537" t="s">
        <v>56</v>
      </c>
      <c r="AX537" s="6">
        <v>1246</v>
      </c>
      <c r="AY537" t="s">
        <v>1244</v>
      </c>
      <c r="AZ537" t="s">
        <v>56</v>
      </c>
    </row>
    <row r="538" spans="1:52" hidden="1" x14ac:dyDescent="0.45">
      <c r="A538">
        <v>515244.79898279603</v>
      </c>
      <c r="B538">
        <v>6937567.7889906596</v>
      </c>
      <c r="C538">
        <v>537</v>
      </c>
      <c r="D538" t="s">
        <v>1275</v>
      </c>
      <c r="E538" t="s">
        <v>511</v>
      </c>
      <c r="F538" t="s">
        <v>1278</v>
      </c>
      <c r="G538" t="s">
        <v>1260</v>
      </c>
      <c r="H538" s="3">
        <v>2880</v>
      </c>
      <c r="I538">
        <v>2</v>
      </c>
      <c r="J538" t="s">
        <v>56</v>
      </c>
      <c r="K538">
        <v>57.9</v>
      </c>
      <c r="L538">
        <v>64.400000000000006</v>
      </c>
      <c r="M538">
        <v>1</v>
      </c>
      <c r="N538" t="s">
        <v>56</v>
      </c>
      <c r="O538" t="s">
        <v>1260</v>
      </c>
      <c r="P538">
        <v>80.8</v>
      </c>
      <c r="Q538">
        <v>0.9</v>
      </c>
      <c r="R538">
        <v>16.8</v>
      </c>
      <c r="S538">
        <v>0.7</v>
      </c>
      <c r="T538">
        <v>0.1</v>
      </c>
      <c r="U538">
        <v>0.1</v>
      </c>
      <c r="V538">
        <v>0.2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0.4</v>
      </c>
      <c r="AC538" t="s">
        <v>1260</v>
      </c>
      <c r="AD538">
        <v>60</v>
      </c>
      <c r="AE538" t="s">
        <v>1260</v>
      </c>
      <c r="AF538" s="4" t="s">
        <v>80</v>
      </c>
      <c r="AG538" s="4">
        <v>1506</v>
      </c>
      <c r="AH538" s="4" t="s">
        <v>81</v>
      </c>
      <c r="AI538" s="4">
        <v>1374</v>
      </c>
      <c r="AJ538" t="s">
        <v>1260</v>
      </c>
      <c r="AK538" t="s">
        <v>56</v>
      </c>
      <c r="AL538" t="s">
        <v>1278</v>
      </c>
      <c r="AM538">
        <v>8</v>
      </c>
      <c r="AN538">
        <v>0</v>
      </c>
      <c r="AO538">
        <v>9</v>
      </c>
      <c r="AP538">
        <v>0</v>
      </c>
      <c r="AQ538" s="5">
        <v>221</v>
      </c>
      <c r="AR538">
        <v>15</v>
      </c>
      <c r="AS538">
        <v>0</v>
      </c>
      <c r="AT538">
        <v>16</v>
      </c>
      <c r="AU538">
        <v>0</v>
      </c>
      <c r="AV538" s="5">
        <v>299</v>
      </c>
      <c r="AW538" t="s">
        <v>56</v>
      </c>
      <c r="AX538" s="6">
        <v>2934</v>
      </c>
      <c r="AY538" t="s">
        <v>1260</v>
      </c>
      <c r="AZ538" t="s">
        <v>56</v>
      </c>
    </row>
    <row r="539" spans="1:52" hidden="1" x14ac:dyDescent="0.45">
      <c r="A539">
        <v>514425.45668856002</v>
      </c>
      <c r="B539">
        <v>6934642.1171346102</v>
      </c>
      <c r="C539">
        <v>538</v>
      </c>
      <c r="D539" t="s">
        <v>1279</v>
      </c>
      <c r="E539" t="s">
        <v>369</v>
      </c>
      <c r="F539" t="s">
        <v>1280</v>
      </c>
      <c r="G539" t="s">
        <v>1244</v>
      </c>
      <c r="H539" s="3">
        <v>693</v>
      </c>
      <c r="I539">
        <v>2</v>
      </c>
      <c r="J539" t="s">
        <v>56</v>
      </c>
      <c r="K539">
        <v>41.4</v>
      </c>
      <c r="L539">
        <v>48.6</v>
      </c>
      <c r="M539">
        <v>1</v>
      </c>
      <c r="N539" t="s">
        <v>56</v>
      </c>
      <c r="O539" t="s">
        <v>1244</v>
      </c>
      <c r="P539">
        <v>82.7</v>
      </c>
      <c r="Q539">
        <v>0.6</v>
      </c>
      <c r="R539">
        <v>15.3</v>
      </c>
      <c r="S539">
        <v>0.5</v>
      </c>
      <c r="T539">
        <v>0.2</v>
      </c>
      <c r="U539">
        <v>0</v>
      </c>
      <c r="V539">
        <v>0.4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0.3</v>
      </c>
      <c r="AC539" t="s">
        <v>1244</v>
      </c>
      <c r="AD539">
        <v>50</v>
      </c>
      <c r="AE539" t="s">
        <v>1244</v>
      </c>
      <c r="AF539" s="4" t="s">
        <v>57</v>
      </c>
      <c r="AG539" s="4">
        <v>353</v>
      </c>
      <c r="AH539" s="4" t="s">
        <v>58</v>
      </c>
      <c r="AI539" s="4">
        <v>340</v>
      </c>
      <c r="AJ539" t="s">
        <v>1244</v>
      </c>
      <c r="AK539" t="s">
        <v>56</v>
      </c>
      <c r="AL539" t="s">
        <v>1280</v>
      </c>
      <c r="AM539">
        <v>8</v>
      </c>
      <c r="AN539">
        <v>0</v>
      </c>
      <c r="AO539">
        <v>9</v>
      </c>
      <c r="AP539">
        <v>0</v>
      </c>
      <c r="AQ539" s="5">
        <v>60</v>
      </c>
      <c r="AR539">
        <v>17</v>
      </c>
      <c r="AS539">
        <v>0</v>
      </c>
      <c r="AT539">
        <v>18</v>
      </c>
      <c r="AU539">
        <v>0</v>
      </c>
      <c r="AV539" s="5">
        <v>97</v>
      </c>
      <c r="AW539" t="s">
        <v>56</v>
      </c>
      <c r="AX539" s="6">
        <v>724</v>
      </c>
      <c r="AY539" t="s">
        <v>1244</v>
      </c>
      <c r="AZ539" t="s">
        <v>56</v>
      </c>
    </row>
    <row r="540" spans="1:52" hidden="1" x14ac:dyDescent="0.45">
      <c r="A540">
        <v>514248.98519525502</v>
      </c>
      <c r="B540">
        <v>6934382.6785071101</v>
      </c>
      <c r="C540">
        <v>539</v>
      </c>
      <c r="D540" t="s">
        <v>1279</v>
      </c>
      <c r="E540" t="s">
        <v>369</v>
      </c>
      <c r="F540" t="s">
        <v>1281</v>
      </c>
      <c r="G540" t="s">
        <v>1244</v>
      </c>
      <c r="H540" s="3">
        <v>153</v>
      </c>
      <c r="I540">
        <v>2</v>
      </c>
      <c r="J540" t="s">
        <v>56</v>
      </c>
      <c r="K540">
        <v>39</v>
      </c>
      <c r="L540">
        <v>47.2</v>
      </c>
      <c r="M540">
        <v>1</v>
      </c>
      <c r="N540" t="s">
        <v>56</v>
      </c>
      <c r="O540" t="s">
        <v>1244</v>
      </c>
      <c r="P540">
        <v>82.1</v>
      </c>
      <c r="Q540">
        <v>0.8</v>
      </c>
      <c r="R540">
        <v>16.8</v>
      </c>
      <c r="S540">
        <v>0.3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 t="s">
        <v>1244</v>
      </c>
      <c r="AD540">
        <v>50</v>
      </c>
      <c r="AE540" t="s">
        <v>1244</v>
      </c>
      <c r="AF540" s="4" t="s">
        <v>57</v>
      </c>
      <c r="AG540" s="4">
        <v>69</v>
      </c>
      <c r="AH540" s="4" t="s">
        <v>58</v>
      </c>
      <c r="AI540" s="4">
        <v>84</v>
      </c>
      <c r="AJ540" t="s">
        <v>1244</v>
      </c>
      <c r="AK540" t="s">
        <v>56</v>
      </c>
      <c r="AL540" t="s">
        <v>1281</v>
      </c>
      <c r="AM540">
        <v>7</v>
      </c>
      <c r="AN540">
        <v>0</v>
      </c>
      <c r="AO540">
        <v>8</v>
      </c>
      <c r="AP540">
        <v>0</v>
      </c>
      <c r="AQ540" s="5">
        <v>11</v>
      </c>
      <c r="AR540">
        <v>15</v>
      </c>
      <c r="AS540">
        <v>0</v>
      </c>
      <c r="AT540">
        <v>16</v>
      </c>
      <c r="AU540">
        <v>0</v>
      </c>
      <c r="AV540" s="5">
        <v>26</v>
      </c>
      <c r="AW540" t="s">
        <v>56</v>
      </c>
      <c r="AX540" s="6">
        <v>154</v>
      </c>
      <c r="AY540" t="s">
        <v>1244</v>
      </c>
      <c r="AZ540" t="s">
        <v>56</v>
      </c>
    </row>
    <row r="541" spans="1:52" hidden="1" x14ac:dyDescent="0.45">
      <c r="A541">
        <v>515716.12432632199</v>
      </c>
      <c r="B541">
        <v>6936870.9959670603</v>
      </c>
      <c r="C541">
        <v>540</v>
      </c>
      <c r="D541" t="s">
        <v>1282</v>
      </c>
      <c r="E541" t="s">
        <v>549</v>
      </c>
      <c r="F541" t="s">
        <v>1283</v>
      </c>
      <c r="G541" t="s">
        <v>1284</v>
      </c>
      <c r="H541" s="3">
        <v>458</v>
      </c>
      <c r="I541">
        <v>2</v>
      </c>
      <c r="J541" t="s">
        <v>56</v>
      </c>
      <c r="K541">
        <v>47.6</v>
      </c>
      <c r="L541">
        <v>56.5</v>
      </c>
      <c r="M541">
        <v>1</v>
      </c>
      <c r="N541" t="s">
        <v>56</v>
      </c>
      <c r="O541" t="s">
        <v>1284</v>
      </c>
      <c r="P541">
        <v>84.6</v>
      </c>
      <c r="Q541">
        <v>0.8</v>
      </c>
      <c r="R541">
        <v>13.6</v>
      </c>
      <c r="S541">
        <v>0.7</v>
      </c>
      <c r="T541">
        <v>0</v>
      </c>
      <c r="U541">
        <v>0</v>
      </c>
      <c r="V541">
        <v>0.1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0.2</v>
      </c>
      <c r="AC541" t="s">
        <v>1284</v>
      </c>
      <c r="AD541">
        <v>50</v>
      </c>
      <c r="AE541" t="s">
        <v>1284</v>
      </c>
      <c r="AF541" s="4" t="s">
        <v>57</v>
      </c>
      <c r="AG541" s="4">
        <v>231</v>
      </c>
      <c r="AH541" s="4" t="s">
        <v>58</v>
      </c>
      <c r="AI541" s="4">
        <v>227</v>
      </c>
      <c r="AJ541" t="s">
        <v>1284</v>
      </c>
      <c r="AK541" t="s">
        <v>56</v>
      </c>
      <c r="AL541" t="s">
        <v>1283</v>
      </c>
      <c r="AM541">
        <v>11</v>
      </c>
      <c r="AN541">
        <v>0</v>
      </c>
      <c r="AO541">
        <v>12</v>
      </c>
      <c r="AP541">
        <v>0</v>
      </c>
      <c r="AQ541" s="5">
        <v>34</v>
      </c>
      <c r="AR541">
        <v>17</v>
      </c>
      <c r="AS541">
        <v>0</v>
      </c>
      <c r="AT541">
        <v>18</v>
      </c>
      <c r="AU541">
        <v>0</v>
      </c>
      <c r="AV541" s="5">
        <v>56</v>
      </c>
      <c r="AW541" t="s">
        <v>56</v>
      </c>
      <c r="AX541" s="6">
        <v>464</v>
      </c>
      <c r="AY541" t="s">
        <v>1284</v>
      </c>
      <c r="AZ541" t="s">
        <v>56</v>
      </c>
    </row>
    <row r="542" spans="1:52" hidden="1" x14ac:dyDescent="0.45">
      <c r="A542">
        <v>514687.71927897201</v>
      </c>
      <c r="B542">
        <v>6934506.2192542804</v>
      </c>
      <c r="C542">
        <v>541</v>
      </c>
      <c r="D542" t="s">
        <v>1285</v>
      </c>
      <c r="E542" t="s">
        <v>1286</v>
      </c>
      <c r="F542" t="s">
        <v>1287</v>
      </c>
      <c r="G542" t="s">
        <v>1284</v>
      </c>
      <c r="H542" s="3">
        <v>2034</v>
      </c>
      <c r="I542">
        <v>2</v>
      </c>
      <c r="J542" t="s">
        <v>56</v>
      </c>
      <c r="K542">
        <v>45.9</v>
      </c>
      <c r="L542">
        <v>51.5</v>
      </c>
      <c r="M542">
        <v>1</v>
      </c>
      <c r="N542" t="s">
        <v>56</v>
      </c>
      <c r="O542" t="s">
        <v>1284</v>
      </c>
      <c r="P542">
        <v>85.2</v>
      </c>
      <c r="Q542">
        <v>0.7</v>
      </c>
      <c r="R542">
        <v>13.4</v>
      </c>
      <c r="S542">
        <v>0.1</v>
      </c>
      <c r="T542">
        <v>0</v>
      </c>
      <c r="U542">
        <v>0</v>
      </c>
      <c r="V542">
        <v>0.3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0.3</v>
      </c>
      <c r="AC542" t="s">
        <v>1284</v>
      </c>
      <c r="AD542">
        <v>50</v>
      </c>
      <c r="AE542" t="s">
        <v>1284</v>
      </c>
      <c r="AF542" s="4" t="s">
        <v>80</v>
      </c>
      <c r="AG542" s="4">
        <v>1023</v>
      </c>
      <c r="AH542" s="4" t="s">
        <v>81</v>
      </c>
      <c r="AI542" s="4">
        <v>1011</v>
      </c>
      <c r="AJ542" t="s">
        <v>1284</v>
      </c>
      <c r="AK542" t="s">
        <v>56</v>
      </c>
      <c r="AL542" t="s">
        <v>1287</v>
      </c>
      <c r="AM542">
        <v>8</v>
      </c>
      <c r="AN542">
        <v>0</v>
      </c>
      <c r="AO542">
        <v>9</v>
      </c>
      <c r="AP542">
        <v>0</v>
      </c>
      <c r="AQ542" s="5">
        <v>262</v>
      </c>
      <c r="AR542">
        <v>15</v>
      </c>
      <c r="AS542">
        <v>0</v>
      </c>
      <c r="AT542">
        <v>16</v>
      </c>
      <c r="AU542">
        <v>0</v>
      </c>
      <c r="AV542" s="5">
        <v>290</v>
      </c>
      <c r="AW542" t="s">
        <v>56</v>
      </c>
      <c r="AX542" s="6">
        <v>2220</v>
      </c>
      <c r="AY542" t="s">
        <v>1284</v>
      </c>
      <c r="AZ542" t="s">
        <v>56</v>
      </c>
    </row>
    <row r="543" spans="1:52" hidden="1" x14ac:dyDescent="0.45">
      <c r="A543">
        <v>512593.47634008602</v>
      </c>
      <c r="B543">
        <v>6937666.9726151899</v>
      </c>
      <c r="C543">
        <v>542</v>
      </c>
      <c r="D543" t="s">
        <v>1150</v>
      </c>
      <c r="E543" t="s">
        <v>1151</v>
      </c>
      <c r="F543" t="s">
        <v>1288</v>
      </c>
      <c r="G543" t="s">
        <v>1284</v>
      </c>
      <c r="H543" s="3">
        <v>154</v>
      </c>
      <c r="I543">
        <v>2</v>
      </c>
      <c r="J543" t="s">
        <v>56</v>
      </c>
      <c r="K543">
        <v>41.3</v>
      </c>
      <c r="L543">
        <v>51.8</v>
      </c>
      <c r="M543">
        <v>1</v>
      </c>
      <c r="N543" t="s">
        <v>56</v>
      </c>
      <c r="O543" t="s">
        <v>1284</v>
      </c>
      <c r="P543">
        <v>76.8</v>
      </c>
      <c r="Q543">
        <v>0.6</v>
      </c>
      <c r="R543">
        <v>20.5</v>
      </c>
      <c r="S543">
        <v>0.7</v>
      </c>
      <c r="T543">
        <v>0.1</v>
      </c>
      <c r="U543">
        <v>0</v>
      </c>
      <c r="V543">
        <v>0.4</v>
      </c>
      <c r="W543">
        <v>0.3</v>
      </c>
      <c r="X543">
        <v>0.2</v>
      </c>
      <c r="Y543">
        <v>0.1</v>
      </c>
      <c r="Z543">
        <v>0</v>
      </c>
      <c r="AA543">
        <v>0</v>
      </c>
      <c r="AB543">
        <v>0.3</v>
      </c>
      <c r="AC543" t="s">
        <v>1284</v>
      </c>
      <c r="AD543">
        <v>50</v>
      </c>
      <c r="AE543" t="s">
        <v>1284</v>
      </c>
      <c r="AF543" s="4" t="s">
        <v>80</v>
      </c>
      <c r="AG543" s="4">
        <v>72</v>
      </c>
      <c r="AH543" s="4" t="s">
        <v>81</v>
      </c>
      <c r="AI543" s="4">
        <v>82</v>
      </c>
      <c r="AJ543" t="s">
        <v>1284</v>
      </c>
      <c r="AK543" t="s">
        <v>56</v>
      </c>
      <c r="AL543" t="s">
        <v>1288</v>
      </c>
      <c r="AM543">
        <v>7</v>
      </c>
      <c r="AN543">
        <v>0</v>
      </c>
      <c r="AO543">
        <v>8</v>
      </c>
      <c r="AP543">
        <v>0</v>
      </c>
      <c r="AQ543" s="5">
        <v>14</v>
      </c>
      <c r="AR543">
        <v>14</v>
      </c>
      <c r="AS543">
        <v>0</v>
      </c>
      <c r="AT543">
        <v>15</v>
      </c>
      <c r="AU543">
        <v>0</v>
      </c>
      <c r="AV543" s="5">
        <v>29</v>
      </c>
      <c r="AW543" t="s">
        <v>56</v>
      </c>
      <c r="AX543" s="6">
        <v>158</v>
      </c>
      <c r="AY543" t="s">
        <v>1284</v>
      </c>
      <c r="AZ543" t="s">
        <v>56</v>
      </c>
    </row>
    <row r="544" spans="1:52" hidden="1" x14ac:dyDescent="0.45">
      <c r="A544">
        <v>520422.69962567801</v>
      </c>
      <c r="B544">
        <v>6935648.7326616198</v>
      </c>
      <c r="C544">
        <v>543</v>
      </c>
      <c r="D544" t="s">
        <v>1289</v>
      </c>
      <c r="E544" t="s">
        <v>310</v>
      </c>
      <c r="F544" t="s">
        <v>1290</v>
      </c>
      <c r="G544" t="s">
        <v>1291</v>
      </c>
      <c r="H544" s="3">
        <v>124</v>
      </c>
      <c r="I544">
        <v>2</v>
      </c>
      <c r="J544" t="s">
        <v>56</v>
      </c>
      <c r="K544">
        <v>37.700000000000003</v>
      </c>
      <c r="L544">
        <v>46.4</v>
      </c>
      <c r="M544">
        <v>1</v>
      </c>
      <c r="N544" t="s">
        <v>56</v>
      </c>
      <c r="O544" t="s">
        <v>1291</v>
      </c>
      <c r="P544">
        <v>76.599999999999994</v>
      </c>
      <c r="Q544">
        <v>1.4</v>
      </c>
      <c r="R544">
        <v>21.4</v>
      </c>
      <c r="S544">
        <v>0.2</v>
      </c>
      <c r="T544">
        <v>0.2</v>
      </c>
      <c r="U544">
        <v>0</v>
      </c>
      <c r="V544">
        <v>0.2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 t="s">
        <v>1291</v>
      </c>
      <c r="AD544">
        <v>50</v>
      </c>
      <c r="AE544" t="s">
        <v>1291</v>
      </c>
      <c r="AF544" s="4" t="s">
        <v>57</v>
      </c>
      <c r="AG544" s="4">
        <v>57</v>
      </c>
      <c r="AH544" s="4" t="s">
        <v>58</v>
      </c>
      <c r="AI544" s="4">
        <v>67</v>
      </c>
      <c r="AJ544" t="s">
        <v>1291</v>
      </c>
      <c r="AK544" t="s">
        <v>56</v>
      </c>
      <c r="AL544" t="s">
        <v>1290</v>
      </c>
      <c r="AM544">
        <v>11</v>
      </c>
      <c r="AN544">
        <v>0</v>
      </c>
      <c r="AO544">
        <v>12</v>
      </c>
      <c r="AP544">
        <v>0</v>
      </c>
      <c r="AQ544" s="5">
        <v>14</v>
      </c>
      <c r="AR544">
        <v>15</v>
      </c>
      <c r="AS544">
        <v>0</v>
      </c>
      <c r="AT544">
        <v>16</v>
      </c>
      <c r="AU544">
        <v>0</v>
      </c>
      <c r="AV544" s="5">
        <v>23</v>
      </c>
      <c r="AW544" t="s">
        <v>56</v>
      </c>
      <c r="AX544" s="6">
        <v>136</v>
      </c>
      <c r="AY544" t="s">
        <v>1291</v>
      </c>
      <c r="AZ544" t="s">
        <v>56</v>
      </c>
    </row>
    <row r="545" spans="1:52" hidden="1" x14ac:dyDescent="0.45">
      <c r="A545">
        <v>520268.48682535102</v>
      </c>
      <c r="B545">
        <v>6935573.8962974204</v>
      </c>
      <c r="C545">
        <v>544</v>
      </c>
      <c r="D545" t="s">
        <v>1292</v>
      </c>
      <c r="E545" t="s">
        <v>310</v>
      </c>
      <c r="F545" t="s">
        <v>1290</v>
      </c>
      <c r="G545" t="s">
        <v>1291</v>
      </c>
      <c r="H545" s="3">
        <v>283</v>
      </c>
      <c r="I545">
        <v>2</v>
      </c>
      <c r="J545" t="s">
        <v>56</v>
      </c>
      <c r="K545">
        <v>40.4</v>
      </c>
      <c r="L545">
        <v>49</v>
      </c>
      <c r="M545">
        <v>1</v>
      </c>
      <c r="N545" t="s">
        <v>56</v>
      </c>
      <c r="O545" t="s">
        <v>1291</v>
      </c>
      <c r="P545">
        <v>81.8</v>
      </c>
      <c r="Q545">
        <v>1.4</v>
      </c>
      <c r="R545">
        <v>16.3</v>
      </c>
      <c r="S545">
        <v>0.1</v>
      </c>
      <c r="T545">
        <v>0</v>
      </c>
      <c r="U545">
        <v>0</v>
      </c>
      <c r="V545">
        <v>0.1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0.3</v>
      </c>
      <c r="AC545" t="s">
        <v>1291</v>
      </c>
      <c r="AD545">
        <v>50</v>
      </c>
      <c r="AE545" t="s">
        <v>1291</v>
      </c>
      <c r="AF545" s="4" t="s">
        <v>80</v>
      </c>
      <c r="AG545" s="4">
        <v>136</v>
      </c>
      <c r="AH545" s="4" t="s">
        <v>81</v>
      </c>
      <c r="AI545" s="4">
        <v>147</v>
      </c>
      <c r="AJ545" t="s">
        <v>1291</v>
      </c>
      <c r="AK545" t="s">
        <v>56</v>
      </c>
      <c r="AL545" t="s">
        <v>1290</v>
      </c>
      <c r="AM545">
        <v>8</v>
      </c>
      <c r="AN545">
        <v>0</v>
      </c>
      <c r="AO545">
        <v>9</v>
      </c>
      <c r="AP545">
        <v>0</v>
      </c>
      <c r="AQ545" s="5">
        <v>29</v>
      </c>
      <c r="AR545">
        <v>15</v>
      </c>
      <c r="AS545">
        <v>0</v>
      </c>
      <c r="AT545">
        <v>16</v>
      </c>
      <c r="AU545">
        <v>0</v>
      </c>
      <c r="AV545" s="5">
        <v>35</v>
      </c>
      <c r="AW545" t="s">
        <v>56</v>
      </c>
      <c r="AX545" s="6">
        <v>309</v>
      </c>
      <c r="AY545" t="s">
        <v>1291</v>
      </c>
      <c r="AZ545" t="s">
        <v>56</v>
      </c>
    </row>
    <row r="546" spans="1:52" hidden="1" x14ac:dyDescent="0.45">
      <c r="A546">
        <v>504534.23971093202</v>
      </c>
      <c r="B546">
        <v>6940956.2440630402</v>
      </c>
      <c r="C546">
        <v>545</v>
      </c>
      <c r="D546" t="s">
        <v>1293</v>
      </c>
      <c r="E546" t="s">
        <v>877</v>
      </c>
      <c r="F546" t="s">
        <v>1294</v>
      </c>
      <c r="G546" t="s">
        <v>1291</v>
      </c>
      <c r="H546" s="3">
        <v>1563</v>
      </c>
      <c r="I546">
        <v>2</v>
      </c>
      <c r="J546" t="s">
        <v>56</v>
      </c>
      <c r="K546">
        <v>43</v>
      </c>
      <c r="L546">
        <v>55.1</v>
      </c>
      <c r="M546">
        <v>1</v>
      </c>
      <c r="N546" t="s">
        <v>56</v>
      </c>
      <c r="O546" t="s">
        <v>1291</v>
      </c>
      <c r="P546">
        <v>78.5</v>
      </c>
      <c r="Q546">
        <v>2.1</v>
      </c>
      <c r="R546">
        <v>14.9</v>
      </c>
      <c r="S546">
        <v>1.7</v>
      </c>
      <c r="T546">
        <v>0.6</v>
      </c>
      <c r="U546">
        <v>0</v>
      </c>
      <c r="V546">
        <v>0.3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1.9</v>
      </c>
      <c r="AC546" t="s">
        <v>1291</v>
      </c>
      <c r="AD546">
        <v>50</v>
      </c>
      <c r="AE546" t="s">
        <v>1291</v>
      </c>
      <c r="AF546" s="4" t="s">
        <v>57</v>
      </c>
      <c r="AG546" s="4">
        <v>778</v>
      </c>
      <c r="AH546" s="4" t="s">
        <v>58</v>
      </c>
      <c r="AI546" s="4">
        <v>785</v>
      </c>
      <c r="AJ546" t="s">
        <v>1291</v>
      </c>
      <c r="AK546" t="s">
        <v>56</v>
      </c>
      <c r="AL546" t="s">
        <v>1294</v>
      </c>
      <c r="AM546">
        <v>8</v>
      </c>
      <c r="AN546">
        <v>0</v>
      </c>
      <c r="AO546">
        <v>9</v>
      </c>
      <c r="AP546">
        <v>0</v>
      </c>
      <c r="AQ546" s="5">
        <v>118</v>
      </c>
      <c r="AR546">
        <v>15</v>
      </c>
      <c r="AS546">
        <v>0</v>
      </c>
      <c r="AT546">
        <v>16</v>
      </c>
      <c r="AU546">
        <v>0</v>
      </c>
      <c r="AV546" s="5">
        <v>175</v>
      </c>
      <c r="AW546" t="s">
        <v>56</v>
      </c>
      <c r="AX546" s="6">
        <v>1745</v>
      </c>
      <c r="AY546" t="s">
        <v>1291</v>
      </c>
      <c r="AZ546" t="s">
        <v>56</v>
      </c>
    </row>
  </sheetData>
  <autoFilter ref="A1:AZ546" xr:uid="{00000000-0001-0000-0000-000000000000}">
    <filterColumn colId="3">
      <filters>
        <filter val="Mundoolun Road"/>
      </filters>
    </filterColumn>
    <filterColumn colId="4">
      <filters>
        <filter val="JIMBOOMBA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A103"/>
  <sheetViews>
    <sheetView showGridLines="0" tabSelected="1" topLeftCell="E15" zoomScale="85" zoomScaleNormal="85" workbookViewId="0">
      <selection activeCell="Q30" sqref="Q30"/>
    </sheetView>
  </sheetViews>
  <sheetFormatPr defaultRowHeight="14.25" x14ac:dyDescent="0.45"/>
  <cols>
    <col min="1" max="1" width="9.33203125" bestFit="1" customWidth="1"/>
    <col min="2" max="2" width="10.59765625" bestFit="1" customWidth="1"/>
    <col min="3" max="3" width="12.33203125" bestFit="1" customWidth="1"/>
    <col min="4" max="4" width="16.9296875" bestFit="1" customWidth="1"/>
    <col min="5" max="5" width="26.53125" bestFit="1" customWidth="1"/>
    <col min="6" max="6" width="14.46484375" customWidth="1"/>
    <col min="11" max="12" width="12.3984375" bestFit="1" customWidth="1"/>
    <col min="13" max="13" width="14.6640625" customWidth="1"/>
    <col min="14" max="14" width="18" bestFit="1" customWidth="1"/>
    <col min="17" max="17" width="28.33203125" bestFit="1" customWidth="1"/>
    <col min="18" max="18" width="17.19921875" customWidth="1"/>
    <col min="19" max="19" width="18.6640625" bestFit="1" customWidth="1"/>
    <col min="22" max="22" width="16.796875" customWidth="1"/>
    <col min="23" max="23" width="11.33203125" bestFit="1" customWidth="1"/>
    <col min="24" max="24" width="18.9296875" customWidth="1"/>
    <col min="25" max="25" width="17.1328125" customWidth="1"/>
    <col min="26" max="26" width="19.6640625" customWidth="1"/>
  </cols>
  <sheetData>
    <row r="1" spans="2:26" x14ac:dyDescent="0.45">
      <c r="V1" s="34" t="s">
        <v>1318</v>
      </c>
      <c r="W1" s="34">
        <f>MATCH(C8,'Traffic Count'!C:C,0)</f>
        <v>334</v>
      </c>
      <c r="X1" s="34" t="s">
        <v>1319</v>
      </c>
      <c r="Y1" s="34" t="s">
        <v>38</v>
      </c>
      <c r="Z1" s="34">
        <f>COLUMN('Traffic Count'!AM1)</f>
        <v>39</v>
      </c>
    </row>
    <row r="2" spans="2:26" x14ac:dyDescent="0.45">
      <c r="B2" t="s">
        <v>1315</v>
      </c>
      <c r="V2" s="35" t="s">
        <v>2</v>
      </c>
      <c r="W2" s="34">
        <f>COLUMN('Traffic Count'!C1)</f>
        <v>3</v>
      </c>
      <c r="X2" s="34"/>
      <c r="Y2" s="34" t="s">
        <v>40</v>
      </c>
      <c r="Z2" s="34">
        <f>COLUMN('Traffic Count'!AO1)</f>
        <v>41</v>
      </c>
    </row>
    <row r="3" spans="2:26" x14ac:dyDescent="0.45">
      <c r="B3" s="32">
        <v>100</v>
      </c>
      <c r="V3" s="35" t="s">
        <v>3</v>
      </c>
      <c r="W3" s="34">
        <f>COLUMN('Traffic Count'!D1)</f>
        <v>4</v>
      </c>
      <c r="X3" s="34"/>
      <c r="Y3" s="34" t="s">
        <v>43</v>
      </c>
      <c r="Z3" s="34">
        <f>COLUMN('Traffic Count'!AR1)</f>
        <v>44</v>
      </c>
    </row>
    <row r="4" spans="2:26" x14ac:dyDescent="0.45">
      <c r="V4" s="35" t="s">
        <v>4</v>
      </c>
      <c r="W4" s="34">
        <f>COLUMN('Traffic Count'!E1)</f>
        <v>5</v>
      </c>
      <c r="X4" s="34"/>
      <c r="Y4" s="34" t="s">
        <v>45</v>
      </c>
      <c r="Z4" s="34">
        <f>COLUMN('Traffic Count'!AT1)</f>
        <v>46</v>
      </c>
    </row>
    <row r="5" spans="2:26" x14ac:dyDescent="0.45">
      <c r="B5" t="s">
        <v>1316</v>
      </c>
      <c r="V5" s="35" t="s">
        <v>5</v>
      </c>
      <c r="W5" s="34">
        <f>COLUMN('Traffic Count'!F1)</f>
        <v>6</v>
      </c>
      <c r="X5" s="34"/>
      <c r="Y5" s="34"/>
      <c r="Z5" s="34"/>
    </row>
    <row r="6" spans="2:26" x14ac:dyDescent="0.45">
      <c r="V6" s="36" t="s">
        <v>7</v>
      </c>
      <c r="W6" s="34">
        <f>COLUMN('Traffic Count'!H1)</f>
        <v>8</v>
      </c>
      <c r="X6" s="34"/>
      <c r="Y6" s="34"/>
      <c r="Z6" s="34"/>
    </row>
    <row r="7" spans="2:26" ht="13.9" customHeight="1" x14ac:dyDescent="0.45">
      <c r="V7" s="37" t="s">
        <v>31</v>
      </c>
      <c r="W7" s="34">
        <f>COLUMN('Traffic Count'!AF1)</f>
        <v>32</v>
      </c>
      <c r="X7" s="34"/>
      <c r="Y7" s="34"/>
      <c r="Z7" s="34"/>
    </row>
    <row r="8" spans="2:26" x14ac:dyDescent="0.45">
      <c r="B8" t="s">
        <v>1317</v>
      </c>
      <c r="C8" s="32">
        <v>333</v>
      </c>
      <c r="E8" t="s">
        <v>1320</v>
      </c>
      <c r="F8" t="str" cm="1">
        <f t="array" aca="1" ref="F8" ca="1">INDIRECT("'Traffic Count'!"&amp;ADDRESS(Row_Number,STREET_NAME)) &amp; ", " &amp; INDIRECT("'Traffic Count'!"&amp;ADDRESS(Row_Number,SUBURB)) &amp; " at " &amp; INDIRECT("'Traffic Count'!"&amp;ADDRESS(Row_Number,COUNTER_LOCATION_BETWEEN))</f>
        <v xml:space="preserve">Mundoolun Road, Jimboomba  at 34 Mundoolun Road, Jimboomba  </v>
      </c>
      <c r="V8" s="37" t="s">
        <v>32</v>
      </c>
      <c r="W8" s="34">
        <f>COLUMN('Traffic Count'!AG1)</f>
        <v>33</v>
      </c>
      <c r="X8" s="34"/>
      <c r="Y8" s="34"/>
      <c r="Z8" s="34"/>
    </row>
    <row r="9" spans="2:26" x14ac:dyDescent="0.45">
      <c r="V9" s="37" t="s">
        <v>33</v>
      </c>
      <c r="W9" s="34">
        <f>COLUMN('Traffic Count'!AH1)</f>
        <v>34</v>
      </c>
      <c r="X9" s="34"/>
      <c r="Y9" s="34"/>
      <c r="Z9" s="34"/>
    </row>
    <row r="10" spans="2:26" x14ac:dyDescent="0.45">
      <c r="E10" t="s">
        <v>1321</v>
      </c>
      <c r="J10" s="32" t="s">
        <v>1322</v>
      </c>
      <c r="V10" s="37" t="s">
        <v>34</v>
      </c>
      <c r="W10" s="34">
        <f>COLUMN('Traffic Count'!AI1)</f>
        <v>35</v>
      </c>
      <c r="X10" s="34"/>
      <c r="Y10" s="34"/>
      <c r="Z10" s="34"/>
    </row>
    <row r="11" spans="2:26" x14ac:dyDescent="0.45">
      <c r="E11" t="s">
        <v>1323</v>
      </c>
      <c r="J11" s="32"/>
      <c r="V11" s="38" t="s">
        <v>42</v>
      </c>
      <c r="W11" s="34">
        <f>COLUMN('Traffic Count'!AQ1)</f>
        <v>43</v>
      </c>
      <c r="X11" s="34"/>
      <c r="Y11" s="34"/>
      <c r="Z11" s="34"/>
    </row>
    <row r="12" spans="2:26" x14ac:dyDescent="0.45">
      <c r="E12" t="s">
        <v>1324</v>
      </c>
      <c r="J12" s="32" t="s">
        <v>1322</v>
      </c>
      <c r="V12" s="38" t="s">
        <v>47</v>
      </c>
      <c r="W12" s="34">
        <f>COLUMN('Traffic Count'!AV1)</f>
        <v>48</v>
      </c>
      <c r="X12" s="34"/>
      <c r="Y12" s="34"/>
      <c r="Z12" s="34"/>
    </row>
    <row r="13" spans="2:26" x14ac:dyDescent="0.45">
      <c r="E13" t="s">
        <v>1325</v>
      </c>
      <c r="J13">
        <f>B3</f>
        <v>100</v>
      </c>
      <c r="V13" s="39" t="s">
        <v>49</v>
      </c>
      <c r="W13" s="34">
        <f>COLUMN('Traffic Count'!AX1)</f>
        <v>50</v>
      </c>
      <c r="X13" s="34"/>
      <c r="Y13" s="34"/>
      <c r="Z13" s="34"/>
    </row>
    <row r="14" spans="2:26" x14ac:dyDescent="0.45">
      <c r="V14" s="40"/>
      <c r="W14" s="34"/>
      <c r="X14" s="34"/>
      <c r="Y14" s="34"/>
      <c r="Z14" s="34"/>
    </row>
    <row r="15" spans="2:26" x14ac:dyDescent="0.45">
      <c r="V15" s="40"/>
      <c r="W15" s="34"/>
      <c r="X15" s="34"/>
      <c r="Y15" s="34"/>
      <c r="Z15" s="34"/>
    </row>
    <row r="16" spans="2:26" x14ac:dyDescent="0.45">
      <c r="V16" s="40"/>
      <c r="W16" s="34"/>
      <c r="X16" s="34"/>
      <c r="Y16" s="34"/>
      <c r="Z16" s="34"/>
    </row>
    <row r="17" spans="2:26" x14ac:dyDescent="0.45">
      <c r="V17" s="40"/>
      <c r="W17" s="34"/>
      <c r="X17" s="34"/>
      <c r="Y17" s="34"/>
      <c r="Z17" s="34"/>
    </row>
    <row r="18" spans="2:26" x14ac:dyDescent="0.45">
      <c r="B18" s="29" t="s">
        <v>1314</v>
      </c>
      <c r="V18" s="7" t="s">
        <v>1303</v>
      </c>
      <c r="W18" s="11"/>
      <c r="X18" s="12"/>
    </row>
    <row r="19" spans="2:26" x14ac:dyDescent="0.45">
      <c r="B19" s="23"/>
      <c r="V19" s="13" t="s">
        <v>1304</v>
      </c>
      <c r="W19" s="9" t="s">
        <v>1305</v>
      </c>
      <c r="X19" s="14"/>
    </row>
    <row r="20" spans="2:26" x14ac:dyDescent="0.45">
      <c r="B20" s="24" t="s">
        <v>2</v>
      </c>
      <c r="C20" s="24" t="s">
        <v>3</v>
      </c>
      <c r="D20" s="24" t="s">
        <v>4</v>
      </c>
      <c r="E20" s="24" t="s">
        <v>5</v>
      </c>
      <c r="F20" s="25" t="s">
        <v>7</v>
      </c>
      <c r="G20" s="26" t="s">
        <v>31</v>
      </c>
      <c r="H20" s="26" t="s">
        <v>32</v>
      </c>
      <c r="I20" s="26" t="s">
        <v>33</v>
      </c>
      <c r="J20" s="26" t="s">
        <v>34</v>
      </c>
      <c r="K20" s="27" t="s">
        <v>42</v>
      </c>
      <c r="L20" s="27" t="s">
        <v>47</v>
      </c>
      <c r="M20" s="28" t="s">
        <v>49</v>
      </c>
      <c r="N20" s="17"/>
      <c r="V20" s="15"/>
      <c r="W20" s="8" t="s">
        <v>1306</v>
      </c>
      <c r="X20" s="8" t="s">
        <v>1307</v>
      </c>
    </row>
    <row r="21" spans="2:26" x14ac:dyDescent="0.45">
      <c r="B21" s="19" cm="1">
        <f t="array" aca="1" ref="B21" ca="1">INDIRECT("'Traffic Count'!"&amp;ADDRESS(Row_Number,OBJECTID))</f>
        <v>333</v>
      </c>
      <c r="C21" s="19" t="str" cm="1">
        <f t="array" aca="1" ref="C21" ca="1">INDIRECT("'Traffic Count'!"&amp;ADDRESS(Row_Number,STREET_NAME))</f>
        <v>Mundoolun Road</v>
      </c>
      <c r="D21" s="19" t="str" cm="1">
        <f t="array" aca="1" ref="D21" ca="1">INDIRECT("'Traffic Count'!"&amp;ADDRESS(Row_Number,SUBURB))</f>
        <v xml:space="preserve">Jimboomba </v>
      </c>
      <c r="E21" s="19" t="str" cm="1">
        <f t="array" aca="1" ref="E21" ca="1">INDIRECT("'Traffic Count'!"&amp;ADDRESS(Row_Number,COUNTER_LOCATION_BETWEEN))</f>
        <v xml:space="preserve">34 Mundoolun Road, Jimboomba  </v>
      </c>
      <c r="F21" s="19" cm="1">
        <f t="array" aca="1" ref="F21" ca="1">INDIRECT("'Traffic Count'!"&amp;ADDRESS(Row_Number,AADT))</f>
        <v>5812</v>
      </c>
      <c r="G21" s="19" t="str" cm="1">
        <f t="array" aca="1" ref="G21" ca="1">INDIRECT("'Traffic Count'!"&amp;ADDRESS(Row_Number,DIR1_))</f>
        <v>N</v>
      </c>
      <c r="H21" s="19" cm="1">
        <f t="array" aca="1" ref="H21" ca="1">INDIRECT("'Traffic Count'!"&amp;ADDRESS(Row_Number,VOL1_))</f>
        <v>2893</v>
      </c>
      <c r="I21" s="19" t="str" cm="1">
        <f t="array" aca="1" ref="I21" ca="1">INDIRECT("'Traffic Count'!"&amp;ADDRESS(Row_Number,DIR2_))</f>
        <v>S</v>
      </c>
      <c r="J21" s="19" cm="1">
        <f t="array" aca="1" ref="J21" ca="1">INDIRECT("'Traffic Count'!"&amp;ADDRESS(Row_Number,VOL2_))</f>
        <v>2919</v>
      </c>
      <c r="K21" s="19" cm="1">
        <f t="array" aca="1" ref="K21" ca="1">INDIRECT("'Traffic Count'!"&amp;ADDRESS(Row_Number,AM_PEAK))</f>
        <v>573</v>
      </c>
      <c r="L21" s="19" cm="1">
        <f t="array" aca="1" ref="L21" ca="1">INDIRECT("'Traffic Count'!"&amp;ADDRESS(Row_Number,PM_PEAK))</f>
        <v>634</v>
      </c>
      <c r="M21" s="19" cm="1">
        <f t="array" aca="1" ref="M21" ca="1">INDIRECT("'Traffic Count'!"&amp;ADDRESS(Row_Number,AAWT))</f>
        <v>6097</v>
      </c>
      <c r="N21" s="18" t="s">
        <v>1298</v>
      </c>
      <c r="V21" s="16">
        <v>2</v>
      </c>
      <c r="W21" s="16">
        <v>2.4</v>
      </c>
      <c r="X21" s="16">
        <v>8</v>
      </c>
    </row>
    <row r="22" spans="2:26" x14ac:dyDescent="0.45">
      <c r="B22" s="20"/>
      <c r="C22" s="21"/>
      <c r="D22" s="21"/>
      <c r="E22" s="21"/>
      <c r="F22" s="30">
        <f ca="1">ROUNDUP(F21*(1+$E$27/100)^$D$27,0)</f>
        <v>7259</v>
      </c>
      <c r="G22" s="21"/>
      <c r="H22" s="22">
        <f ca="1">ROUNDUP(H21*(1+$E$27/100)^$D$27,0)</f>
        <v>3613</v>
      </c>
      <c r="I22" s="21"/>
      <c r="J22" s="22">
        <f ca="1">ROUNDUP(J21*(1+$E$27/100)^$D$27,0)</f>
        <v>3646</v>
      </c>
      <c r="K22" s="22">
        <f ca="1">ROUNDUP(K21*(1+$E$27/100)^$D$27,0)</f>
        <v>716</v>
      </c>
      <c r="L22" s="22">
        <f ca="1">ROUNDUP(L21*(1+$E$27/100)^$D$27,0)</f>
        <v>792</v>
      </c>
      <c r="M22" s="22">
        <f ca="1">ROUNDUP(M21*(1+$E$27/100)^$D$27,0)</f>
        <v>7615</v>
      </c>
      <c r="N22" s="18" t="s">
        <v>1299</v>
      </c>
      <c r="V22" s="16">
        <v>5</v>
      </c>
      <c r="W22" s="16">
        <v>6</v>
      </c>
      <c r="X22" s="16">
        <v>20</v>
      </c>
    </row>
    <row r="23" spans="2:26" x14ac:dyDescent="0.45">
      <c r="B23" s="17"/>
      <c r="C23" s="17"/>
      <c r="D23" s="17"/>
      <c r="E23" s="17"/>
      <c r="F23" s="17"/>
      <c r="G23" s="17"/>
      <c r="H23" s="17"/>
      <c r="I23" s="17"/>
      <c r="J23" s="17"/>
      <c r="K23" s="18" t="str" cm="1">
        <f t="array" aca="1" ref="K23" ca="1">INDIRECT("'Traffic Count'!"&amp;ADDRESS(Row_Number,AM_FROM_HUR)) &amp; ":00 to " &amp; INDIRECT("'Traffic Count'!"&amp;ADDRESS(Row_Number,AM_TO_HUR)) &amp; ":00"</f>
        <v>8:00 to 9:00</v>
      </c>
      <c r="L23" s="18" t="str" cm="1">
        <f t="array" aca="1" ref="L23" ca="1">INDIRECT("'Traffic Count'!"&amp;ADDRESS(Row_Number,PM_FROM_HUR)) &amp; ":00 to " &amp; INDIRECT("'Traffic Count'!"&amp;ADDRESS(Row_Number,PM_TO_HUR)) &amp; ":00"</f>
        <v>15:00 to 16:00</v>
      </c>
      <c r="M23" s="17"/>
      <c r="N23" s="17"/>
      <c r="V23" s="16">
        <v>10</v>
      </c>
      <c r="W23" s="16">
        <v>12</v>
      </c>
      <c r="X23" s="16">
        <v>40</v>
      </c>
    </row>
    <row r="24" spans="2:26" x14ac:dyDescent="0.45">
      <c r="V24" s="16">
        <v>15</v>
      </c>
      <c r="W24" s="16">
        <v>18</v>
      </c>
      <c r="X24" s="16">
        <v>60</v>
      </c>
    </row>
    <row r="25" spans="2:26" x14ac:dyDescent="0.45">
      <c r="V25" s="15">
        <v>30</v>
      </c>
      <c r="W25" s="15">
        <v>36</v>
      </c>
      <c r="X25" s="15">
        <v>120</v>
      </c>
    </row>
    <row r="26" spans="2:26" x14ac:dyDescent="0.45">
      <c r="B26" s="31" t="s">
        <v>1295</v>
      </c>
      <c r="C26" s="31" t="s">
        <v>1296</v>
      </c>
      <c r="D26" s="31" t="s">
        <v>1297</v>
      </c>
      <c r="E26" s="31" t="s">
        <v>1300</v>
      </c>
    </row>
    <row r="27" spans="2:26" x14ac:dyDescent="0.45">
      <c r="B27" s="33">
        <v>2015</v>
      </c>
      <c r="C27" s="8">
        <f ca="1">YEAR(TODAY())</f>
        <v>2024</v>
      </c>
      <c r="D27" s="8">
        <f ca="1">C27-B27</f>
        <v>9</v>
      </c>
      <c r="E27" s="8">
        <v>2.5</v>
      </c>
    </row>
    <row r="29" spans="2:26" x14ac:dyDescent="0.45">
      <c r="Q29" s="58" t="str">
        <f ca="1">C21 &amp; " - Traffic Impact Analysis"</f>
        <v>Mundoolun Road - Traffic Impact Analysis</v>
      </c>
      <c r="R29" s="59"/>
      <c r="S29" s="60"/>
    </row>
    <row r="30" spans="2:26" x14ac:dyDescent="0.45">
      <c r="Q30" s="61"/>
      <c r="R30" s="62"/>
      <c r="S30" s="63"/>
    </row>
    <row r="31" spans="2:26" x14ac:dyDescent="0.45">
      <c r="Q31" s="61" t="s">
        <v>1310</v>
      </c>
      <c r="R31" s="74">
        <f ca="1">IF(ROUNDUP(0.12*F22/2,0)&lt;=500, 500,ROUNDUP(0.12*F22/2,0))</f>
        <v>500</v>
      </c>
      <c r="S31" s="75"/>
    </row>
    <row r="32" spans="2:26" ht="28.15" customHeight="1" x14ac:dyDescent="0.45">
      <c r="Q32" s="64" t="s">
        <v>1311</v>
      </c>
      <c r="R32" s="65" t="s">
        <v>1313</v>
      </c>
      <c r="S32" s="66" t="s">
        <v>1339</v>
      </c>
    </row>
    <row r="33" spans="17:27" x14ac:dyDescent="0.45">
      <c r="Q33" s="64" t="str" cm="1">
        <f t="array" aca="1" ref="Q33" ca="1">IF($J$12="Yes","Traffic: "&amp;INDIRECT("'Traffic Count'!"&amp;ADDRESS(Row_Number,DIR1_))&amp;"B","Traffic: "&amp;$B$102)</f>
        <v>Traffic: NB</v>
      </c>
      <c r="R33" s="55">
        <f ca="1">SUM(X49:Y49)/R31</f>
        <v>0.75600000000000001</v>
      </c>
      <c r="S33" s="55">
        <f ca="1">SUM(Z49:AA49)/R31</f>
        <v>0.41</v>
      </c>
    </row>
    <row r="34" spans="17:27" x14ac:dyDescent="0.45">
      <c r="Q34" s="67" t="str" cm="1">
        <f t="array" aca="1" ref="Q34" ca="1">IF($J$12="Yes","Traffic: "&amp;INDIRECT("'Traffic Count'!"&amp;ADDRESS(Row_Number,DIR2_))&amp;"B","Traffic: "&amp;$B$103)</f>
        <v>Traffic: SB</v>
      </c>
      <c r="R34" s="56">
        <f ca="1">SUM(X61:Y61)/R31</f>
        <v>0.75600000000000001</v>
      </c>
      <c r="S34" s="56">
        <f ca="1">SUM(Z61:AA61)/R31</f>
        <v>0.434</v>
      </c>
    </row>
    <row r="35" spans="17:27" x14ac:dyDescent="0.45">
      <c r="Q35" s="67" t="s">
        <v>1312</v>
      </c>
      <c r="R35" s="57">
        <f ca="1">SUM(X49:Y49,X61:Y61)/R31</f>
        <v>1.512</v>
      </c>
      <c r="S35" s="56">
        <f ca="1">SUM(Z49:AA49,Z61:AA61)/R31</f>
        <v>0.84399999999999997</v>
      </c>
    </row>
    <row r="37" spans="17:27" x14ac:dyDescent="0.45">
      <c r="Q37" t="s">
        <v>1340</v>
      </c>
    </row>
    <row r="40" spans="17:27" x14ac:dyDescent="0.45">
      <c r="Q40" s="68" t="s">
        <v>1341</v>
      </c>
    </row>
    <row r="41" spans="17:27" x14ac:dyDescent="0.45">
      <c r="Q41" s="69" t="s">
        <v>1342</v>
      </c>
    </row>
    <row r="42" spans="17:27" x14ac:dyDescent="0.45">
      <c r="Q42" s="70" t="s">
        <v>1343</v>
      </c>
    </row>
    <row r="43" spans="17:27" x14ac:dyDescent="0.45">
      <c r="Q43" s="71" t="s">
        <v>1344</v>
      </c>
    </row>
    <row r="44" spans="17:27" x14ac:dyDescent="0.45">
      <c r="Q44" s="72" t="s">
        <v>1345</v>
      </c>
      <c r="V44" t="s">
        <v>1329</v>
      </c>
      <c r="W44">
        <v>5</v>
      </c>
      <c r="X44" t="s">
        <v>1338</v>
      </c>
    </row>
    <row r="45" spans="17:27" x14ac:dyDescent="0.45">
      <c r="Q45" s="73" t="s">
        <v>1346</v>
      </c>
    </row>
    <row r="47" spans="17:27" x14ac:dyDescent="0.45">
      <c r="V47" s="41" t="str">
        <f ca="1">"Queue Length Estimation: " &amp; C21 &amp; " - " &amp; G21&amp;"bound"</f>
        <v>Queue Length Estimation: Mundoolun Road - Nbound</v>
      </c>
      <c r="W47" s="42"/>
      <c r="X47" s="42"/>
      <c r="Y47" s="42"/>
      <c r="Z47" s="42"/>
      <c r="AA47" s="43"/>
    </row>
    <row r="48" spans="17:27" ht="57" x14ac:dyDescent="0.45">
      <c r="V48" s="44"/>
      <c r="W48" s="45"/>
      <c r="X48" s="46" t="s">
        <v>1337</v>
      </c>
      <c r="Y48" s="47" t="s">
        <v>1330</v>
      </c>
      <c r="Z48" s="47" t="s">
        <v>1331</v>
      </c>
      <c r="AA48" s="48" t="s">
        <v>1330</v>
      </c>
    </row>
    <row r="49" spans="22:27" x14ac:dyDescent="0.45">
      <c r="V49" s="49" t="s">
        <v>1332</v>
      </c>
      <c r="W49" s="50"/>
      <c r="X49" s="50">
        <f ca="1">ROUNDUP(AVERAGE($K$22:$L$22)/2-((AVERAGE($K$22:$L$22)/2*$W$44%)),0)</f>
        <v>359</v>
      </c>
      <c r="Y49" s="50">
        <f ca="1">ROUNDUP(AVERAGE($K$22:$L$22)/2*$W$44%,0)</f>
        <v>19</v>
      </c>
      <c r="Z49" s="50">
        <f ca="1">ROUNDUP((((H22-SUM(X49:Y49))*15%)*42%)-(((H22-SUM(X49:Y49))*15%)*42%)*$W$44%,0)</f>
        <v>194</v>
      </c>
      <c r="AA49" s="51">
        <f ca="1">ROUNDUP((((H22-SUM(X49:Y49))*15%)*42%)*$W$44%,0)</f>
        <v>11</v>
      </c>
    </row>
    <row r="50" spans="22:27" x14ac:dyDescent="0.45">
      <c r="V50" s="49" t="s">
        <v>1309</v>
      </c>
      <c r="W50" s="50"/>
      <c r="X50" s="50"/>
      <c r="Y50" s="50"/>
      <c r="Z50" s="50"/>
      <c r="AA50" s="51"/>
    </row>
    <row r="51" spans="22:27" x14ac:dyDescent="0.45">
      <c r="V51" s="52" t="s">
        <v>1301</v>
      </c>
      <c r="W51" s="53" t="s">
        <v>1308</v>
      </c>
      <c r="X51" s="10">
        <f ca="1">ROUNDUP(X49*5/60,0)</f>
        <v>30</v>
      </c>
      <c r="Y51" s="10">
        <f ca="1">ROUNDUP(Y49*5/60,0)</f>
        <v>2</v>
      </c>
      <c r="Z51" s="10">
        <f ca="1">ROUNDUP(Z49*5/60,0)</f>
        <v>17</v>
      </c>
      <c r="AA51" s="8">
        <f ca="1">ROUNDUP(AA49*5/60,0)</f>
        <v>1</v>
      </c>
    </row>
    <row r="52" spans="22:27" x14ac:dyDescent="0.45">
      <c r="V52" s="52" t="s">
        <v>1333</v>
      </c>
      <c r="W52" s="53" t="s">
        <v>1302</v>
      </c>
      <c r="X52" s="10">
        <f ca="1">ROUNDUP(X51*$W$21+Y51*$X$21, 0)</f>
        <v>88</v>
      </c>
      <c r="Y52" s="10"/>
      <c r="Z52" s="54">
        <f ca="1">ROUNDUP(Z51*$W$21+AA51*$X$21, 0)</f>
        <v>49</v>
      </c>
      <c r="AA52" s="15"/>
    </row>
    <row r="53" spans="22:27" x14ac:dyDescent="0.45">
      <c r="V53" s="52" t="s">
        <v>1334</v>
      </c>
      <c r="W53" s="53" t="s">
        <v>1302</v>
      </c>
      <c r="X53" s="10">
        <f ca="1">ROUNDUP(X51*$W$22+Y51*$X$22, 0)</f>
        <v>220</v>
      </c>
      <c r="Y53" s="10"/>
      <c r="Z53" s="10">
        <f ca="1">ROUNDUP(Z51*$W$22+AA51*$X$22, 0)</f>
        <v>122</v>
      </c>
      <c r="AA53" s="15"/>
    </row>
    <row r="54" spans="22:27" x14ac:dyDescent="0.45">
      <c r="V54" s="52" t="s">
        <v>1335</v>
      </c>
      <c r="W54" s="53" t="s">
        <v>1302</v>
      </c>
      <c r="X54" s="10">
        <f ca="1">ROUNDUP(X51*$W$23+Y51*$X$23, 0)</f>
        <v>440</v>
      </c>
      <c r="Y54" s="10"/>
      <c r="Z54" s="10">
        <f ca="1">ROUNDUP(Z51*$W$23+AA51*$X$23, 0)</f>
        <v>244</v>
      </c>
      <c r="AA54" s="15"/>
    </row>
    <row r="55" spans="22:27" x14ac:dyDescent="0.45">
      <c r="V55" s="52" t="s">
        <v>1336</v>
      </c>
      <c r="W55" s="53" t="s">
        <v>1302</v>
      </c>
      <c r="X55" s="10">
        <f ca="1">ROUNDUP(X51*$W$24+Y51*$X$24, 0)</f>
        <v>660</v>
      </c>
      <c r="Y55" s="10"/>
      <c r="Z55" s="10">
        <f ca="1">ROUNDUP(Z51*$W$24+AA51*$X$24, 0)</f>
        <v>366</v>
      </c>
      <c r="AA55" s="15"/>
    </row>
    <row r="59" spans="22:27" x14ac:dyDescent="0.45">
      <c r="V59" s="41" t="str">
        <f ca="1">"Queue Length Estimation: " &amp; C21 &amp; " - " &amp; I21&amp;"bound"</f>
        <v>Queue Length Estimation: Mundoolun Road - Sbound</v>
      </c>
      <c r="W59" s="42"/>
      <c r="X59" s="42"/>
      <c r="Y59" s="42"/>
      <c r="Z59" s="42"/>
      <c r="AA59" s="43"/>
    </row>
    <row r="60" spans="22:27" ht="57" x14ac:dyDescent="0.45">
      <c r="V60" s="44"/>
      <c r="W60" s="45"/>
      <c r="X60" s="46" t="s">
        <v>1337</v>
      </c>
      <c r="Y60" s="47" t="s">
        <v>1330</v>
      </c>
      <c r="Z60" s="47" t="s">
        <v>1331</v>
      </c>
      <c r="AA60" s="48" t="s">
        <v>1330</v>
      </c>
    </row>
    <row r="61" spans="22:27" x14ac:dyDescent="0.45">
      <c r="V61" s="49" t="s">
        <v>1332</v>
      </c>
      <c r="W61" s="50"/>
      <c r="X61" s="50">
        <f ca="1">ROUNDUP(AVERAGE($K$22:$L$22)/2-((AVERAGE($K$22:$L$22)/2*$W$44%)),0)</f>
        <v>359</v>
      </c>
      <c r="Y61" s="50">
        <f ca="1">ROUNDUP(AVERAGE($K$22:$L$22)/2*$W$44%,0)</f>
        <v>19</v>
      </c>
      <c r="Z61" s="50">
        <f ca="1">ROUNDUP((((J22-SUM(X61:Y61))*15%)*42%)-(((J22-SUM(X61:Y61))*15%)*42%)*W56%,0)</f>
        <v>206</v>
      </c>
      <c r="AA61" s="51">
        <f ca="1">ROUNDUP((((J22-SUM(X61:Y61))*15%)*42%)*$W$44%,0)</f>
        <v>11</v>
      </c>
    </row>
    <row r="62" spans="22:27" x14ac:dyDescent="0.45">
      <c r="V62" s="49" t="s">
        <v>1309</v>
      </c>
      <c r="W62" s="50"/>
      <c r="X62" s="50"/>
      <c r="Y62" s="50"/>
      <c r="Z62" s="50"/>
      <c r="AA62" s="51"/>
    </row>
    <row r="63" spans="22:27" x14ac:dyDescent="0.45">
      <c r="V63" s="52" t="s">
        <v>1301</v>
      </c>
      <c r="W63" s="53" t="s">
        <v>1308</v>
      </c>
      <c r="X63" s="10">
        <f ca="1">ROUNDUP(X61*5/60,0)</f>
        <v>30</v>
      </c>
      <c r="Y63" s="10">
        <f ca="1">ROUNDUP(Y61*5/60,0)</f>
        <v>2</v>
      </c>
      <c r="Z63" s="10">
        <f ca="1">ROUNDUP(Z61*5/60,0)</f>
        <v>18</v>
      </c>
      <c r="AA63" s="8">
        <f ca="1">ROUNDUP(AA61*5/60,0)</f>
        <v>1</v>
      </c>
    </row>
    <row r="64" spans="22:27" x14ac:dyDescent="0.45">
      <c r="V64" s="52" t="s">
        <v>1333</v>
      </c>
      <c r="W64" s="53" t="s">
        <v>1302</v>
      </c>
      <c r="X64" s="10">
        <f ca="1">ROUNDUP(X63*$W$21+Y63*$X$21, 0)</f>
        <v>88</v>
      </c>
      <c r="Y64" s="10"/>
      <c r="Z64" s="54">
        <f ca="1">ROUNDUP(Z63*$W$21+AA63*$X$21, 0)</f>
        <v>52</v>
      </c>
      <c r="AA64" s="15"/>
    </row>
    <row r="65" spans="22:27" x14ac:dyDescent="0.45">
      <c r="V65" s="52" t="s">
        <v>1334</v>
      </c>
      <c r="W65" s="53" t="s">
        <v>1302</v>
      </c>
      <c r="X65" s="10">
        <f ca="1">ROUNDUP(X63*$W$22+Y63*$X$22, 0)</f>
        <v>220</v>
      </c>
      <c r="Y65" s="10"/>
      <c r="Z65" s="10">
        <f ca="1">ROUNDUP(Z63*$W$22+AA63*$X$22, 0)</f>
        <v>128</v>
      </c>
      <c r="AA65" s="15"/>
    </row>
    <row r="66" spans="22:27" x14ac:dyDescent="0.45">
      <c r="V66" s="52" t="s">
        <v>1335</v>
      </c>
      <c r="W66" s="53" t="s">
        <v>1302</v>
      </c>
      <c r="X66" s="10">
        <f ca="1">ROUNDUP(X63*$W$23+Y63*$X$23, 0)</f>
        <v>440</v>
      </c>
      <c r="Y66" s="10"/>
      <c r="Z66" s="10">
        <f ca="1">ROUNDUP(Z63*$W$23+AA63*$X$23, 0)</f>
        <v>256</v>
      </c>
      <c r="AA66" s="15"/>
    </row>
    <row r="67" spans="22:27" x14ac:dyDescent="0.45">
      <c r="V67" s="52" t="s">
        <v>1336</v>
      </c>
      <c r="W67" s="53" t="s">
        <v>1302</v>
      </c>
      <c r="X67" s="10">
        <f ca="1">ROUNDUP(X63*$W$24+Y63*$X$24, 0)</f>
        <v>660</v>
      </c>
      <c r="Y67" s="10"/>
      <c r="Z67" s="10">
        <f ca="1">ROUNDUP(Z63*$W$24+AA63*$X$24, 0)</f>
        <v>384</v>
      </c>
      <c r="AA67" s="15"/>
    </row>
    <row r="102" spans="1:2" x14ac:dyDescent="0.45">
      <c r="A102" t="s">
        <v>1322</v>
      </c>
      <c r="B102" t="s">
        <v>1326</v>
      </c>
    </row>
    <row r="103" spans="1:2" x14ac:dyDescent="0.45">
      <c r="A103" t="s">
        <v>1327</v>
      </c>
      <c r="B103" t="s">
        <v>1328</v>
      </c>
    </row>
  </sheetData>
  <mergeCells count="1">
    <mergeCell ref="R31:S31"/>
  </mergeCells>
  <conditionalFormatting sqref="R33:S35">
    <cfRule type="cellIs" dxfId="5" priority="1" operator="greaterThan">
      <formula>1</formula>
    </cfRule>
    <cfRule type="cellIs" dxfId="4" priority="2" operator="between">
      <formula>0.9501</formula>
      <formula>1</formula>
    </cfRule>
    <cfRule type="cellIs" dxfId="3" priority="3" operator="between">
      <formula>0.901</formula>
      <formula>0.95</formula>
    </cfRule>
    <cfRule type="cellIs" dxfId="2" priority="4" operator="between">
      <formula>0.701</formula>
      <formula>0.9</formula>
    </cfRule>
    <cfRule type="cellIs" dxfId="1" priority="5" operator="between">
      <formula>0.601</formula>
      <formula>0.7</formula>
    </cfRule>
    <cfRule type="cellIs" dxfId="0" priority="6" operator="lessThanOrEqual">
      <formula>0.6</formula>
    </cfRule>
  </conditionalFormatting>
  <dataValidations count="1">
    <dataValidation type="list" allowBlank="1" showInputMessage="1" showErrorMessage="1" sqref="J12 J10" xr:uid="{BF45D877-5FD0-4EB0-B4FA-76E1AC3E8F0C}">
      <formula1>$A$101:$A$103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711479e-22cc-4292-8fef-f5f9981cbf5f" xsi:nil="true"/>
    <lcf76f155ced4ddcb4097134ff3c332f xmlns="f8379a8f-d036-43dd-b2ba-323d65615330">
      <Terms xmlns="http://schemas.microsoft.com/office/infopath/2007/PartnerControls"/>
    </lcf76f155ced4ddcb4097134ff3c332f>
    <Time xmlns="f8379a8f-d036-43dd-b2ba-323d65615330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DEAD33DB93F6643B5E4B915BBA7E8AF" ma:contentTypeVersion="16" ma:contentTypeDescription="Create a new document." ma:contentTypeScope="" ma:versionID="75fc7ead414c7d41ce92f89197c3c98c">
  <xsd:schema xmlns:xsd="http://www.w3.org/2001/XMLSchema" xmlns:xs="http://www.w3.org/2001/XMLSchema" xmlns:p="http://schemas.microsoft.com/office/2006/metadata/properties" xmlns:ns2="8711479e-22cc-4292-8fef-f5f9981cbf5f" xmlns:ns3="f8379a8f-d036-43dd-b2ba-323d65615330" targetNamespace="http://schemas.microsoft.com/office/2006/metadata/properties" ma:root="true" ma:fieldsID="48e1b46a79bca350f69132b7c14c0373" ns2:_="" ns3:_="">
    <xsd:import namespace="8711479e-22cc-4292-8fef-f5f9981cbf5f"/>
    <xsd:import namespace="f8379a8f-d036-43dd-b2ba-323d6561533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SearchProperties" minOccurs="0"/>
                <xsd:element ref="ns3: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11479e-22cc-4292-8fef-f5f9981cbf5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84ac8523-2513-4720-b220-18e836937b27}" ma:internalName="TaxCatchAll" ma:showField="CatchAllData" ma:web="8711479e-22cc-4292-8fef-f5f9981cbf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379a8f-d036-43dd-b2ba-323d656153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14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c7de70af-5b9d-49a8-8399-5553384e221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Time" ma:index="23" nillable="true" ma:displayName="Time" ma:format="DateOnly" ma:internalName="Tim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6A147C4-C87B-4092-8FCF-4D20CD03D600}">
  <ds:schemaRefs>
    <ds:schemaRef ds:uri="http://schemas.microsoft.com/office/2006/metadata/properties"/>
    <ds:schemaRef ds:uri="http://schemas.microsoft.com/office/infopath/2007/PartnerControls"/>
    <ds:schemaRef ds:uri="f8379a8f-d036-43dd-b2ba-323d65615330"/>
    <ds:schemaRef ds:uri="8711479e-22cc-4292-8fef-f5f9981cbf5f"/>
  </ds:schemaRefs>
</ds:datastoreItem>
</file>

<file path=customXml/itemProps2.xml><?xml version="1.0" encoding="utf-8"?>
<ds:datastoreItem xmlns:ds="http://schemas.openxmlformats.org/officeDocument/2006/customXml" ds:itemID="{ACED0D40-F9F0-45C9-AFCC-483D33964DC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20794B-2D89-41DF-A2A6-79EF3A813EB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17</vt:i4>
      </vt:variant>
    </vt:vector>
  </HeadingPairs>
  <TitlesOfParts>
    <vt:vector size="19" baseType="lpstr">
      <vt:lpstr>Traffic Count</vt:lpstr>
      <vt:lpstr>Traffic Impact and Queue Length</vt:lpstr>
      <vt:lpstr>AADT</vt:lpstr>
      <vt:lpstr>AAWT</vt:lpstr>
      <vt:lpstr>AM_FROM_HUR</vt:lpstr>
      <vt:lpstr>AM_PEAK</vt:lpstr>
      <vt:lpstr>AM_TO_HUR</vt:lpstr>
      <vt:lpstr>COUNTER_LOCATION_BETWEEN</vt:lpstr>
      <vt:lpstr>DIR1_</vt:lpstr>
      <vt:lpstr>DIR2_</vt:lpstr>
      <vt:lpstr>OBJECTID</vt:lpstr>
      <vt:lpstr>PM_FROM_HUR</vt:lpstr>
      <vt:lpstr>PM_PEAK</vt:lpstr>
      <vt:lpstr>PM_TO_HUR</vt:lpstr>
      <vt:lpstr>Row_Number</vt:lpstr>
      <vt:lpstr>STREET_NAME</vt:lpstr>
      <vt:lpstr>SUBURB</vt:lpstr>
      <vt:lpstr>VOL1_</vt:lpstr>
      <vt:lpstr>VOL2_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Mark Bryers</dc:creator>
  <cp:lastModifiedBy>Aaron Anthony</cp:lastModifiedBy>
  <dcterms:created xsi:type="dcterms:W3CDTF">2021-11-23T02:40:32Z</dcterms:created>
  <dcterms:modified xsi:type="dcterms:W3CDTF">2024-04-05T01:27:16Z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0x0101002DEAD33DB93F6643B5E4B915BBA7E8AF</vt:lpwstr>
  </property>
  <property fmtid="{D5CDD505-2E9C-101B-9397-08002B2CF9AE}" pid="3" name="MediaServiceImageTags">
    <vt:lpwstr/>
  </property>
  <property fmtid="{D5CDD505-2E9C-101B-9397-08002B2CF9AE}" pid="4" name="xd_ProgID">
    <vt:lpwstr/>
  </property>
  <property fmtid="{D5CDD505-2E9C-101B-9397-08002B2CF9AE}" pid="5" name="_SourceUrl">
    <vt:lpwstr/>
  </property>
  <property fmtid="{D5CDD505-2E9C-101B-9397-08002B2CF9AE}" pid="6" name="_SharedFileIndex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  <property fmtid="{D5CDD505-2E9C-101B-9397-08002B2CF9AE}" pid="11" name="xd_Signature">
    <vt:bool>false</vt:bool>
  </property>
</Properties>
</file>